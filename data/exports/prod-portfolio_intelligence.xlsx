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usainnatha\tradingsystem\data\exports\"/>
    </mc:Choice>
  </mc:AlternateContent>
  <xr:revisionPtr revIDLastSave="0" documentId="13_ncr:1_{7C826FB2-0AB2-4685-8AFB-8B10E0805558}" xr6:coauthVersionLast="47" xr6:coauthVersionMax="47" xr10:uidLastSave="{00000000-0000-0000-0000-000000000000}"/>
  <bookViews>
    <workbookView xWindow="-98" yWindow="-98" windowWidth="21795" windowHeight="12975" activeTab="4" xr2:uid="{00000000-000D-0000-FFFF-FFFF00000000}"/>
  </bookViews>
  <sheets>
    <sheet name="TRANSACTIONS" sheetId="1" r:id="rId1"/>
    <sheet name="HOLDINGS" sheetId="2" r:id="rId2"/>
    <sheet name="DISPOSAL_LEDGER" sheetId="3" r:id="rId3"/>
    <sheet name="TAX_DASHBOARD" sheetId="4" r:id="rId4"/>
    <sheet name="INVENTORY" sheetId="5" r:id="rId5"/>
    <sheet name="MARKET_INTELLIGENCE" sheetId="6" r:id="rId6"/>
    <sheet name="BUY_RECOMMENDATIONS" sheetId="7" r:id="rId7"/>
    <sheet name="POSITION_SIZING" sheetId="8" r:id="rId8"/>
    <sheet name="SELL_OPTIMISER" sheetId="9" r:id="rId9"/>
    <sheet name="ACTIONS" sheetId="10" r:id="rId10"/>
    <sheet name="SECTOR_EXPOSURE" sheetId="11" r:id="rId11"/>
    <sheet name="STRATEGY_COMPARISON" sheetId="12" r:id="rId12"/>
    <sheet name="TRANSITIONS" sheetId="13" r:id="rId13"/>
    <sheet name="MACRO_REGIME" sheetId="14" r:id="rId14"/>
    <sheet name="OPPORTUNITY_LEDGER" sheetId="15" r:id="rId15"/>
    <sheet name="CONTEXTUAL_DECISIONS" sheetId="16" r:id="rId16"/>
    <sheet name="CAPITAL_SUMMARY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5" l="1"/>
  <c r="I6" i="1"/>
  <c r="I5" i="1"/>
</calcChain>
</file>

<file path=xl/sharedStrings.xml><?xml version="1.0" encoding="utf-8"?>
<sst xmlns="http://schemas.openxmlformats.org/spreadsheetml/2006/main" count="1703" uniqueCount="228">
  <si>
    <t>trade_date</t>
  </si>
  <si>
    <t>account</t>
  </si>
  <si>
    <t>symbol</t>
  </si>
  <si>
    <t>action</t>
  </si>
  <si>
    <t>quantity</t>
  </si>
  <si>
    <t>trade_price</t>
  </si>
  <si>
    <t>fees</t>
  </si>
  <si>
    <t>fx_rate_to_gbp</t>
  </si>
  <si>
    <t>IWEB</t>
  </si>
  <si>
    <t>IBKR</t>
  </si>
  <si>
    <t>META</t>
  </si>
  <si>
    <t>HOOD</t>
  </si>
  <si>
    <t>NVDA</t>
  </si>
  <si>
    <t>AMD</t>
  </si>
  <si>
    <t>CRWV</t>
  </si>
  <si>
    <t>TSLA</t>
  </si>
  <si>
    <t>LWLG</t>
  </si>
  <si>
    <t>POET</t>
  </si>
  <si>
    <t>BUY</t>
  </si>
  <si>
    <t>pool_cost</t>
  </si>
  <si>
    <t>avg_cost</t>
  </si>
  <si>
    <t>realised_pnl</t>
  </si>
  <si>
    <t>transaction_id</t>
  </si>
  <si>
    <t>original_quantity</t>
  </si>
  <si>
    <t>matched_quantity</t>
  </si>
  <si>
    <t>remaining_quantity</t>
  </si>
  <si>
    <t>cost_gbp</t>
  </si>
  <si>
    <t>match_rule</t>
  </si>
  <si>
    <t>current_price</t>
  </si>
  <si>
    <t>market_value_gbp</t>
  </si>
  <si>
    <t>remaining_cost_gbp</t>
  </si>
  <si>
    <t>unrealised_gain_gbp</t>
  </si>
  <si>
    <t>unrealised_gain_pct</t>
  </si>
  <si>
    <t>price</t>
  </si>
  <si>
    <t>ma50</t>
  </si>
  <si>
    <t>ma200</t>
  </si>
  <si>
    <t>rsi</t>
  </si>
  <si>
    <t>bullish_trend</t>
  </si>
  <si>
    <t>momentum_score</t>
  </si>
  <si>
    <t>technical_score</t>
  </si>
  <si>
    <t>rsi_score</t>
  </si>
  <si>
    <t>ai_score</t>
  </si>
  <si>
    <t>rating</t>
  </si>
  <si>
    <t>sector</t>
  </si>
  <si>
    <t>portfolio_exposure</t>
  </si>
  <si>
    <t>portfolio_fit_score</t>
  </si>
  <si>
    <t>macro_regime</t>
  </si>
  <si>
    <t>macro_score</t>
  </si>
  <si>
    <t>sector_bias</t>
  </si>
  <si>
    <t>diversification_score</t>
  </si>
  <si>
    <t>PLAB</t>
  </si>
  <si>
    <t>GOOG</t>
  </si>
  <si>
    <t>VRT</t>
  </si>
  <si>
    <t>AMZN</t>
  </si>
  <si>
    <t>SNPS</t>
  </si>
  <si>
    <t>AVGO</t>
  </si>
  <si>
    <t>INTC</t>
  </si>
  <si>
    <t>INOD</t>
  </si>
  <si>
    <t>LPTH</t>
  </si>
  <si>
    <t>AAOI</t>
  </si>
  <si>
    <t>SKYT</t>
  </si>
  <si>
    <t>DDOG</t>
  </si>
  <si>
    <t>CSCO</t>
  </si>
  <si>
    <t>AEHR</t>
  </si>
  <si>
    <t>CRWD</t>
  </si>
  <si>
    <t>PANW</t>
  </si>
  <si>
    <t>SWKS</t>
  </si>
  <si>
    <t>TWLO</t>
  </si>
  <si>
    <t>ROK</t>
  </si>
  <si>
    <t>ANET</t>
  </si>
  <si>
    <t>SPY</t>
  </si>
  <si>
    <t>SNDK</t>
  </si>
  <si>
    <t>ETN</t>
  </si>
  <si>
    <t>QQQ</t>
  </si>
  <si>
    <t>TSM</t>
  </si>
  <si>
    <t>IWM</t>
  </si>
  <si>
    <t>CDNS</t>
  </si>
  <si>
    <t>FTNT</t>
  </si>
  <si>
    <t>AAPL</t>
  </si>
  <si>
    <t>MU</t>
  </si>
  <si>
    <t>SMH</t>
  </si>
  <si>
    <t>NET</t>
  </si>
  <si>
    <t>KLAC</t>
  </si>
  <si>
    <t>ALAB</t>
  </si>
  <si>
    <t>SOXX</t>
  </si>
  <si>
    <t>ARM</t>
  </si>
  <si>
    <t>DELL</t>
  </si>
  <si>
    <t>ASML</t>
  </si>
  <si>
    <t>MRVL</t>
  </si>
  <si>
    <t>CRDO</t>
  </si>
  <si>
    <t>BMW.DE</t>
  </si>
  <si>
    <t>MCD</t>
  </si>
  <si>
    <t>ZS</t>
  </si>
  <si>
    <t>DIS</t>
  </si>
  <si>
    <t>SGE.L</t>
  </si>
  <si>
    <t>SCHW</t>
  </si>
  <si>
    <t>PG</t>
  </si>
  <si>
    <t>S</t>
  </si>
  <si>
    <t>SOUN</t>
  </si>
  <si>
    <t>ADBE</t>
  </si>
  <si>
    <t>AMBA</t>
  </si>
  <si>
    <t>SYM</t>
  </si>
  <si>
    <t>CEG</t>
  </si>
  <si>
    <t>MSFT</t>
  </si>
  <si>
    <t>SMR</t>
  </si>
  <si>
    <t>NKE</t>
  </si>
  <si>
    <t>PATH</t>
  </si>
  <si>
    <t>MDB</t>
  </si>
  <si>
    <t>SAP</t>
  </si>
  <si>
    <t>DT</t>
  </si>
  <si>
    <t>NOW</t>
  </si>
  <si>
    <t>WDAY</t>
  </si>
  <si>
    <t>BBAI</t>
  </si>
  <si>
    <t>TEM</t>
  </si>
  <si>
    <t>ORCL</t>
  </si>
  <si>
    <t>RXRX</t>
  </si>
  <si>
    <t>FIVN</t>
  </si>
  <si>
    <t>ARKK</t>
  </si>
  <si>
    <t>QLYS</t>
  </si>
  <si>
    <t>IONQ</t>
  </si>
  <si>
    <t>IBM</t>
  </si>
  <si>
    <t>APP</t>
  </si>
  <si>
    <t>ENVX</t>
  </si>
  <si>
    <t>SNOW</t>
  </si>
  <si>
    <t>SMCI</t>
  </si>
  <si>
    <t>AI</t>
  </si>
  <si>
    <t>STRONG</t>
  </si>
  <si>
    <t>WATCH</t>
  </si>
  <si>
    <t>AVOID</t>
  </si>
  <si>
    <t>AI_SEMICONDUCTORS</t>
  </si>
  <si>
    <t>AI_INFRASTRUCTURE</t>
  </si>
  <si>
    <t>OPTICAL_NETWORKING</t>
  </si>
  <si>
    <t>UNKNOWN</t>
  </si>
  <si>
    <t>CLOUD_ECOMMERCE</t>
  </si>
  <si>
    <t>EV_AUTONOMY</t>
  </si>
  <si>
    <t>FINTECH</t>
  </si>
  <si>
    <t>DIGITAL_ADVERTISING</t>
  </si>
  <si>
    <t>RISK_ON</t>
  </si>
  <si>
    <t>explanation</t>
  </si>
  <si>
    <t>STRONG_BUY</t>
  </si>
  <si>
    <t>bullish trend, potentially oversold, improves diversification</t>
  </si>
  <si>
    <t>bullish trend, improves diversification</t>
  </si>
  <si>
    <t>potentially oversold, improves diversification</t>
  </si>
  <si>
    <t>improves diversification</t>
  </si>
  <si>
    <t>asset_risk_score</t>
  </si>
  <si>
    <t>portfolio_risk</t>
  </si>
  <si>
    <t>suggested_allocation_pct</t>
  </si>
  <si>
    <t>theoretical_position_value</t>
  </si>
  <si>
    <t>executable_position_value</t>
  </si>
  <si>
    <t>capital_status</t>
  </si>
  <si>
    <t>deployable_capital</t>
  </si>
  <si>
    <t>suggested_shares</t>
  </si>
  <si>
    <t>macro_multiplier</t>
  </si>
  <si>
    <t>funding_gap</t>
  </si>
  <si>
    <t>CRITICAL</t>
  </si>
  <si>
    <t>sell_quantity</t>
  </si>
  <si>
    <t>estimated_proceeds</t>
  </si>
  <si>
    <t>estimated_gain</t>
  </si>
  <si>
    <t>gain_per_share</t>
  </si>
  <si>
    <t>tax_score</t>
  </si>
  <si>
    <t>position_risk_score</t>
  </si>
  <si>
    <t>holding_score</t>
  </si>
  <si>
    <t>Recommended because of high tax efficiency, unrealised losses available, long holding period.</t>
  </si>
  <si>
    <t>Recommended because of high tax efficiency, unrealised losses available, low concentration risk.</t>
  </si>
  <si>
    <t>Recommended because of high tax efficiency, unrealised losses available.</t>
  </si>
  <si>
    <t>Recommended because of low concentration risk.</t>
  </si>
  <si>
    <t>Recommended because of large unrealised gains, high concentration risk.</t>
  </si>
  <si>
    <t>priority</t>
  </si>
  <si>
    <t>trade_value</t>
  </si>
  <si>
    <t>reason</t>
  </si>
  <si>
    <t>REDUCE</t>
  </si>
  <si>
    <t>HOLD</t>
  </si>
  <si>
    <t>LOW</t>
  </si>
  <si>
    <t>MEDIUM</t>
  </si>
  <si>
    <t>Slightly overweight position</t>
  </si>
  <si>
    <t>Near target allocation</t>
  </si>
  <si>
    <t>Moderately overweight position</t>
  </si>
  <si>
    <t>exposure_pct</t>
  </si>
  <si>
    <t>concentration_risk</t>
  </si>
  <si>
    <t>strategy</t>
  </si>
  <si>
    <t>tax_saver</t>
  </si>
  <si>
    <t>growth</t>
  </si>
  <si>
    <t>risk_reduction</t>
  </si>
  <si>
    <t>SELL</t>
  </si>
  <si>
    <t>regime</t>
  </si>
  <si>
    <t>score</t>
  </si>
  <si>
    <t>reasons</t>
  </si>
  <si>
    <t>['growth trend positive']</t>
  </si>
  <si>
    <t>opportunity_score</t>
  </si>
  <si>
    <t>Bullish trend, Technical score 0.86, Portfolio fit 1.00, Favourable macro environment, Potentially oversold, Strong momentum</t>
  </si>
  <si>
    <t>Bullish trend, Portfolio fit 0.91, Favourable macro environment, Strong momentum</t>
  </si>
  <si>
    <t>Bullish trend, Technical score 0.82, Portfolio fit 1.00, Favourable macro environment, Potentially oversold, Strong momentum</t>
  </si>
  <si>
    <t>Bullish trend, Portfolio fit 1.00, Favourable macro environment, Strong momentum</t>
  </si>
  <si>
    <t>Bullish trend, Portfolio fit 0.82, Diversification benefit, Favourable macro environment, Strong momentum</t>
  </si>
  <si>
    <t>Bullish trend, Portfolio fit 0.82, Favourable macro environment, Strong momentum</t>
  </si>
  <si>
    <t>Bullish trend, Technical score 0.83, AI score 0.80, Favourable macro environment, Potentially oversold, Strong momentum, Strong rating</t>
  </si>
  <si>
    <t>Bullish trend, Favourable macro environment, Strong momentum</t>
  </si>
  <si>
    <t>Portfolio fit 1.00, Diversification benefit, Potentially oversold</t>
  </si>
  <si>
    <t>Portfolio fit 1.00, Diversification benefit</t>
  </si>
  <si>
    <t>Portfolio fit 1.00, Potentially oversold</t>
  </si>
  <si>
    <t>Portfolio fit 1.00</t>
  </si>
  <si>
    <t>Portfolio fit 0.90</t>
  </si>
  <si>
    <t>No strong signals</t>
  </si>
  <si>
    <t>Portfolio fit 0.83</t>
  </si>
  <si>
    <t>decision</t>
  </si>
  <si>
    <t>RAISE_CASH</t>
  </si>
  <si>
    <t>TRIM_POSITIONS</t>
  </si>
  <si>
    <t>Cash reserve below target</t>
  </si>
  <si>
    <t>Portfolio overdeployed by £8,325.70</t>
  </si>
  <si>
    <t>Metric</t>
  </si>
  <si>
    <t>Value</t>
  </si>
  <si>
    <t>cash</t>
  </si>
  <si>
    <t>target_cash_reserve</t>
  </si>
  <si>
    <t>cash_shortfall</t>
  </si>
  <si>
    <t>cash_surplus</t>
  </si>
  <si>
    <t>portfolio_value</t>
  </si>
  <si>
    <t>invested_value</t>
  </si>
  <si>
    <t>cash_percentage</t>
  </si>
  <si>
    <t>invested_percentage</t>
  </si>
  <si>
    <t>cash_funding_ratio</t>
  </si>
  <si>
    <t>max_deployment_percent</t>
  </si>
  <si>
    <t>target_invested_value</t>
  </si>
  <si>
    <t>deployment_difference</t>
  </si>
  <si>
    <t>required_sale_value</t>
  </si>
  <si>
    <t>available_cash</t>
  </si>
  <si>
    <t>required_sale_for_cash</t>
  </si>
  <si>
    <t>required_sale_for_deployment</t>
  </si>
  <si>
    <t>cash_target_achievable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</si>
</sst>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J5" sqref="A5:J6"/>
    </sheetView>
  </sheetViews>
  <sheetFormatPr defaultRowHeight="14.25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9" x14ac:dyDescent="0.45">
      <c r="A2" s="1">
        <v>45716</v>
      </c>
      <c r="B2" t="s">
        <v>8</v>
      </c>
      <c r="C2" t="s">
        <v>10</v>
      </c>
      <c r="D2" t="s">
        <v>18</v>
      </c>
      <c r="E2">
        <v>6</v>
      </c>
      <c r="F2">
        <v>655.37890625</v>
      </c>
      <c r="G2">
        <v>47.51</v>
      </c>
      <c r="H2">
        <v>0.80560702489325697</v>
      </c>
    </row>
    <row r="3" spans="1:9" x14ac:dyDescent="0.45">
      <c r="A3" s="1">
        <v>45716</v>
      </c>
      <c r="B3" t="s">
        <v>8</v>
      </c>
      <c r="C3" t="s">
        <v>11</v>
      </c>
      <c r="D3" t="s">
        <v>18</v>
      </c>
      <c r="E3">
        <v>44</v>
      </c>
      <c r="F3">
        <v>48.313999180000003</v>
      </c>
      <c r="G3">
        <v>25.65</v>
      </c>
      <c r="H3">
        <v>0.80508815715320825</v>
      </c>
    </row>
    <row r="4" spans="1:9" x14ac:dyDescent="0.45">
      <c r="A4" s="1">
        <v>45859</v>
      </c>
      <c r="B4" t="s">
        <v>8</v>
      </c>
      <c r="C4" t="s">
        <v>12</v>
      </c>
      <c r="D4" t="s">
        <v>18</v>
      </c>
      <c r="E4">
        <v>18</v>
      </c>
      <c r="F4">
        <v>172.28919983</v>
      </c>
      <c r="G4">
        <v>34.909999999999997</v>
      </c>
      <c r="H4">
        <v>0.75210589651022874</v>
      </c>
    </row>
    <row r="5" spans="1:9" x14ac:dyDescent="0.45">
      <c r="A5" s="1">
        <v>46059</v>
      </c>
      <c r="B5" t="s">
        <v>8</v>
      </c>
      <c r="C5" t="s">
        <v>13</v>
      </c>
      <c r="D5" t="s">
        <v>18</v>
      </c>
      <c r="E5">
        <v>12</v>
      </c>
      <c r="F5">
        <v>207.69039917000001</v>
      </c>
      <c r="G5">
        <v>27.87</v>
      </c>
      <c r="H5">
        <v>0.74610161904051331</v>
      </c>
      <c r="I5">
        <f>+E5*F5*H5</f>
        <v>1859.4977169588899</v>
      </c>
    </row>
    <row r="6" spans="1:9" x14ac:dyDescent="0.45">
      <c r="A6" s="1">
        <v>46059</v>
      </c>
      <c r="B6" t="s">
        <v>8</v>
      </c>
      <c r="C6" t="s">
        <v>14</v>
      </c>
      <c r="D6" t="s">
        <v>18</v>
      </c>
      <c r="E6">
        <v>31</v>
      </c>
      <c r="F6">
        <v>89.727600100000004</v>
      </c>
      <c r="G6">
        <v>31.08</v>
      </c>
      <c r="H6">
        <v>0.74565655059279701</v>
      </c>
      <c r="I6">
        <f>+I5+G5</f>
        <v>1887.3677169588898</v>
      </c>
    </row>
    <row r="7" spans="1:9" x14ac:dyDescent="0.45">
      <c r="A7" s="1">
        <v>46059</v>
      </c>
      <c r="B7" t="s">
        <v>8</v>
      </c>
      <c r="C7" t="s">
        <v>11</v>
      </c>
      <c r="D7" t="s">
        <v>18</v>
      </c>
      <c r="E7">
        <v>31</v>
      </c>
      <c r="F7">
        <v>83.737098689999996</v>
      </c>
      <c r="G7">
        <v>29.02</v>
      </c>
      <c r="H7">
        <v>0.7665184730952016</v>
      </c>
    </row>
    <row r="8" spans="1:9" x14ac:dyDescent="0.45">
      <c r="A8" s="1">
        <v>46108</v>
      </c>
      <c r="B8" t="s">
        <v>8</v>
      </c>
      <c r="C8" t="s">
        <v>15</v>
      </c>
      <c r="D8" t="s">
        <v>18</v>
      </c>
      <c r="E8">
        <v>11</v>
      </c>
      <c r="F8">
        <v>360.39498901000002</v>
      </c>
      <c r="G8">
        <v>45.5</v>
      </c>
      <c r="H8">
        <v>0.76522803795531069</v>
      </c>
    </row>
    <row r="9" spans="1:9" x14ac:dyDescent="0.45">
      <c r="A9" s="1">
        <v>46119</v>
      </c>
      <c r="B9" t="s">
        <v>8</v>
      </c>
      <c r="C9" t="s">
        <v>15</v>
      </c>
      <c r="D9" t="s">
        <v>18</v>
      </c>
      <c r="E9">
        <v>7</v>
      </c>
      <c r="F9">
        <v>339.65560913000002</v>
      </c>
      <c r="G9">
        <v>27.33</v>
      </c>
      <c r="H9">
        <v>0.76575541771958033</v>
      </c>
    </row>
    <row r="10" spans="1:9" x14ac:dyDescent="0.45">
      <c r="A10" s="1">
        <v>46125</v>
      </c>
      <c r="B10" t="s">
        <v>8</v>
      </c>
      <c r="C10" t="s">
        <v>16</v>
      </c>
      <c r="D10" t="s">
        <v>18</v>
      </c>
      <c r="E10">
        <v>80</v>
      </c>
      <c r="F10">
        <v>11.7038002</v>
      </c>
      <c r="G10">
        <v>8.19</v>
      </c>
      <c r="H10">
        <v>0.75329566854990593</v>
      </c>
    </row>
    <row r="11" spans="1:9" x14ac:dyDescent="0.45">
      <c r="A11" s="1">
        <v>46125</v>
      </c>
      <c r="B11" t="s">
        <v>8</v>
      </c>
      <c r="C11" t="s">
        <v>16</v>
      </c>
      <c r="D11" t="s">
        <v>18</v>
      </c>
      <c r="E11">
        <v>44</v>
      </c>
      <c r="F11">
        <v>11.7038002</v>
      </c>
      <c r="G11">
        <v>8.19</v>
      </c>
      <c r="H11">
        <v>0.75329566854990593</v>
      </c>
    </row>
    <row r="12" spans="1:9" x14ac:dyDescent="0.45">
      <c r="A12" s="1">
        <v>46125</v>
      </c>
      <c r="B12" t="s">
        <v>8</v>
      </c>
      <c r="C12" t="s">
        <v>17</v>
      </c>
      <c r="D12" t="s">
        <v>18</v>
      </c>
      <c r="E12">
        <v>444</v>
      </c>
      <c r="F12">
        <v>7.4671001400000003</v>
      </c>
      <c r="G12">
        <v>37.450000000000003</v>
      </c>
      <c r="H12">
        <v>0.75346594333936112</v>
      </c>
    </row>
    <row r="13" spans="1:9" x14ac:dyDescent="0.45">
      <c r="A13" s="1">
        <v>46139</v>
      </c>
      <c r="B13" t="s">
        <v>9</v>
      </c>
      <c r="C13" t="s">
        <v>17</v>
      </c>
      <c r="D13" t="s">
        <v>18</v>
      </c>
      <c r="E13">
        <v>2</v>
      </c>
      <c r="F13">
        <v>7.93</v>
      </c>
      <c r="G13">
        <v>0.12</v>
      </c>
      <c r="H13">
        <v>0.73909830007390986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C5" sqref="C5"/>
    </sheetView>
  </sheetViews>
  <sheetFormatPr defaultRowHeight="14.25" x14ac:dyDescent="0.45"/>
  <sheetData>
    <row r="1" spans="1:5" x14ac:dyDescent="0.45">
      <c r="A1" t="s">
        <v>2</v>
      </c>
      <c r="B1" t="s">
        <v>4</v>
      </c>
      <c r="C1" t="s">
        <v>19</v>
      </c>
      <c r="D1" t="s">
        <v>20</v>
      </c>
      <c r="E1" t="s">
        <v>21</v>
      </c>
    </row>
    <row r="2" spans="1:5" x14ac:dyDescent="0.45">
      <c r="A2" t="s">
        <v>10</v>
      </c>
      <c r="B2">
        <v>6</v>
      </c>
      <c r="C2">
        <v>3215.38</v>
      </c>
      <c r="D2">
        <v>535.9</v>
      </c>
      <c r="E2">
        <v>0</v>
      </c>
    </row>
    <row r="3" spans="1:5" x14ac:dyDescent="0.45">
      <c r="A3" t="s">
        <v>11</v>
      </c>
      <c r="B3">
        <v>75</v>
      </c>
      <c r="C3">
        <v>3755.91</v>
      </c>
      <c r="D3">
        <v>50.08</v>
      </c>
      <c r="E3">
        <v>0</v>
      </c>
    </row>
    <row r="4" spans="1:5" x14ac:dyDescent="0.45">
      <c r="A4" t="s">
        <v>12</v>
      </c>
      <c r="B4">
        <v>18</v>
      </c>
      <c r="C4">
        <v>2367.35</v>
      </c>
      <c r="D4">
        <v>131.52000000000001</v>
      </c>
      <c r="E4">
        <v>0</v>
      </c>
    </row>
    <row r="5" spans="1:5" x14ac:dyDescent="0.45">
      <c r="A5" t="s">
        <v>13</v>
      </c>
      <c r="B5">
        <v>12</v>
      </c>
      <c r="C5">
        <v>1887.37</v>
      </c>
      <c r="D5">
        <v>157.28</v>
      </c>
      <c r="E5">
        <v>0</v>
      </c>
    </row>
    <row r="6" spans="1:5" x14ac:dyDescent="0.45">
      <c r="A6" t="s">
        <v>14</v>
      </c>
      <c r="B6">
        <v>31</v>
      </c>
      <c r="C6">
        <v>2105.17</v>
      </c>
      <c r="D6">
        <v>67.91</v>
      </c>
      <c r="E6">
        <v>0</v>
      </c>
    </row>
    <row r="7" spans="1:5" x14ac:dyDescent="0.45">
      <c r="A7" t="s">
        <v>15</v>
      </c>
      <c r="B7">
        <v>18</v>
      </c>
      <c r="C7">
        <v>4927.1099999999997</v>
      </c>
      <c r="D7">
        <v>273.73</v>
      </c>
      <c r="E7">
        <v>0</v>
      </c>
    </row>
    <row r="8" spans="1:5" x14ac:dyDescent="0.45">
      <c r="A8" t="s">
        <v>16</v>
      </c>
      <c r="B8">
        <v>124</v>
      </c>
      <c r="C8">
        <v>1109.6199999999999</v>
      </c>
      <c r="D8">
        <v>8.9499999999999993</v>
      </c>
      <c r="E8">
        <v>0</v>
      </c>
    </row>
    <row r="9" spans="1:5" x14ac:dyDescent="0.45">
      <c r="A9" t="s">
        <v>17</v>
      </c>
      <c r="B9">
        <v>446</v>
      </c>
      <c r="C9">
        <v>2547.33</v>
      </c>
      <c r="D9">
        <v>5.71</v>
      </c>
      <c r="E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9"/>
  <sheetViews>
    <sheetView tabSelected="1" workbookViewId="0">
      <selection activeCell="A5" sqref="A5:XFD5"/>
    </sheetView>
  </sheetViews>
  <sheetFormatPr defaultRowHeight="14.25" x14ac:dyDescent="0.45"/>
  <sheetData>
    <row r="1" spans="1:15" x14ac:dyDescent="0.45">
      <c r="A1" t="s">
        <v>22</v>
      </c>
      <c r="B1" t="s">
        <v>2</v>
      </c>
      <c r="C1" t="s">
        <v>0</v>
      </c>
      <c r="D1" t="s">
        <v>23</v>
      </c>
      <c r="E1" t="s">
        <v>24</v>
      </c>
      <c r="F1" t="s">
        <v>25</v>
      </c>
      <c r="G1" t="s">
        <v>5</v>
      </c>
      <c r="H1" t="s">
        <v>7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</row>
    <row r="2" spans="1:15" x14ac:dyDescent="0.45">
      <c r="A2">
        <v>1</v>
      </c>
      <c r="B2" t="s">
        <v>10</v>
      </c>
      <c r="C2" s="1">
        <v>45716</v>
      </c>
      <c r="D2">
        <v>6</v>
      </c>
      <c r="E2">
        <v>0</v>
      </c>
      <c r="F2">
        <v>6</v>
      </c>
      <c r="G2">
        <v>655.37890625</v>
      </c>
      <c r="H2">
        <v>0.80560702489325697</v>
      </c>
      <c r="I2">
        <v>3167.87</v>
      </c>
      <c r="K2">
        <v>588.47357177734375</v>
      </c>
      <c r="L2">
        <v>2644.35</v>
      </c>
      <c r="M2">
        <v>3167.87</v>
      </c>
      <c r="N2">
        <v>-523.52</v>
      </c>
      <c r="O2">
        <v>-16.53</v>
      </c>
    </row>
    <row r="3" spans="1:15" x14ac:dyDescent="0.45">
      <c r="A3">
        <v>2</v>
      </c>
      <c r="B3" t="s">
        <v>11</v>
      </c>
      <c r="C3" s="1">
        <v>45716</v>
      </c>
      <c r="D3">
        <v>44</v>
      </c>
      <c r="E3">
        <v>0</v>
      </c>
      <c r="F3">
        <v>44</v>
      </c>
      <c r="G3">
        <v>48.313999180000003</v>
      </c>
      <c r="H3">
        <v>0.80508815715320825</v>
      </c>
      <c r="I3">
        <v>1711.47</v>
      </c>
      <c r="K3">
        <v>85.389999389648438</v>
      </c>
      <c r="L3">
        <v>2813.85</v>
      </c>
      <c r="M3">
        <v>1711.47</v>
      </c>
      <c r="N3">
        <v>1102.3800000000001</v>
      </c>
      <c r="O3">
        <v>64.41</v>
      </c>
    </row>
    <row r="4" spans="1:15" x14ac:dyDescent="0.45">
      <c r="A4">
        <v>3</v>
      </c>
      <c r="B4" t="s">
        <v>12</v>
      </c>
      <c r="C4" s="1">
        <v>45859</v>
      </c>
      <c r="D4">
        <v>18</v>
      </c>
      <c r="E4">
        <v>0</v>
      </c>
      <c r="F4">
        <v>18</v>
      </c>
      <c r="G4">
        <v>172.28919983</v>
      </c>
      <c r="H4">
        <v>0.75210589651022874</v>
      </c>
      <c r="I4">
        <v>2332.44</v>
      </c>
      <c r="K4">
        <v>209.2799987792969</v>
      </c>
      <c r="L4">
        <v>2821.25</v>
      </c>
      <c r="M4">
        <v>2332.44</v>
      </c>
      <c r="N4">
        <v>488.81</v>
      </c>
      <c r="O4">
        <v>20.96</v>
      </c>
    </row>
    <row r="5" spans="1:15" x14ac:dyDescent="0.45">
      <c r="A5">
        <v>4</v>
      </c>
      <c r="B5" t="s">
        <v>13</v>
      </c>
      <c r="C5" s="1">
        <v>46059</v>
      </c>
      <c r="D5">
        <v>12</v>
      </c>
      <c r="E5">
        <v>0</v>
      </c>
      <c r="F5">
        <v>12</v>
      </c>
      <c r="G5">
        <v>207.69039917000001</v>
      </c>
      <c r="H5">
        <v>0.74610161904051331</v>
      </c>
      <c r="I5">
        <v>1859.5</v>
      </c>
      <c r="K5">
        <v>492.1300048828125</v>
      </c>
      <c r="L5">
        <v>4422.8500000000004</v>
      </c>
      <c r="M5">
        <v>1859.5</v>
      </c>
      <c r="N5">
        <v>2563.35</v>
      </c>
      <c r="O5">
        <v>137.85</v>
      </c>
    </row>
    <row r="6" spans="1:15" x14ac:dyDescent="0.45">
      <c r="A6">
        <v>5</v>
      </c>
      <c r="B6" t="s">
        <v>14</v>
      </c>
      <c r="C6" s="1">
        <v>46059</v>
      </c>
      <c r="D6">
        <v>31</v>
      </c>
      <c r="E6">
        <v>0</v>
      </c>
      <c r="F6">
        <v>31</v>
      </c>
      <c r="G6">
        <v>89.727600100000004</v>
      </c>
      <c r="H6">
        <v>0.74565655059279701</v>
      </c>
      <c r="I6">
        <v>2074.09</v>
      </c>
      <c r="K6">
        <v>103.3399963378906</v>
      </c>
      <c r="L6">
        <v>2399.23</v>
      </c>
      <c r="M6">
        <v>2074.09</v>
      </c>
      <c r="N6">
        <v>325.14</v>
      </c>
      <c r="O6">
        <v>15.68</v>
      </c>
    </row>
    <row r="7" spans="1:15" x14ac:dyDescent="0.45">
      <c r="A7">
        <v>6</v>
      </c>
      <c r="B7" t="s">
        <v>11</v>
      </c>
      <c r="C7" s="1">
        <v>46059</v>
      </c>
      <c r="D7">
        <v>31</v>
      </c>
      <c r="E7">
        <v>0</v>
      </c>
      <c r="F7">
        <v>31</v>
      </c>
      <c r="G7">
        <v>83.737098689999996</v>
      </c>
      <c r="H7">
        <v>0.7665184730952016</v>
      </c>
      <c r="I7">
        <v>1989.77</v>
      </c>
      <c r="K7">
        <v>85.389999389648438</v>
      </c>
      <c r="L7">
        <v>1982.49</v>
      </c>
      <c r="M7">
        <v>1989.77</v>
      </c>
      <c r="N7">
        <v>-7.28</v>
      </c>
      <c r="O7">
        <v>-0.37</v>
      </c>
    </row>
    <row r="8" spans="1:15" x14ac:dyDescent="0.45">
      <c r="A8">
        <v>7</v>
      </c>
      <c r="B8" t="s">
        <v>15</v>
      </c>
      <c r="C8" s="1">
        <v>46108</v>
      </c>
      <c r="D8">
        <v>11</v>
      </c>
      <c r="E8">
        <v>0</v>
      </c>
      <c r="F8">
        <v>11</v>
      </c>
      <c r="G8">
        <v>360.39498901000002</v>
      </c>
      <c r="H8">
        <v>0.76522803795531069</v>
      </c>
      <c r="I8">
        <v>3033.63</v>
      </c>
      <c r="K8">
        <v>411.889892578125</v>
      </c>
      <c r="L8">
        <v>3393.24</v>
      </c>
      <c r="M8">
        <v>3033.63</v>
      </c>
      <c r="N8">
        <v>359.61</v>
      </c>
      <c r="O8">
        <v>11.85</v>
      </c>
    </row>
    <row r="9" spans="1:15" x14ac:dyDescent="0.45">
      <c r="A9">
        <v>8</v>
      </c>
      <c r="B9" t="s">
        <v>15</v>
      </c>
      <c r="C9" s="1">
        <v>46119</v>
      </c>
      <c r="D9">
        <v>7</v>
      </c>
      <c r="E9">
        <v>0</v>
      </c>
      <c r="F9">
        <v>7</v>
      </c>
      <c r="G9">
        <v>339.65560913000002</v>
      </c>
      <c r="H9">
        <v>0.76575541771958033</v>
      </c>
      <c r="I9">
        <v>1820.65</v>
      </c>
      <c r="K9">
        <v>411.889892578125</v>
      </c>
      <c r="L9">
        <v>2159.34</v>
      </c>
      <c r="M9">
        <v>1820.65</v>
      </c>
      <c r="N9">
        <v>338.69</v>
      </c>
      <c r="O9">
        <v>18.600000000000001</v>
      </c>
    </row>
    <row r="10" spans="1:15" x14ac:dyDescent="0.45">
      <c r="A10">
        <v>9</v>
      </c>
      <c r="B10" t="s">
        <v>16</v>
      </c>
      <c r="C10" s="1">
        <v>46125</v>
      </c>
      <c r="D10">
        <v>80</v>
      </c>
      <c r="E10">
        <v>0</v>
      </c>
      <c r="F10">
        <v>80</v>
      </c>
      <c r="G10">
        <v>11.7038002</v>
      </c>
      <c r="H10">
        <v>0.75329566854990593</v>
      </c>
      <c r="I10">
        <v>705.31</v>
      </c>
      <c r="K10">
        <v>10.14500045776367</v>
      </c>
      <c r="L10">
        <v>607.83000000000004</v>
      </c>
      <c r="M10">
        <v>705.31</v>
      </c>
      <c r="N10">
        <v>-97.48</v>
      </c>
      <c r="O10">
        <v>-13.82</v>
      </c>
    </row>
    <row r="11" spans="1:15" x14ac:dyDescent="0.45">
      <c r="A11">
        <v>10</v>
      </c>
      <c r="B11" t="s">
        <v>16</v>
      </c>
      <c r="C11" s="1">
        <v>46125</v>
      </c>
      <c r="D11">
        <v>44</v>
      </c>
      <c r="E11">
        <v>0</v>
      </c>
      <c r="F11">
        <v>44</v>
      </c>
      <c r="G11">
        <v>11.7038002</v>
      </c>
      <c r="H11">
        <v>0.75329566854990593</v>
      </c>
      <c r="I11">
        <v>387.92</v>
      </c>
      <c r="K11">
        <v>10.14500045776367</v>
      </c>
      <c r="L11">
        <v>334.31</v>
      </c>
      <c r="M11">
        <v>387.92</v>
      </c>
      <c r="N11">
        <v>-53.61</v>
      </c>
      <c r="O11">
        <v>-13.82</v>
      </c>
    </row>
    <row r="12" spans="1:15" x14ac:dyDescent="0.45">
      <c r="A12">
        <v>11</v>
      </c>
      <c r="B12" t="s">
        <v>17</v>
      </c>
      <c r="C12" s="1">
        <v>46125</v>
      </c>
      <c r="D12">
        <v>444</v>
      </c>
      <c r="E12">
        <v>0</v>
      </c>
      <c r="F12">
        <v>444</v>
      </c>
      <c r="G12">
        <v>7.4671001400000003</v>
      </c>
      <c r="H12">
        <v>0.75346594333936112</v>
      </c>
      <c r="I12">
        <v>2498.04</v>
      </c>
      <c r="K12">
        <v>12.49499988555908</v>
      </c>
      <c r="L12">
        <v>4154.8999999999996</v>
      </c>
      <c r="M12">
        <v>2498.04</v>
      </c>
      <c r="N12">
        <v>1656.86</v>
      </c>
      <c r="O12">
        <v>66.33</v>
      </c>
    </row>
    <row r="13" spans="1:15" x14ac:dyDescent="0.45">
      <c r="A13">
        <v>12</v>
      </c>
      <c r="B13" t="s">
        <v>17</v>
      </c>
      <c r="C13" s="1">
        <v>46139</v>
      </c>
      <c r="D13">
        <v>2</v>
      </c>
      <c r="E13">
        <v>0</v>
      </c>
      <c r="F13">
        <v>2</v>
      </c>
      <c r="G13">
        <v>7.93</v>
      </c>
      <c r="H13">
        <v>0.73909830007390986</v>
      </c>
      <c r="I13">
        <v>11.72</v>
      </c>
      <c r="K13">
        <v>12.49499988555908</v>
      </c>
      <c r="L13">
        <v>18.72</v>
      </c>
      <c r="M13">
        <v>11.72</v>
      </c>
      <c r="N13">
        <v>7</v>
      </c>
      <c r="O13">
        <v>59.73</v>
      </c>
    </row>
    <row r="16" spans="1:15" x14ac:dyDescent="0.45">
      <c r="I16">
        <f>+I5+27</f>
        <v>1886.5</v>
      </c>
    </row>
    <row r="18" spans="3:11" x14ac:dyDescent="0.45">
      <c r="C18">
        <v>46059</v>
      </c>
      <c r="D18" t="s">
        <v>8</v>
      </c>
      <c r="E18" t="s">
        <v>13</v>
      </c>
      <c r="F18" t="s">
        <v>18</v>
      </c>
      <c r="G18">
        <v>12</v>
      </c>
      <c r="H18">
        <v>207.69039917000001</v>
      </c>
      <c r="I18">
        <v>27.87</v>
      </c>
      <c r="J18">
        <v>0.74610161904051331</v>
      </c>
      <c r="K18">
        <v>1859.4977169588899</v>
      </c>
    </row>
    <row r="19" spans="3:11" x14ac:dyDescent="0.45">
      <c r="C19">
        <v>46059</v>
      </c>
      <c r="D19" t="s">
        <v>8</v>
      </c>
      <c r="E19" t="s">
        <v>14</v>
      </c>
      <c r="F19" t="s">
        <v>18</v>
      </c>
      <c r="G19">
        <v>31</v>
      </c>
      <c r="H19">
        <v>89.727600100000004</v>
      </c>
      <c r="I19">
        <v>31.08</v>
      </c>
      <c r="J19">
        <v>0.74565655059279701</v>
      </c>
      <c r="K19">
        <v>1887.3677169588898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85"/>
  <sheetViews>
    <sheetView workbookViewId="0"/>
  </sheetViews>
  <sheetFormatPr defaultRowHeight="14.25" x14ac:dyDescent="0.45"/>
  <sheetData>
    <row r="1" spans="1:18" x14ac:dyDescent="0.45">
      <c r="A1" t="s">
        <v>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</row>
    <row r="2" spans="1:18" x14ac:dyDescent="0.45">
      <c r="A2" t="s">
        <v>12</v>
      </c>
      <c r="B2">
        <v>205.1000061035156</v>
      </c>
      <c r="C2">
        <v>203.2200277709961</v>
      </c>
      <c r="D2">
        <v>188.3446235656738</v>
      </c>
      <c r="E2">
        <v>34.333730675104107</v>
      </c>
      <c r="F2" t="b">
        <v>1</v>
      </c>
      <c r="G2">
        <v>1</v>
      </c>
      <c r="H2">
        <v>0.82830000000000004</v>
      </c>
      <c r="I2">
        <v>0.65669999999999995</v>
      </c>
      <c r="J2">
        <v>0.8034</v>
      </c>
      <c r="K2" t="s">
        <v>126</v>
      </c>
      <c r="L2" t="s">
        <v>129</v>
      </c>
      <c r="M2">
        <v>26.1</v>
      </c>
      <c r="N2">
        <v>0.73899999999999999</v>
      </c>
      <c r="O2" t="s">
        <v>137</v>
      </c>
      <c r="P2">
        <v>1</v>
      </c>
      <c r="Q2">
        <v>1</v>
      </c>
      <c r="R2">
        <v>0.29389999999999999</v>
      </c>
    </row>
    <row r="3" spans="1:18" x14ac:dyDescent="0.45">
      <c r="A3" t="s">
        <v>14</v>
      </c>
      <c r="B3">
        <v>102.1650009155273</v>
      </c>
      <c r="C3">
        <v>107.1697993469238</v>
      </c>
      <c r="D3">
        <v>99.982999801635742</v>
      </c>
      <c r="E3">
        <v>48.717952468256883</v>
      </c>
      <c r="F3" t="b">
        <v>1</v>
      </c>
      <c r="G3">
        <v>1</v>
      </c>
      <c r="H3">
        <v>0.75639999999999996</v>
      </c>
      <c r="I3">
        <v>0.51280000000000003</v>
      </c>
      <c r="J3">
        <v>0.79990000000000006</v>
      </c>
      <c r="K3" t="s">
        <v>18</v>
      </c>
      <c r="L3" t="s">
        <v>130</v>
      </c>
      <c r="M3">
        <v>8.65</v>
      </c>
      <c r="N3">
        <v>0.91349999999999998</v>
      </c>
      <c r="O3" t="s">
        <v>137</v>
      </c>
      <c r="P3">
        <v>1</v>
      </c>
      <c r="Q3">
        <v>0.9</v>
      </c>
      <c r="R3">
        <v>0.37330000000000002</v>
      </c>
    </row>
    <row r="4" spans="1:18" x14ac:dyDescent="0.45">
      <c r="A4" t="s">
        <v>16</v>
      </c>
      <c r="B4">
        <v>10.239999771118161</v>
      </c>
      <c r="C4">
        <v>12.15800007820129</v>
      </c>
      <c r="D4">
        <v>6.276850030422211</v>
      </c>
      <c r="E4">
        <v>41.992880589572067</v>
      </c>
      <c r="F4" t="b">
        <v>1</v>
      </c>
      <c r="G4">
        <v>1</v>
      </c>
      <c r="H4">
        <v>0.79</v>
      </c>
      <c r="I4">
        <v>0.58009999999999995</v>
      </c>
      <c r="J4">
        <v>0.78139999999999998</v>
      </c>
      <c r="K4" t="s">
        <v>18</v>
      </c>
      <c r="L4" t="s">
        <v>131</v>
      </c>
      <c r="M4">
        <v>18.43</v>
      </c>
      <c r="N4">
        <v>0.81569999999999998</v>
      </c>
      <c r="O4" t="s">
        <v>137</v>
      </c>
      <c r="P4">
        <v>1</v>
      </c>
      <c r="Q4">
        <v>0.8</v>
      </c>
      <c r="R4">
        <v>0.41339999999999999</v>
      </c>
    </row>
    <row r="5" spans="1:18" x14ac:dyDescent="0.45">
      <c r="A5" t="s">
        <v>17</v>
      </c>
      <c r="B5">
        <v>12.795000076293951</v>
      </c>
      <c r="C5">
        <v>10.44609997749329</v>
      </c>
      <c r="D5">
        <v>7.293774993419647</v>
      </c>
      <c r="E5">
        <v>44.682450853163921</v>
      </c>
      <c r="F5" t="b">
        <v>1</v>
      </c>
      <c r="G5">
        <v>1</v>
      </c>
      <c r="H5">
        <v>0.77659999999999996</v>
      </c>
      <c r="I5">
        <v>0.55320000000000003</v>
      </c>
      <c r="J5">
        <v>0.7742</v>
      </c>
      <c r="K5" t="s">
        <v>18</v>
      </c>
      <c r="L5" t="s">
        <v>131</v>
      </c>
      <c r="M5">
        <v>18.43</v>
      </c>
      <c r="N5">
        <v>0.81569999999999998</v>
      </c>
      <c r="O5" t="s">
        <v>137</v>
      </c>
      <c r="P5">
        <v>1</v>
      </c>
      <c r="Q5">
        <v>0.8</v>
      </c>
      <c r="R5">
        <v>0.3926</v>
      </c>
    </row>
    <row r="6" spans="1:18" x14ac:dyDescent="0.45">
      <c r="A6" t="s">
        <v>13</v>
      </c>
      <c r="B6">
        <v>490.2449951171875</v>
      </c>
      <c r="C6">
        <v>364.45290100097662</v>
      </c>
      <c r="D6">
        <v>247.5987252044678</v>
      </c>
      <c r="E6">
        <v>62.919018091138597</v>
      </c>
      <c r="F6" t="b">
        <v>1</v>
      </c>
      <c r="G6">
        <v>1</v>
      </c>
      <c r="H6">
        <v>0.68540000000000001</v>
      </c>
      <c r="I6">
        <v>0.37080000000000002</v>
      </c>
      <c r="J6">
        <v>0.76449999999999996</v>
      </c>
      <c r="K6" t="s">
        <v>18</v>
      </c>
      <c r="L6" t="s">
        <v>129</v>
      </c>
      <c r="M6">
        <v>26.1</v>
      </c>
      <c r="N6">
        <v>0.73899999999999999</v>
      </c>
      <c r="O6" t="s">
        <v>137</v>
      </c>
      <c r="P6">
        <v>1</v>
      </c>
      <c r="Q6">
        <v>1</v>
      </c>
      <c r="R6">
        <v>0.3201</v>
      </c>
    </row>
    <row r="7" spans="1:18" x14ac:dyDescent="0.45">
      <c r="A7" t="s">
        <v>50</v>
      </c>
      <c r="B7">
        <v>30.680000305175781</v>
      </c>
      <c r="C7">
        <v>45.360599975585927</v>
      </c>
      <c r="D7">
        <v>33.266799888610841</v>
      </c>
      <c r="E7">
        <v>28.826336620678092</v>
      </c>
      <c r="F7" t="b">
        <v>1</v>
      </c>
      <c r="G7">
        <v>1</v>
      </c>
      <c r="H7">
        <v>0.85589999999999999</v>
      </c>
      <c r="I7">
        <v>0.7117</v>
      </c>
      <c r="J7">
        <v>0.76290000000000002</v>
      </c>
      <c r="K7" t="s">
        <v>18</v>
      </c>
      <c r="L7" t="s">
        <v>132</v>
      </c>
      <c r="M7">
        <v>0</v>
      </c>
      <c r="N7">
        <v>1</v>
      </c>
      <c r="O7" t="s">
        <v>137</v>
      </c>
      <c r="P7">
        <v>1</v>
      </c>
      <c r="Q7">
        <v>0.5</v>
      </c>
      <c r="R7">
        <v>0.37430000000000002</v>
      </c>
    </row>
    <row r="8" spans="1:18" x14ac:dyDescent="0.45">
      <c r="A8" t="s">
        <v>51</v>
      </c>
      <c r="B8">
        <v>360.16500854492188</v>
      </c>
      <c r="C8">
        <v>353.42949829101559</v>
      </c>
      <c r="D8">
        <v>304.26781021118171</v>
      </c>
      <c r="E8">
        <v>27.626492045944889</v>
      </c>
      <c r="F8" t="b">
        <v>1</v>
      </c>
      <c r="G8">
        <v>1</v>
      </c>
      <c r="H8">
        <v>0.8619</v>
      </c>
      <c r="I8">
        <v>0.72370000000000001</v>
      </c>
      <c r="J8">
        <v>0.76190000000000002</v>
      </c>
      <c r="K8" t="s">
        <v>18</v>
      </c>
      <c r="L8" t="s">
        <v>132</v>
      </c>
      <c r="M8">
        <v>0</v>
      </c>
      <c r="N8">
        <v>1</v>
      </c>
      <c r="O8" t="s">
        <v>137</v>
      </c>
      <c r="P8">
        <v>1</v>
      </c>
      <c r="Q8">
        <v>0.5</v>
      </c>
      <c r="R8">
        <v>0.35570000000000002</v>
      </c>
    </row>
    <row r="9" spans="1:18" x14ac:dyDescent="0.45">
      <c r="A9" t="s">
        <v>52</v>
      </c>
      <c r="B9">
        <v>308.01998901367188</v>
      </c>
      <c r="C9">
        <v>314.18840118408201</v>
      </c>
      <c r="D9">
        <v>216.86162914276119</v>
      </c>
      <c r="E9">
        <v>35.707184028839997</v>
      </c>
      <c r="F9" t="b">
        <v>1</v>
      </c>
      <c r="G9">
        <v>1</v>
      </c>
      <c r="H9">
        <v>0.82150000000000001</v>
      </c>
      <c r="I9">
        <v>0.64290000000000003</v>
      </c>
      <c r="J9">
        <v>0.74529999999999996</v>
      </c>
      <c r="K9" t="s">
        <v>18</v>
      </c>
      <c r="L9" t="s">
        <v>132</v>
      </c>
      <c r="M9">
        <v>0</v>
      </c>
      <c r="N9">
        <v>1</v>
      </c>
      <c r="O9" t="s">
        <v>137</v>
      </c>
      <c r="P9">
        <v>1</v>
      </c>
      <c r="Q9">
        <v>0.5</v>
      </c>
      <c r="R9">
        <v>0.32540000000000002</v>
      </c>
    </row>
    <row r="10" spans="1:18" x14ac:dyDescent="0.45">
      <c r="A10" t="s">
        <v>53</v>
      </c>
      <c r="B10">
        <v>246.22999572753909</v>
      </c>
      <c r="C10">
        <v>251.93140045166021</v>
      </c>
      <c r="D10">
        <v>232.24040008544921</v>
      </c>
      <c r="E10">
        <v>35.031327996633891</v>
      </c>
      <c r="F10" t="b">
        <v>1</v>
      </c>
      <c r="G10">
        <v>1</v>
      </c>
      <c r="H10">
        <v>0.82479999999999998</v>
      </c>
      <c r="I10">
        <v>0.64970000000000006</v>
      </c>
      <c r="J10">
        <v>0.74529999999999996</v>
      </c>
      <c r="K10" t="s">
        <v>18</v>
      </c>
      <c r="L10" t="s">
        <v>133</v>
      </c>
      <c r="M10">
        <v>0</v>
      </c>
      <c r="N10">
        <v>1</v>
      </c>
      <c r="O10" t="s">
        <v>137</v>
      </c>
      <c r="P10">
        <v>1</v>
      </c>
      <c r="Q10">
        <v>0.5</v>
      </c>
      <c r="R10">
        <v>0.31909999999999999</v>
      </c>
    </row>
    <row r="11" spans="1:18" x14ac:dyDescent="0.45">
      <c r="A11" t="s">
        <v>54</v>
      </c>
      <c r="B11">
        <v>474.58999633789063</v>
      </c>
      <c r="C11">
        <v>469.32080139160149</v>
      </c>
      <c r="D11">
        <v>465.23680160522463</v>
      </c>
      <c r="E11">
        <v>43.731595530400988</v>
      </c>
      <c r="F11" t="b">
        <v>1</v>
      </c>
      <c r="G11">
        <v>1</v>
      </c>
      <c r="H11">
        <v>0.78129999999999999</v>
      </c>
      <c r="I11">
        <v>0.56269999999999998</v>
      </c>
      <c r="J11">
        <v>0.73740000000000006</v>
      </c>
      <c r="K11" t="s">
        <v>18</v>
      </c>
      <c r="L11" t="s">
        <v>132</v>
      </c>
      <c r="M11">
        <v>0</v>
      </c>
      <c r="N11">
        <v>1</v>
      </c>
      <c r="O11" t="s">
        <v>137</v>
      </c>
      <c r="P11">
        <v>1</v>
      </c>
      <c r="Q11">
        <v>0.5</v>
      </c>
      <c r="R11">
        <v>0.35370000000000001</v>
      </c>
    </row>
    <row r="12" spans="1:18" x14ac:dyDescent="0.45">
      <c r="A12" t="s">
        <v>55</v>
      </c>
      <c r="B12">
        <v>398.16500854492188</v>
      </c>
      <c r="C12">
        <v>400.18270080566413</v>
      </c>
      <c r="D12">
        <v>355.4650080871582</v>
      </c>
      <c r="E12">
        <v>44.24740860301128</v>
      </c>
      <c r="F12" t="b">
        <v>1</v>
      </c>
      <c r="G12">
        <v>1</v>
      </c>
      <c r="H12">
        <v>0.77880000000000005</v>
      </c>
      <c r="I12">
        <v>0.5575</v>
      </c>
      <c r="J12">
        <v>0.72960000000000003</v>
      </c>
      <c r="K12" t="s">
        <v>18</v>
      </c>
      <c r="L12" t="s">
        <v>132</v>
      </c>
      <c r="M12">
        <v>0</v>
      </c>
      <c r="N12">
        <v>1</v>
      </c>
      <c r="O12" t="s">
        <v>137</v>
      </c>
      <c r="P12">
        <v>1</v>
      </c>
      <c r="Q12">
        <v>0.5</v>
      </c>
      <c r="R12">
        <v>0.30649999999999999</v>
      </c>
    </row>
    <row r="13" spans="1:18" x14ac:dyDescent="0.45">
      <c r="A13" t="s">
        <v>56</v>
      </c>
      <c r="B13">
        <v>111.3349990844727</v>
      </c>
      <c r="C13">
        <v>90.106899871826172</v>
      </c>
      <c r="D13">
        <v>51.712474994659424</v>
      </c>
      <c r="E13">
        <v>52.538295966693759</v>
      </c>
      <c r="F13" t="b">
        <v>1</v>
      </c>
      <c r="G13">
        <v>1</v>
      </c>
      <c r="H13">
        <v>0.73729999999999996</v>
      </c>
      <c r="I13">
        <v>0.47460000000000002</v>
      </c>
      <c r="J13">
        <v>0.7268</v>
      </c>
      <c r="K13" t="s">
        <v>18</v>
      </c>
      <c r="L13" t="s">
        <v>132</v>
      </c>
      <c r="M13">
        <v>0</v>
      </c>
      <c r="N13">
        <v>1</v>
      </c>
      <c r="O13" t="s">
        <v>137</v>
      </c>
      <c r="P13">
        <v>1</v>
      </c>
      <c r="Q13">
        <v>0.5</v>
      </c>
      <c r="R13">
        <v>0.37090000000000001</v>
      </c>
    </row>
    <row r="14" spans="1:18" x14ac:dyDescent="0.45">
      <c r="A14" t="s">
        <v>57</v>
      </c>
      <c r="B14">
        <v>104.4550018310547</v>
      </c>
      <c r="C14">
        <v>65.910900115966797</v>
      </c>
      <c r="D14">
        <v>59.796025066375726</v>
      </c>
      <c r="E14">
        <v>55.076923395228981</v>
      </c>
      <c r="F14" t="b">
        <v>1</v>
      </c>
      <c r="G14">
        <v>1</v>
      </c>
      <c r="H14">
        <v>0.72460000000000002</v>
      </c>
      <c r="I14">
        <v>0.44919999999999999</v>
      </c>
      <c r="J14">
        <v>0.7228</v>
      </c>
      <c r="K14" t="s">
        <v>18</v>
      </c>
      <c r="L14" t="s">
        <v>132</v>
      </c>
      <c r="M14">
        <v>0</v>
      </c>
      <c r="N14">
        <v>1</v>
      </c>
      <c r="O14" t="s">
        <v>137</v>
      </c>
      <c r="P14">
        <v>1</v>
      </c>
      <c r="Q14">
        <v>0.5</v>
      </c>
      <c r="R14">
        <v>0.36940000000000001</v>
      </c>
    </row>
    <row r="15" spans="1:18" x14ac:dyDescent="0.45">
      <c r="A15" t="s">
        <v>58</v>
      </c>
      <c r="B15">
        <v>15.19999980926514</v>
      </c>
      <c r="C15">
        <v>13.55879995346069</v>
      </c>
      <c r="D15">
        <v>10.168799974918359</v>
      </c>
      <c r="E15">
        <v>59.151192124220479</v>
      </c>
      <c r="F15" t="b">
        <v>1</v>
      </c>
      <c r="G15">
        <v>1</v>
      </c>
      <c r="H15">
        <v>0.70420000000000005</v>
      </c>
      <c r="I15">
        <v>0.40849999999999997</v>
      </c>
      <c r="J15">
        <v>0.72060000000000002</v>
      </c>
      <c r="K15" t="s">
        <v>18</v>
      </c>
      <c r="L15" t="s">
        <v>132</v>
      </c>
      <c r="M15">
        <v>0</v>
      </c>
      <c r="N15">
        <v>1</v>
      </c>
      <c r="O15" t="s">
        <v>137</v>
      </c>
      <c r="P15">
        <v>1</v>
      </c>
      <c r="Q15">
        <v>0.5</v>
      </c>
      <c r="R15">
        <v>0.39589999999999997</v>
      </c>
    </row>
    <row r="16" spans="1:18" x14ac:dyDescent="0.45">
      <c r="A16" t="s">
        <v>59</v>
      </c>
      <c r="B16">
        <v>198.41999816894531</v>
      </c>
      <c r="C16">
        <v>158.7630001831055</v>
      </c>
      <c r="D16">
        <v>71.014975109100348</v>
      </c>
      <c r="E16">
        <v>56.9842339396412</v>
      </c>
      <c r="F16" t="b">
        <v>1</v>
      </c>
      <c r="G16">
        <v>1</v>
      </c>
      <c r="H16">
        <v>0.71509999999999996</v>
      </c>
      <c r="I16">
        <v>0.43020000000000003</v>
      </c>
      <c r="J16">
        <v>0.71870000000000001</v>
      </c>
      <c r="K16" t="s">
        <v>18</v>
      </c>
      <c r="L16" t="s">
        <v>132</v>
      </c>
      <c r="M16">
        <v>0</v>
      </c>
      <c r="N16">
        <v>1</v>
      </c>
      <c r="O16" t="s">
        <v>137</v>
      </c>
      <c r="P16">
        <v>1</v>
      </c>
      <c r="Q16">
        <v>0.5</v>
      </c>
      <c r="R16">
        <v>0.36130000000000001</v>
      </c>
    </row>
    <row r="17" spans="1:18" x14ac:dyDescent="0.45">
      <c r="A17" t="s">
        <v>60</v>
      </c>
      <c r="B17">
        <v>36.590000152587891</v>
      </c>
      <c r="C17">
        <v>33.250200195312502</v>
      </c>
      <c r="D17">
        <v>24.21870001316071</v>
      </c>
      <c r="E17">
        <v>58.569300315437502</v>
      </c>
      <c r="F17" t="b">
        <v>1</v>
      </c>
      <c r="G17">
        <v>1</v>
      </c>
      <c r="H17">
        <v>0.70720000000000005</v>
      </c>
      <c r="I17">
        <v>0.4143</v>
      </c>
      <c r="J17">
        <v>0.71699999999999997</v>
      </c>
      <c r="K17" t="s">
        <v>18</v>
      </c>
      <c r="L17" t="s">
        <v>132</v>
      </c>
      <c r="M17">
        <v>0</v>
      </c>
      <c r="N17">
        <v>1</v>
      </c>
      <c r="O17" t="s">
        <v>137</v>
      </c>
      <c r="P17">
        <v>1</v>
      </c>
      <c r="Q17">
        <v>0.5</v>
      </c>
      <c r="R17">
        <v>0.36580000000000001</v>
      </c>
    </row>
    <row r="18" spans="1:18" x14ac:dyDescent="0.45">
      <c r="A18" t="s">
        <v>61</v>
      </c>
      <c r="B18">
        <v>230.49000549316409</v>
      </c>
      <c r="C18">
        <v>168.1130006408691</v>
      </c>
      <c r="D18">
        <v>147.5669504547119</v>
      </c>
      <c r="E18">
        <v>58.656231146694253</v>
      </c>
      <c r="F18" t="b">
        <v>1</v>
      </c>
      <c r="G18">
        <v>1</v>
      </c>
      <c r="H18">
        <v>0.70669999999999999</v>
      </c>
      <c r="I18">
        <v>0.41339999999999999</v>
      </c>
      <c r="J18">
        <v>0.7167</v>
      </c>
      <c r="K18" t="s">
        <v>18</v>
      </c>
      <c r="L18" t="s">
        <v>132</v>
      </c>
      <c r="M18">
        <v>0</v>
      </c>
      <c r="N18">
        <v>1</v>
      </c>
      <c r="O18" t="s">
        <v>137</v>
      </c>
      <c r="P18">
        <v>1</v>
      </c>
      <c r="Q18">
        <v>0.5</v>
      </c>
      <c r="R18">
        <v>0.3644</v>
      </c>
    </row>
    <row r="19" spans="1:18" x14ac:dyDescent="0.45">
      <c r="A19" t="s">
        <v>62</v>
      </c>
      <c r="B19">
        <v>125.9300003051758</v>
      </c>
      <c r="C19">
        <v>98.590917816162104</v>
      </c>
      <c r="D19">
        <v>80.037756462097164</v>
      </c>
      <c r="E19">
        <v>58.382880547095588</v>
      </c>
      <c r="F19" t="b">
        <v>1</v>
      </c>
      <c r="G19">
        <v>1</v>
      </c>
      <c r="H19">
        <v>0.70809999999999995</v>
      </c>
      <c r="I19">
        <v>0.41620000000000001</v>
      </c>
      <c r="J19">
        <v>0.71579999999999999</v>
      </c>
      <c r="K19" t="s">
        <v>18</v>
      </c>
      <c r="L19" t="s">
        <v>132</v>
      </c>
      <c r="M19">
        <v>0</v>
      </c>
      <c r="N19">
        <v>1</v>
      </c>
      <c r="O19" t="s">
        <v>137</v>
      </c>
      <c r="P19">
        <v>1</v>
      </c>
      <c r="Q19">
        <v>0.5</v>
      </c>
      <c r="R19">
        <v>0.35580000000000001</v>
      </c>
    </row>
    <row r="20" spans="1:18" x14ac:dyDescent="0.45">
      <c r="A20" t="s">
        <v>63</v>
      </c>
      <c r="B20">
        <v>97.888900756835938</v>
      </c>
      <c r="C20">
        <v>84.548378181457522</v>
      </c>
      <c r="D20">
        <v>41.941644506454473</v>
      </c>
      <c r="E20">
        <v>57.803973142257568</v>
      </c>
      <c r="F20" t="b">
        <v>1</v>
      </c>
      <c r="G20">
        <v>1</v>
      </c>
      <c r="H20">
        <v>0.71099999999999997</v>
      </c>
      <c r="I20">
        <v>0.42199999999999999</v>
      </c>
      <c r="J20">
        <v>0.71479999999999999</v>
      </c>
      <c r="K20" t="s">
        <v>18</v>
      </c>
      <c r="L20" t="s">
        <v>132</v>
      </c>
      <c r="M20">
        <v>0</v>
      </c>
      <c r="N20">
        <v>1</v>
      </c>
      <c r="O20" t="s">
        <v>137</v>
      </c>
      <c r="P20">
        <v>1</v>
      </c>
      <c r="Q20">
        <v>0.5</v>
      </c>
      <c r="R20">
        <v>0.34339999999999998</v>
      </c>
    </row>
    <row r="21" spans="1:18" x14ac:dyDescent="0.45">
      <c r="A21" t="s">
        <v>64</v>
      </c>
      <c r="B21">
        <v>657.8499755859375</v>
      </c>
      <c r="C21">
        <v>521.00760009765622</v>
      </c>
      <c r="D21">
        <v>479.22955047607422</v>
      </c>
      <c r="E21">
        <v>55.61115287980779</v>
      </c>
      <c r="F21" t="b">
        <v>1</v>
      </c>
      <c r="G21">
        <v>1</v>
      </c>
      <c r="H21">
        <v>0.72189999999999999</v>
      </c>
      <c r="I21">
        <v>0.44390000000000002</v>
      </c>
      <c r="J21">
        <v>0.71309999999999996</v>
      </c>
      <c r="K21" t="s">
        <v>18</v>
      </c>
      <c r="L21" t="s">
        <v>132</v>
      </c>
      <c r="M21">
        <v>0</v>
      </c>
      <c r="N21">
        <v>1</v>
      </c>
      <c r="O21" t="s">
        <v>137</v>
      </c>
      <c r="P21">
        <v>1</v>
      </c>
      <c r="Q21">
        <v>0.5</v>
      </c>
      <c r="R21">
        <v>0.31</v>
      </c>
    </row>
    <row r="22" spans="1:18" x14ac:dyDescent="0.45">
      <c r="A22" t="s">
        <v>65</v>
      </c>
      <c r="B22">
        <v>267.3599853515625</v>
      </c>
      <c r="C22">
        <v>206.0841995239258</v>
      </c>
      <c r="D22">
        <v>192.54455009460449</v>
      </c>
      <c r="E22">
        <v>57.91702589847386</v>
      </c>
      <c r="F22" t="b">
        <v>1</v>
      </c>
      <c r="G22">
        <v>1</v>
      </c>
      <c r="H22">
        <v>0.71040000000000003</v>
      </c>
      <c r="I22">
        <v>0.42080000000000001</v>
      </c>
      <c r="J22">
        <v>0.7127</v>
      </c>
      <c r="K22" t="s">
        <v>18</v>
      </c>
      <c r="L22" t="s">
        <v>132</v>
      </c>
      <c r="M22">
        <v>0</v>
      </c>
      <c r="N22">
        <v>1</v>
      </c>
      <c r="O22" t="s">
        <v>137</v>
      </c>
      <c r="P22">
        <v>1</v>
      </c>
      <c r="Q22">
        <v>0.5</v>
      </c>
      <c r="R22">
        <v>0.33079999999999998</v>
      </c>
    </row>
    <row r="23" spans="1:18" x14ac:dyDescent="0.45">
      <c r="A23" t="s">
        <v>66</v>
      </c>
      <c r="B23">
        <v>78.339996337890625</v>
      </c>
      <c r="C23">
        <v>65.71699150085449</v>
      </c>
      <c r="D23">
        <v>65.221443653106689</v>
      </c>
      <c r="E23">
        <v>59.404410222988503</v>
      </c>
      <c r="F23" t="b">
        <v>1</v>
      </c>
      <c r="G23">
        <v>1</v>
      </c>
      <c r="H23">
        <v>0.70299999999999996</v>
      </c>
      <c r="I23">
        <v>0.40600000000000003</v>
      </c>
      <c r="J23">
        <v>0.7107</v>
      </c>
      <c r="K23" t="s">
        <v>18</v>
      </c>
      <c r="L23" t="s">
        <v>132</v>
      </c>
      <c r="M23">
        <v>0</v>
      </c>
      <c r="N23">
        <v>1</v>
      </c>
      <c r="O23" t="s">
        <v>137</v>
      </c>
      <c r="P23">
        <v>1</v>
      </c>
      <c r="Q23">
        <v>0.5</v>
      </c>
      <c r="R23">
        <v>0.3322</v>
      </c>
    </row>
    <row r="24" spans="1:18" x14ac:dyDescent="0.45">
      <c r="A24" t="s">
        <v>67</v>
      </c>
      <c r="B24">
        <v>217.10499572753909</v>
      </c>
      <c r="C24">
        <v>168.55469955444329</v>
      </c>
      <c r="D24">
        <v>132.07787506103509</v>
      </c>
      <c r="E24">
        <v>59.035307080082291</v>
      </c>
      <c r="F24" t="b">
        <v>1</v>
      </c>
      <c r="G24">
        <v>1</v>
      </c>
      <c r="H24">
        <v>0.70479999999999998</v>
      </c>
      <c r="I24">
        <v>0.40960000000000002</v>
      </c>
      <c r="J24">
        <v>0.7107</v>
      </c>
      <c r="K24" t="s">
        <v>18</v>
      </c>
      <c r="L24" t="s">
        <v>132</v>
      </c>
      <c r="M24">
        <v>0</v>
      </c>
      <c r="N24">
        <v>1</v>
      </c>
      <c r="O24" t="s">
        <v>137</v>
      </c>
      <c r="P24">
        <v>1</v>
      </c>
      <c r="Q24">
        <v>0.5</v>
      </c>
      <c r="R24">
        <v>0.32869999999999999</v>
      </c>
    </row>
    <row r="25" spans="1:18" x14ac:dyDescent="0.45">
      <c r="A25" t="s">
        <v>68</v>
      </c>
      <c r="B25">
        <v>451.7200927734375</v>
      </c>
      <c r="C25">
        <v>419.58320922851561</v>
      </c>
      <c r="D25">
        <v>386.44200653076172</v>
      </c>
      <c r="E25">
        <v>58.687841165025482</v>
      </c>
      <c r="F25" t="b">
        <v>1</v>
      </c>
      <c r="G25">
        <v>1</v>
      </c>
      <c r="H25">
        <v>0.70660000000000001</v>
      </c>
      <c r="I25">
        <v>0.41310000000000002</v>
      </c>
      <c r="J25">
        <v>0.70930000000000004</v>
      </c>
      <c r="K25" t="s">
        <v>18</v>
      </c>
      <c r="L25" t="s">
        <v>132</v>
      </c>
      <c r="M25">
        <v>0</v>
      </c>
      <c r="N25">
        <v>1</v>
      </c>
      <c r="O25" t="s">
        <v>137</v>
      </c>
      <c r="P25">
        <v>1</v>
      </c>
      <c r="Q25">
        <v>0.5</v>
      </c>
      <c r="R25">
        <v>0.3155</v>
      </c>
    </row>
    <row r="26" spans="1:18" x14ac:dyDescent="0.45">
      <c r="A26" t="s">
        <v>69</v>
      </c>
      <c r="B26">
        <v>158.05000305175781</v>
      </c>
      <c r="C26">
        <v>152.98619964599609</v>
      </c>
      <c r="D26">
        <v>141.07264957427981</v>
      </c>
      <c r="E26">
        <v>61.961932107089467</v>
      </c>
      <c r="F26" t="b">
        <v>1</v>
      </c>
      <c r="G26">
        <v>1</v>
      </c>
      <c r="H26">
        <v>0.69020000000000004</v>
      </c>
      <c r="I26">
        <v>0.38040000000000002</v>
      </c>
      <c r="J26">
        <v>0.70760000000000001</v>
      </c>
      <c r="K26" t="s">
        <v>18</v>
      </c>
      <c r="L26" t="s">
        <v>132</v>
      </c>
      <c r="M26">
        <v>0</v>
      </c>
      <c r="N26">
        <v>1</v>
      </c>
      <c r="O26" t="s">
        <v>137</v>
      </c>
      <c r="P26">
        <v>1</v>
      </c>
      <c r="Q26">
        <v>0.5</v>
      </c>
      <c r="R26">
        <v>0.33660000000000001</v>
      </c>
    </row>
    <row r="27" spans="1:18" x14ac:dyDescent="0.45">
      <c r="A27" t="s">
        <v>70</v>
      </c>
      <c r="B27">
        <v>743.5</v>
      </c>
      <c r="C27">
        <v>715.48</v>
      </c>
      <c r="D27">
        <v>682.11847351074221</v>
      </c>
      <c r="E27">
        <v>53.748617773265757</v>
      </c>
      <c r="F27" t="b">
        <v>1</v>
      </c>
      <c r="G27">
        <v>1</v>
      </c>
      <c r="H27">
        <v>0.73129999999999995</v>
      </c>
      <c r="I27">
        <v>0.46250000000000002</v>
      </c>
      <c r="J27">
        <v>0.70599999999999996</v>
      </c>
      <c r="K27" t="s">
        <v>18</v>
      </c>
      <c r="L27" t="s">
        <v>132</v>
      </c>
      <c r="M27">
        <v>0</v>
      </c>
      <c r="N27">
        <v>1</v>
      </c>
      <c r="O27" t="s">
        <v>137</v>
      </c>
      <c r="P27">
        <v>1</v>
      </c>
      <c r="Q27">
        <v>0.5</v>
      </c>
      <c r="R27">
        <v>0.24379999999999999</v>
      </c>
    </row>
    <row r="28" spans="1:18" x14ac:dyDescent="0.45">
      <c r="A28" t="s">
        <v>71</v>
      </c>
      <c r="B28">
        <v>1669.905029296875</v>
      </c>
      <c r="C28">
        <v>1201.2134985351561</v>
      </c>
      <c r="D28">
        <v>538.37195026397706</v>
      </c>
      <c r="E28">
        <v>65.334385168633318</v>
      </c>
      <c r="F28" t="b">
        <v>1</v>
      </c>
      <c r="G28">
        <v>1</v>
      </c>
      <c r="H28">
        <v>0.67330000000000001</v>
      </c>
      <c r="I28">
        <v>0.34670000000000001</v>
      </c>
      <c r="J28">
        <v>0.70550000000000002</v>
      </c>
      <c r="K28" t="s">
        <v>18</v>
      </c>
      <c r="L28" t="s">
        <v>132</v>
      </c>
      <c r="M28">
        <v>0</v>
      </c>
      <c r="N28">
        <v>1</v>
      </c>
      <c r="O28" t="s">
        <v>137</v>
      </c>
      <c r="P28">
        <v>1</v>
      </c>
      <c r="Q28">
        <v>0.5</v>
      </c>
      <c r="R28">
        <v>0.35659999999999997</v>
      </c>
    </row>
    <row r="29" spans="1:18" x14ac:dyDescent="0.45">
      <c r="A29" t="s">
        <v>72</v>
      </c>
      <c r="B29">
        <v>404.57998657226563</v>
      </c>
      <c r="C29">
        <v>398.39820983886722</v>
      </c>
      <c r="D29">
        <v>364.81093627929693</v>
      </c>
      <c r="E29">
        <v>60.731499163153003</v>
      </c>
      <c r="F29" t="b">
        <v>1</v>
      </c>
      <c r="G29">
        <v>1</v>
      </c>
      <c r="H29">
        <v>0.69630000000000003</v>
      </c>
      <c r="I29">
        <v>0.39269999999999999</v>
      </c>
      <c r="J29">
        <v>0.70540000000000003</v>
      </c>
      <c r="K29" t="s">
        <v>18</v>
      </c>
      <c r="L29" t="s">
        <v>132</v>
      </c>
      <c r="M29">
        <v>0</v>
      </c>
      <c r="N29">
        <v>1</v>
      </c>
      <c r="O29" t="s">
        <v>137</v>
      </c>
      <c r="P29">
        <v>1</v>
      </c>
      <c r="Q29">
        <v>0.5</v>
      </c>
      <c r="R29">
        <v>0.31030000000000002</v>
      </c>
    </row>
    <row r="30" spans="1:18" x14ac:dyDescent="0.45">
      <c r="A30" t="s">
        <v>73</v>
      </c>
      <c r="B30">
        <v>720.7550048828125</v>
      </c>
      <c r="C30">
        <v>670.74849975585937</v>
      </c>
      <c r="D30">
        <v>621.63649810791014</v>
      </c>
      <c r="E30">
        <v>56.922794614745698</v>
      </c>
      <c r="F30" t="b">
        <v>1</v>
      </c>
      <c r="G30">
        <v>1</v>
      </c>
      <c r="H30">
        <v>0.71540000000000004</v>
      </c>
      <c r="I30">
        <v>0.43080000000000002</v>
      </c>
      <c r="J30">
        <v>0.70020000000000004</v>
      </c>
      <c r="K30" t="s">
        <v>18</v>
      </c>
      <c r="L30" t="s">
        <v>132</v>
      </c>
      <c r="M30">
        <v>0</v>
      </c>
      <c r="N30">
        <v>1</v>
      </c>
      <c r="O30" t="s">
        <v>137</v>
      </c>
      <c r="P30">
        <v>1</v>
      </c>
      <c r="Q30">
        <v>0.5</v>
      </c>
      <c r="R30">
        <v>0.23730000000000001</v>
      </c>
    </row>
    <row r="31" spans="1:18" x14ac:dyDescent="0.45">
      <c r="A31" t="s">
        <v>74</v>
      </c>
      <c r="B31">
        <v>430.58999633789063</v>
      </c>
      <c r="C31">
        <v>391.11800048828133</v>
      </c>
      <c r="D31">
        <v>326.34456077575692</v>
      </c>
      <c r="E31">
        <v>62.469397283298271</v>
      </c>
      <c r="F31" t="b">
        <v>1</v>
      </c>
      <c r="G31">
        <v>1</v>
      </c>
      <c r="H31">
        <v>0.68769999999999998</v>
      </c>
      <c r="I31">
        <v>0.37530000000000002</v>
      </c>
      <c r="J31">
        <v>0.69979999999999998</v>
      </c>
      <c r="K31" t="s">
        <v>18</v>
      </c>
      <c r="L31" t="s">
        <v>132</v>
      </c>
      <c r="M31">
        <v>0</v>
      </c>
      <c r="N31">
        <v>1</v>
      </c>
      <c r="O31" t="s">
        <v>137</v>
      </c>
      <c r="P31">
        <v>1</v>
      </c>
      <c r="Q31">
        <v>0.5</v>
      </c>
      <c r="R31">
        <v>0.28989999999999999</v>
      </c>
    </row>
    <row r="32" spans="1:18" x14ac:dyDescent="0.45">
      <c r="A32" t="s">
        <v>75</v>
      </c>
      <c r="B32">
        <v>286.03500366210938</v>
      </c>
      <c r="C32">
        <v>274.88890167236332</v>
      </c>
      <c r="D32">
        <v>255.0473603057861</v>
      </c>
      <c r="E32">
        <v>59.851226497263369</v>
      </c>
      <c r="F32" t="b">
        <v>1</v>
      </c>
      <c r="G32">
        <v>1</v>
      </c>
      <c r="H32">
        <v>0.70069999999999999</v>
      </c>
      <c r="I32">
        <v>0.40150000000000002</v>
      </c>
      <c r="J32">
        <v>0.6996</v>
      </c>
      <c r="K32" t="s">
        <v>18</v>
      </c>
      <c r="L32" t="s">
        <v>132</v>
      </c>
      <c r="M32">
        <v>0</v>
      </c>
      <c r="N32">
        <v>1</v>
      </c>
      <c r="O32" t="s">
        <v>137</v>
      </c>
      <c r="P32">
        <v>1</v>
      </c>
      <c r="Q32">
        <v>0.5</v>
      </c>
      <c r="R32">
        <v>0.26250000000000001</v>
      </c>
    </row>
    <row r="33" spans="1:18" x14ac:dyDescent="0.45">
      <c r="A33" t="s">
        <v>76</v>
      </c>
      <c r="B33">
        <v>392.2449951171875</v>
      </c>
      <c r="C33">
        <v>336.14870056152341</v>
      </c>
      <c r="D33">
        <v>324.69767517089838</v>
      </c>
      <c r="E33">
        <v>63.969679843300511</v>
      </c>
      <c r="F33" t="b">
        <v>1</v>
      </c>
      <c r="G33">
        <v>1</v>
      </c>
      <c r="H33">
        <v>0.68020000000000003</v>
      </c>
      <c r="I33">
        <v>0.36030000000000001</v>
      </c>
      <c r="J33">
        <v>0.69910000000000005</v>
      </c>
      <c r="K33" t="s">
        <v>18</v>
      </c>
      <c r="L33" t="s">
        <v>132</v>
      </c>
      <c r="M33">
        <v>0</v>
      </c>
      <c r="N33">
        <v>1</v>
      </c>
      <c r="O33" t="s">
        <v>137</v>
      </c>
      <c r="P33">
        <v>1</v>
      </c>
      <c r="Q33">
        <v>0.5</v>
      </c>
      <c r="R33">
        <v>0.30059999999999998</v>
      </c>
    </row>
    <row r="34" spans="1:18" x14ac:dyDescent="0.45">
      <c r="A34" t="s">
        <v>77</v>
      </c>
      <c r="B34">
        <v>144.49000549316409</v>
      </c>
      <c r="C34">
        <v>104.043999786377</v>
      </c>
      <c r="D34">
        <v>87.263250007629395</v>
      </c>
      <c r="E34">
        <v>69.448654587204402</v>
      </c>
      <c r="F34" t="b">
        <v>1</v>
      </c>
      <c r="G34">
        <v>1</v>
      </c>
      <c r="H34">
        <v>0.65280000000000005</v>
      </c>
      <c r="I34">
        <v>0.30549999999999999</v>
      </c>
      <c r="J34">
        <v>0.69899999999999995</v>
      </c>
      <c r="K34" t="s">
        <v>18</v>
      </c>
      <c r="L34" t="s">
        <v>132</v>
      </c>
      <c r="M34">
        <v>0</v>
      </c>
      <c r="N34">
        <v>1</v>
      </c>
      <c r="O34" t="s">
        <v>137</v>
      </c>
      <c r="P34">
        <v>1</v>
      </c>
      <c r="Q34">
        <v>0.5</v>
      </c>
      <c r="R34">
        <v>0.3543</v>
      </c>
    </row>
    <row r="35" spans="1:18" x14ac:dyDescent="0.45">
      <c r="A35" t="s">
        <v>78</v>
      </c>
      <c r="B35">
        <v>314.02999877929688</v>
      </c>
      <c r="C35">
        <v>282.31260589599611</v>
      </c>
      <c r="D35">
        <v>265.20723121643073</v>
      </c>
      <c r="E35">
        <v>67.139495333528032</v>
      </c>
      <c r="F35" t="b">
        <v>1</v>
      </c>
      <c r="G35">
        <v>1</v>
      </c>
      <c r="H35">
        <v>0.6643</v>
      </c>
      <c r="I35">
        <v>0.3286</v>
      </c>
      <c r="J35">
        <v>0.69810000000000005</v>
      </c>
      <c r="K35" t="s">
        <v>18</v>
      </c>
      <c r="L35" t="s">
        <v>132</v>
      </c>
      <c r="M35">
        <v>0</v>
      </c>
      <c r="N35">
        <v>1</v>
      </c>
      <c r="O35" t="s">
        <v>137</v>
      </c>
      <c r="P35">
        <v>1</v>
      </c>
      <c r="Q35">
        <v>0.5</v>
      </c>
      <c r="R35">
        <v>0.32529999999999998</v>
      </c>
    </row>
    <row r="36" spans="1:18" x14ac:dyDescent="0.45">
      <c r="A36" t="s">
        <v>79</v>
      </c>
      <c r="B36">
        <v>956.0999755859375</v>
      </c>
      <c r="C36">
        <v>629.36940002441406</v>
      </c>
      <c r="D36">
        <v>364.91139087676999</v>
      </c>
      <c r="E36">
        <v>68.610206492453102</v>
      </c>
      <c r="F36" t="b">
        <v>1</v>
      </c>
      <c r="G36">
        <v>1</v>
      </c>
      <c r="H36">
        <v>0.65690000000000004</v>
      </c>
      <c r="I36">
        <v>0.31390000000000001</v>
      </c>
      <c r="J36">
        <v>0.69579999999999997</v>
      </c>
      <c r="K36" t="s">
        <v>18</v>
      </c>
      <c r="L36" t="s">
        <v>132</v>
      </c>
      <c r="M36">
        <v>0</v>
      </c>
      <c r="N36">
        <v>1</v>
      </c>
      <c r="O36" t="s">
        <v>137</v>
      </c>
      <c r="P36">
        <v>1</v>
      </c>
      <c r="Q36">
        <v>0.5</v>
      </c>
      <c r="R36">
        <v>0.32479999999999998</v>
      </c>
    </row>
    <row r="37" spans="1:18" x14ac:dyDescent="0.45">
      <c r="A37" t="s">
        <v>80</v>
      </c>
      <c r="B37">
        <v>602.739990234375</v>
      </c>
      <c r="C37">
        <v>511.37860229492179</v>
      </c>
      <c r="D37">
        <v>397.82376281738283</v>
      </c>
      <c r="E37">
        <v>63.314195697953018</v>
      </c>
      <c r="F37" t="b">
        <v>1</v>
      </c>
      <c r="G37">
        <v>1</v>
      </c>
      <c r="H37">
        <v>0.68340000000000001</v>
      </c>
      <c r="I37">
        <v>0.3669</v>
      </c>
      <c r="J37">
        <v>0.69379999999999997</v>
      </c>
      <c r="K37" t="s">
        <v>18</v>
      </c>
      <c r="L37" t="s">
        <v>132</v>
      </c>
      <c r="M37">
        <v>0</v>
      </c>
      <c r="N37">
        <v>1</v>
      </c>
      <c r="O37" t="s">
        <v>137</v>
      </c>
      <c r="P37">
        <v>1</v>
      </c>
      <c r="Q37">
        <v>0.5</v>
      </c>
      <c r="R37">
        <v>0.25850000000000001</v>
      </c>
    </row>
    <row r="38" spans="1:18" x14ac:dyDescent="0.45">
      <c r="A38" t="s">
        <v>81</v>
      </c>
      <c r="B38">
        <v>251.35479736328119</v>
      </c>
      <c r="C38">
        <v>214.44989624023441</v>
      </c>
      <c r="D38">
        <v>206.44297424316409</v>
      </c>
      <c r="E38">
        <v>71.025246076029006</v>
      </c>
      <c r="F38" t="b">
        <v>1</v>
      </c>
      <c r="G38">
        <v>1</v>
      </c>
      <c r="H38">
        <v>0.64490000000000003</v>
      </c>
      <c r="I38">
        <v>0.28970000000000001</v>
      </c>
      <c r="J38">
        <v>0.69359999999999999</v>
      </c>
      <c r="K38" t="s">
        <v>18</v>
      </c>
      <c r="L38" t="s">
        <v>132</v>
      </c>
      <c r="M38">
        <v>0</v>
      </c>
      <c r="N38">
        <v>1</v>
      </c>
      <c r="O38" t="s">
        <v>137</v>
      </c>
      <c r="P38">
        <v>1</v>
      </c>
      <c r="Q38">
        <v>0.5</v>
      </c>
      <c r="R38">
        <v>0.33450000000000002</v>
      </c>
    </row>
    <row r="39" spans="1:18" x14ac:dyDescent="0.45">
      <c r="A39" t="s">
        <v>82</v>
      </c>
      <c r="B39">
        <v>2114.6298828125</v>
      </c>
      <c r="C39">
        <v>1794.722690429687</v>
      </c>
      <c r="D39">
        <v>1380.341477661133</v>
      </c>
      <c r="E39">
        <v>68.404438125245093</v>
      </c>
      <c r="F39" t="b">
        <v>1</v>
      </c>
      <c r="G39">
        <v>1</v>
      </c>
      <c r="H39">
        <v>0.65800000000000003</v>
      </c>
      <c r="I39">
        <v>0.316</v>
      </c>
      <c r="J39">
        <v>0.69340000000000002</v>
      </c>
      <c r="K39" t="s">
        <v>18</v>
      </c>
      <c r="L39" t="s">
        <v>132</v>
      </c>
      <c r="M39">
        <v>0</v>
      </c>
      <c r="N39">
        <v>1</v>
      </c>
      <c r="O39" t="s">
        <v>137</v>
      </c>
      <c r="P39">
        <v>1</v>
      </c>
      <c r="Q39">
        <v>0.5</v>
      </c>
      <c r="R39">
        <v>0.30640000000000001</v>
      </c>
    </row>
    <row r="40" spans="1:18" x14ac:dyDescent="0.45">
      <c r="A40" t="s">
        <v>83</v>
      </c>
      <c r="B40">
        <v>349.35000610351563</v>
      </c>
      <c r="C40">
        <v>217.25930007934571</v>
      </c>
      <c r="D40">
        <v>178.65590015411379</v>
      </c>
      <c r="E40">
        <v>73.477478307420427</v>
      </c>
      <c r="F40" t="b">
        <v>1</v>
      </c>
      <c r="G40">
        <v>1</v>
      </c>
      <c r="H40">
        <v>0.63260000000000005</v>
      </c>
      <c r="I40">
        <v>0.26519999999999999</v>
      </c>
      <c r="J40">
        <v>0.69220000000000004</v>
      </c>
      <c r="K40" t="s">
        <v>18</v>
      </c>
      <c r="L40" t="s">
        <v>132</v>
      </c>
      <c r="M40">
        <v>0</v>
      </c>
      <c r="N40">
        <v>1</v>
      </c>
      <c r="O40" t="s">
        <v>137</v>
      </c>
      <c r="P40">
        <v>1</v>
      </c>
      <c r="Q40">
        <v>0.5</v>
      </c>
      <c r="R40">
        <v>0.34920000000000001</v>
      </c>
    </row>
    <row r="41" spans="1:18" x14ac:dyDescent="0.45">
      <c r="A41" t="s">
        <v>84</v>
      </c>
      <c r="B41">
        <v>577.8499755859375</v>
      </c>
      <c r="C41">
        <v>467.4009991455078</v>
      </c>
      <c r="D41">
        <v>346.02886528015142</v>
      </c>
      <c r="E41">
        <v>66.608590923367217</v>
      </c>
      <c r="F41" t="b">
        <v>1</v>
      </c>
      <c r="G41">
        <v>1</v>
      </c>
      <c r="H41">
        <v>0.66700000000000004</v>
      </c>
      <c r="I41">
        <v>0.33389999999999997</v>
      </c>
      <c r="J41">
        <v>0.69</v>
      </c>
      <c r="K41" t="s">
        <v>18</v>
      </c>
      <c r="L41" t="s">
        <v>132</v>
      </c>
      <c r="M41">
        <v>0</v>
      </c>
      <c r="N41">
        <v>1</v>
      </c>
      <c r="O41" t="s">
        <v>137</v>
      </c>
      <c r="P41">
        <v>1</v>
      </c>
      <c r="Q41">
        <v>0.5</v>
      </c>
      <c r="R41">
        <v>0.26569999999999999</v>
      </c>
    </row>
    <row r="42" spans="1:18" x14ac:dyDescent="0.45">
      <c r="A42" t="s">
        <v>85</v>
      </c>
      <c r="B42">
        <v>360.17001342773438</v>
      </c>
      <c r="C42">
        <v>227.9179006958008</v>
      </c>
      <c r="D42">
        <v>158.30502529144289</v>
      </c>
      <c r="E42">
        <v>71.835013446016049</v>
      </c>
      <c r="F42" t="b">
        <v>1</v>
      </c>
      <c r="G42">
        <v>1</v>
      </c>
      <c r="H42">
        <v>0.64080000000000004</v>
      </c>
      <c r="I42">
        <v>0.28160000000000002</v>
      </c>
      <c r="J42">
        <v>0.68930000000000002</v>
      </c>
      <c r="K42" t="s">
        <v>18</v>
      </c>
      <c r="L42" t="s">
        <v>132</v>
      </c>
      <c r="M42">
        <v>0</v>
      </c>
      <c r="N42">
        <v>1</v>
      </c>
      <c r="O42" t="s">
        <v>137</v>
      </c>
      <c r="P42">
        <v>1</v>
      </c>
      <c r="Q42">
        <v>0.5</v>
      </c>
      <c r="R42">
        <v>0.31380000000000002</v>
      </c>
    </row>
    <row r="43" spans="1:18" x14ac:dyDescent="0.45">
      <c r="A43" t="s">
        <v>86</v>
      </c>
      <c r="B43">
        <v>403.489990234375</v>
      </c>
      <c r="C43">
        <v>246.2099917602539</v>
      </c>
      <c r="D43">
        <v>162.1127458953857</v>
      </c>
      <c r="E43">
        <v>76.173755767425291</v>
      </c>
      <c r="F43" t="b">
        <v>1</v>
      </c>
      <c r="G43">
        <v>1</v>
      </c>
      <c r="H43">
        <v>0.61909999999999998</v>
      </c>
      <c r="I43">
        <v>0.23830000000000001</v>
      </c>
      <c r="J43">
        <v>0.68730000000000002</v>
      </c>
      <c r="K43" t="s">
        <v>18</v>
      </c>
      <c r="L43" t="s">
        <v>132</v>
      </c>
      <c r="M43">
        <v>0</v>
      </c>
      <c r="N43">
        <v>1</v>
      </c>
      <c r="O43" t="s">
        <v>137</v>
      </c>
      <c r="P43">
        <v>1</v>
      </c>
      <c r="Q43">
        <v>0.5</v>
      </c>
      <c r="R43">
        <v>0.34399999999999997</v>
      </c>
    </row>
    <row r="44" spans="1:18" x14ac:dyDescent="0.45">
      <c r="A44" t="s">
        <v>87</v>
      </c>
      <c r="B44">
        <v>1752.47998046875</v>
      </c>
      <c r="C44">
        <v>1495.167888183594</v>
      </c>
      <c r="D44">
        <v>1220.475609741211</v>
      </c>
      <c r="E44">
        <v>73.052287619785147</v>
      </c>
      <c r="F44" t="b">
        <v>1</v>
      </c>
      <c r="G44">
        <v>1</v>
      </c>
      <c r="H44">
        <v>0.63470000000000004</v>
      </c>
      <c r="I44">
        <v>0.26950000000000002</v>
      </c>
      <c r="J44">
        <v>0.68689999999999996</v>
      </c>
      <c r="K44" t="s">
        <v>18</v>
      </c>
      <c r="L44" t="s">
        <v>132</v>
      </c>
      <c r="M44">
        <v>0</v>
      </c>
      <c r="N44">
        <v>1</v>
      </c>
      <c r="O44" t="s">
        <v>137</v>
      </c>
      <c r="P44">
        <v>1</v>
      </c>
      <c r="Q44">
        <v>0.5</v>
      </c>
      <c r="R44">
        <v>0.31009999999999999</v>
      </c>
    </row>
    <row r="45" spans="1:18" x14ac:dyDescent="0.45">
      <c r="A45" t="s">
        <v>88</v>
      </c>
      <c r="B45">
        <v>301.57501220703119</v>
      </c>
      <c r="C45">
        <v>169.41400558471679</v>
      </c>
      <c r="D45">
        <v>104.5721162796021</v>
      </c>
      <c r="E45">
        <v>75.737823464303247</v>
      </c>
      <c r="F45" t="b">
        <v>1</v>
      </c>
      <c r="G45">
        <v>1</v>
      </c>
      <c r="H45">
        <v>0.62129999999999996</v>
      </c>
      <c r="I45">
        <v>0.24260000000000001</v>
      </c>
      <c r="J45">
        <v>0.6865</v>
      </c>
      <c r="K45" t="s">
        <v>18</v>
      </c>
      <c r="L45" t="s">
        <v>132</v>
      </c>
      <c r="M45">
        <v>0</v>
      </c>
      <c r="N45">
        <v>1</v>
      </c>
      <c r="O45" t="s">
        <v>137</v>
      </c>
      <c r="P45">
        <v>1</v>
      </c>
      <c r="Q45">
        <v>0.5</v>
      </c>
      <c r="R45">
        <v>0.3342</v>
      </c>
    </row>
    <row r="46" spans="1:18" x14ac:dyDescent="0.45">
      <c r="A46" t="s">
        <v>89</v>
      </c>
      <c r="B46">
        <v>226.2200012207031</v>
      </c>
      <c r="C46">
        <v>173.13590026855471</v>
      </c>
      <c r="D46">
        <v>148.3994004821777</v>
      </c>
      <c r="E46">
        <v>74.866693058101561</v>
      </c>
      <c r="F46" t="b">
        <v>1</v>
      </c>
      <c r="G46">
        <v>1</v>
      </c>
      <c r="H46">
        <v>0.62570000000000003</v>
      </c>
      <c r="I46">
        <v>0.25130000000000002</v>
      </c>
      <c r="J46">
        <v>0.68640000000000001</v>
      </c>
      <c r="K46" t="s">
        <v>18</v>
      </c>
      <c r="L46" t="s">
        <v>132</v>
      </c>
      <c r="M46">
        <v>0</v>
      </c>
      <c r="N46">
        <v>1</v>
      </c>
      <c r="O46" t="s">
        <v>137</v>
      </c>
      <c r="P46">
        <v>1</v>
      </c>
      <c r="Q46">
        <v>0.5</v>
      </c>
      <c r="R46">
        <v>0.32479999999999998</v>
      </c>
    </row>
    <row r="47" spans="1:18" x14ac:dyDescent="0.45">
      <c r="A47" t="s">
        <v>90</v>
      </c>
      <c r="B47">
        <v>69.819999694824219</v>
      </c>
      <c r="C47">
        <v>75.263421020507806</v>
      </c>
      <c r="D47">
        <v>80.261653785705562</v>
      </c>
      <c r="E47">
        <v>32.495491873730003</v>
      </c>
      <c r="F47" t="b">
        <v>0</v>
      </c>
      <c r="G47">
        <v>0</v>
      </c>
      <c r="H47">
        <v>0.33750000000000002</v>
      </c>
      <c r="I47">
        <v>0.67500000000000004</v>
      </c>
      <c r="J47">
        <v>0.46920000000000001</v>
      </c>
      <c r="K47" t="s">
        <v>127</v>
      </c>
      <c r="L47" t="s">
        <v>132</v>
      </c>
      <c r="M47">
        <v>0</v>
      </c>
      <c r="N47">
        <v>1</v>
      </c>
      <c r="O47" t="s">
        <v>137</v>
      </c>
      <c r="P47">
        <v>0.25</v>
      </c>
      <c r="Q47">
        <v>0.5</v>
      </c>
      <c r="R47">
        <v>0.45319999999999999</v>
      </c>
    </row>
    <row r="48" spans="1:18" x14ac:dyDescent="0.45">
      <c r="A48" t="s">
        <v>91</v>
      </c>
      <c r="B48">
        <v>278.01998901367188</v>
      </c>
      <c r="C48">
        <v>289.13546264648443</v>
      </c>
      <c r="D48">
        <v>302.63125244140628</v>
      </c>
      <c r="E48">
        <v>46.31010567564509</v>
      </c>
      <c r="F48" t="b">
        <v>0</v>
      </c>
      <c r="G48">
        <v>0</v>
      </c>
      <c r="H48">
        <v>0.26840000000000003</v>
      </c>
      <c r="I48">
        <v>0.53690000000000004</v>
      </c>
      <c r="J48">
        <v>0.45800000000000002</v>
      </c>
      <c r="K48" t="s">
        <v>127</v>
      </c>
      <c r="L48" t="s">
        <v>132</v>
      </c>
      <c r="M48">
        <v>0</v>
      </c>
      <c r="N48">
        <v>1</v>
      </c>
      <c r="O48" t="s">
        <v>137</v>
      </c>
      <c r="P48">
        <v>0.25</v>
      </c>
      <c r="Q48">
        <v>0.5</v>
      </c>
      <c r="R48">
        <v>0.51629999999999998</v>
      </c>
    </row>
    <row r="49" spans="1:18" x14ac:dyDescent="0.45">
      <c r="A49" t="s">
        <v>92</v>
      </c>
      <c r="B49">
        <v>129.51130676269531</v>
      </c>
      <c r="C49">
        <v>142.5960252380371</v>
      </c>
      <c r="D49">
        <v>217.44030673980711</v>
      </c>
      <c r="E49">
        <v>33.124485256022609</v>
      </c>
      <c r="F49" t="b">
        <v>0</v>
      </c>
      <c r="G49">
        <v>0</v>
      </c>
      <c r="H49">
        <v>0.33439999999999998</v>
      </c>
      <c r="I49">
        <v>0.66879999999999995</v>
      </c>
      <c r="J49">
        <v>0.45490000000000003</v>
      </c>
      <c r="K49" t="s">
        <v>127</v>
      </c>
      <c r="L49" t="s">
        <v>132</v>
      </c>
      <c r="M49">
        <v>0</v>
      </c>
      <c r="N49">
        <v>1</v>
      </c>
      <c r="O49" t="s">
        <v>137</v>
      </c>
      <c r="P49">
        <v>0.25</v>
      </c>
      <c r="Q49">
        <v>0.5</v>
      </c>
      <c r="R49">
        <v>0.3639</v>
      </c>
    </row>
    <row r="50" spans="1:18" x14ac:dyDescent="0.45">
      <c r="A50" t="s">
        <v>93</v>
      </c>
      <c r="B50">
        <v>99.191703796386719</v>
      </c>
      <c r="C50">
        <v>101.9864343261719</v>
      </c>
      <c r="D50">
        <v>107.5149502563477</v>
      </c>
      <c r="E50">
        <v>32.44458196248975</v>
      </c>
      <c r="F50" t="b">
        <v>0</v>
      </c>
      <c r="G50">
        <v>0</v>
      </c>
      <c r="H50">
        <v>0.33779999999999999</v>
      </c>
      <c r="I50">
        <v>0.67559999999999998</v>
      </c>
      <c r="J50">
        <v>0.4526</v>
      </c>
      <c r="K50" t="s">
        <v>127</v>
      </c>
      <c r="L50" t="s">
        <v>132</v>
      </c>
      <c r="M50">
        <v>0</v>
      </c>
      <c r="N50">
        <v>1</v>
      </c>
      <c r="O50" t="s">
        <v>137</v>
      </c>
      <c r="P50">
        <v>0.25</v>
      </c>
      <c r="Q50">
        <v>0.5</v>
      </c>
      <c r="R50">
        <v>0.34179999999999999</v>
      </c>
    </row>
    <row r="51" spans="1:18" x14ac:dyDescent="0.45">
      <c r="A51" t="s">
        <v>94</v>
      </c>
      <c r="B51">
        <v>863.89501953125</v>
      </c>
      <c r="C51">
        <v>870.60068359374998</v>
      </c>
      <c r="D51">
        <v>987.21830444335933</v>
      </c>
      <c r="E51">
        <v>46.630153648604072</v>
      </c>
      <c r="F51" t="b">
        <v>0</v>
      </c>
      <c r="G51">
        <v>0</v>
      </c>
      <c r="H51">
        <v>0.26679999999999998</v>
      </c>
      <c r="I51">
        <v>0.53369999999999995</v>
      </c>
      <c r="J51">
        <v>0.44969999999999999</v>
      </c>
      <c r="K51" t="s">
        <v>127</v>
      </c>
      <c r="L51" t="s">
        <v>132</v>
      </c>
      <c r="M51">
        <v>0</v>
      </c>
      <c r="N51">
        <v>1</v>
      </c>
      <c r="O51" t="s">
        <v>137</v>
      </c>
      <c r="P51">
        <v>0.25</v>
      </c>
      <c r="Q51">
        <v>0.5</v>
      </c>
      <c r="R51">
        <v>0.46460000000000001</v>
      </c>
    </row>
    <row r="52" spans="1:18" x14ac:dyDescent="0.45">
      <c r="A52" t="s">
        <v>95</v>
      </c>
      <c r="B52">
        <v>88.510002136230469</v>
      </c>
      <c r="C52">
        <v>91.120363159179689</v>
      </c>
      <c r="D52">
        <v>94.370015792846687</v>
      </c>
      <c r="E52">
        <v>37.690365712266328</v>
      </c>
      <c r="F52" t="b">
        <v>0</v>
      </c>
      <c r="G52">
        <v>0</v>
      </c>
      <c r="H52">
        <v>0.3115</v>
      </c>
      <c r="I52">
        <v>0.62309999999999999</v>
      </c>
      <c r="J52">
        <v>0.44790000000000002</v>
      </c>
      <c r="K52" t="s">
        <v>127</v>
      </c>
      <c r="L52" t="s">
        <v>132</v>
      </c>
      <c r="M52">
        <v>0</v>
      </c>
      <c r="N52">
        <v>1</v>
      </c>
      <c r="O52" t="s">
        <v>137</v>
      </c>
      <c r="P52">
        <v>0.25</v>
      </c>
      <c r="Q52">
        <v>0.5</v>
      </c>
      <c r="R52">
        <v>0.36330000000000001</v>
      </c>
    </row>
    <row r="53" spans="1:18" x14ac:dyDescent="0.45">
      <c r="A53" t="s">
        <v>96</v>
      </c>
      <c r="B53">
        <v>145.44999694824219</v>
      </c>
      <c r="C53">
        <v>143.8633444213867</v>
      </c>
      <c r="D53">
        <v>147.51747550964359</v>
      </c>
      <c r="E53">
        <v>55.871062634817207</v>
      </c>
      <c r="F53" t="b">
        <v>0</v>
      </c>
      <c r="G53">
        <v>0</v>
      </c>
      <c r="H53">
        <v>0.22059999999999999</v>
      </c>
      <c r="I53">
        <v>0.44130000000000003</v>
      </c>
      <c r="J53">
        <v>0.44500000000000001</v>
      </c>
      <c r="K53" t="s">
        <v>127</v>
      </c>
      <c r="L53" t="s">
        <v>132</v>
      </c>
      <c r="M53">
        <v>0</v>
      </c>
      <c r="N53">
        <v>1</v>
      </c>
      <c r="O53" t="s">
        <v>137</v>
      </c>
      <c r="P53">
        <v>0.25</v>
      </c>
      <c r="Q53">
        <v>0.5</v>
      </c>
      <c r="R53">
        <v>0.5252</v>
      </c>
    </row>
    <row r="54" spans="1:18" x14ac:dyDescent="0.45">
      <c r="A54" t="s">
        <v>97</v>
      </c>
      <c r="B54">
        <v>15.680000305175779</v>
      </c>
      <c r="C54">
        <v>15.25360000610352</v>
      </c>
      <c r="D54">
        <v>15.618600034713751</v>
      </c>
      <c r="E54">
        <v>37.295077268468191</v>
      </c>
      <c r="F54" t="b">
        <v>0</v>
      </c>
      <c r="G54">
        <v>0</v>
      </c>
      <c r="H54">
        <v>0.3135</v>
      </c>
      <c r="I54">
        <v>0.627</v>
      </c>
      <c r="J54">
        <v>0.44429999999999997</v>
      </c>
      <c r="K54" t="s">
        <v>127</v>
      </c>
      <c r="L54" t="s">
        <v>132</v>
      </c>
      <c r="M54">
        <v>0</v>
      </c>
      <c r="N54">
        <v>1</v>
      </c>
      <c r="O54" t="s">
        <v>137</v>
      </c>
      <c r="P54">
        <v>0.25</v>
      </c>
      <c r="Q54">
        <v>0.5</v>
      </c>
      <c r="R54">
        <v>0.33529999999999999</v>
      </c>
    </row>
    <row r="55" spans="1:18" x14ac:dyDescent="0.45">
      <c r="A55" t="s">
        <v>98</v>
      </c>
      <c r="B55">
        <v>7.5300998687744141</v>
      </c>
      <c r="C55">
        <v>7.9532020187377928</v>
      </c>
      <c r="D55">
        <v>11.16132550954819</v>
      </c>
      <c r="E55">
        <v>38.737938249180417</v>
      </c>
      <c r="F55" t="b">
        <v>0</v>
      </c>
      <c r="G55">
        <v>0</v>
      </c>
      <c r="H55">
        <v>0.30630000000000002</v>
      </c>
      <c r="I55">
        <v>0.61260000000000003</v>
      </c>
      <c r="J55">
        <v>0.43959999999999999</v>
      </c>
      <c r="K55" t="s">
        <v>127</v>
      </c>
      <c r="L55" t="s">
        <v>132</v>
      </c>
      <c r="M55">
        <v>0</v>
      </c>
      <c r="N55">
        <v>1</v>
      </c>
      <c r="O55" t="s">
        <v>137</v>
      </c>
      <c r="P55">
        <v>0.25</v>
      </c>
      <c r="Q55">
        <v>0.5</v>
      </c>
      <c r="R55">
        <v>0.31830000000000003</v>
      </c>
    </row>
    <row r="56" spans="1:18" x14ac:dyDescent="0.45">
      <c r="A56" t="s">
        <v>99</v>
      </c>
      <c r="B56">
        <v>246.3699951171875</v>
      </c>
      <c r="C56">
        <v>246.24820037841801</v>
      </c>
      <c r="D56">
        <v>301.04119995117179</v>
      </c>
      <c r="E56">
        <v>44.643474651246002</v>
      </c>
      <c r="F56" t="b">
        <v>0</v>
      </c>
      <c r="G56">
        <v>0</v>
      </c>
      <c r="H56">
        <v>0.27679999999999999</v>
      </c>
      <c r="I56">
        <v>0.55359999999999998</v>
      </c>
      <c r="J56">
        <v>0.43930000000000002</v>
      </c>
      <c r="K56" t="s">
        <v>127</v>
      </c>
      <c r="L56" t="s">
        <v>132</v>
      </c>
      <c r="M56">
        <v>0</v>
      </c>
      <c r="N56">
        <v>1</v>
      </c>
      <c r="O56" t="s">
        <v>137</v>
      </c>
      <c r="P56">
        <v>0.25</v>
      </c>
      <c r="Q56">
        <v>0.5</v>
      </c>
      <c r="R56">
        <v>0.375</v>
      </c>
    </row>
    <row r="57" spans="1:18" x14ac:dyDescent="0.45">
      <c r="A57" t="s">
        <v>15</v>
      </c>
      <c r="B57">
        <v>401.57998657226563</v>
      </c>
      <c r="C57">
        <v>395.87800109863281</v>
      </c>
      <c r="D57">
        <v>414.53025039672849</v>
      </c>
      <c r="E57">
        <v>46.532528892551802</v>
      </c>
      <c r="F57" t="b">
        <v>0</v>
      </c>
      <c r="G57">
        <v>0</v>
      </c>
      <c r="H57">
        <v>0.26729999999999998</v>
      </c>
      <c r="I57">
        <v>0.53469999999999995</v>
      </c>
      <c r="J57">
        <v>0.43809999999999999</v>
      </c>
      <c r="K57" t="s">
        <v>127</v>
      </c>
      <c r="L57" t="s">
        <v>134</v>
      </c>
      <c r="M57">
        <v>20.010000000000002</v>
      </c>
      <c r="N57">
        <v>0.79990000000000006</v>
      </c>
      <c r="O57" t="s">
        <v>137</v>
      </c>
      <c r="P57">
        <v>0.25</v>
      </c>
      <c r="Q57">
        <v>0.7</v>
      </c>
      <c r="R57">
        <v>0.31950000000000001</v>
      </c>
    </row>
    <row r="58" spans="1:18" x14ac:dyDescent="0.45">
      <c r="A58" t="s">
        <v>100</v>
      </c>
      <c r="B58">
        <v>67.989997863769531</v>
      </c>
      <c r="C58">
        <v>68.060800399780277</v>
      </c>
      <c r="D58">
        <v>72.343950061798097</v>
      </c>
      <c r="E58">
        <v>42.052252298201537</v>
      </c>
      <c r="F58" t="b">
        <v>0</v>
      </c>
      <c r="G58">
        <v>0</v>
      </c>
      <c r="H58">
        <v>0.28970000000000001</v>
      </c>
      <c r="I58">
        <v>0.57950000000000002</v>
      </c>
      <c r="J58">
        <v>0.43630000000000002</v>
      </c>
      <c r="K58" t="s">
        <v>127</v>
      </c>
      <c r="L58" t="s">
        <v>132</v>
      </c>
      <c r="M58">
        <v>0</v>
      </c>
      <c r="N58">
        <v>1</v>
      </c>
      <c r="O58" t="s">
        <v>137</v>
      </c>
      <c r="P58">
        <v>0.25</v>
      </c>
      <c r="Q58">
        <v>0.5</v>
      </c>
      <c r="R58">
        <v>0.32940000000000003</v>
      </c>
    </row>
    <row r="59" spans="1:18" x14ac:dyDescent="0.45">
      <c r="A59" t="s">
        <v>101</v>
      </c>
      <c r="B59">
        <v>44.974998474121087</v>
      </c>
      <c r="C59">
        <v>53.829799957275391</v>
      </c>
      <c r="D59">
        <v>58.266849994659417</v>
      </c>
      <c r="E59">
        <v>46.021091654408188</v>
      </c>
      <c r="F59" t="b">
        <v>0</v>
      </c>
      <c r="G59">
        <v>0</v>
      </c>
      <c r="H59">
        <v>0.26989999999999997</v>
      </c>
      <c r="I59">
        <v>0.53979999999999995</v>
      </c>
      <c r="J59">
        <v>0.43459999999999999</v>
      </c>
      <c r="K59" t="s">
        <v>127</v>
      </c>
      <c r="L59" t="s">
        <v>132</v>
      </c>
      <c r="M59">
        <v>0</v>
      </c>
      <c r="N59">
        <v>1</v>
      </c>
      <c r="O59" t="s">
        <v>137</v>
      </c>
      <c r="P59">
        <v>0.25</v>
      </c>
      <c r="Q59">
        <v>0.5</v>
      </c>
      <c r="R59">
        <v>0.35770000000000002</v>
      </c>
    </row>
    <row r="60" spans="1:18" x14ac:dyDescent="0.45">
      <c r="A60" t="s">
        <v>102</v>
      </c>
      <c r="B60">
        <v>254.3999938964844</v>
      </c>
      <c r="C60">
        <v>288.16005157470698</v>
      </c>
      <c r="D60">
        <v>320.5805709075928</v>
      </c>
      <c r="E60">
        <v>46.421167445797373</v>
      </c>
      <c r="F60" t="b">
        <v>0</v>
      </c>
      <c r="G60">
        <v>0</v>
      </c>
      <c r="H60">
        <v>0.26790000000000003</v>
      </c>
      <c r="I60">
        <v>0.53580000000000005</v>
      </c>
      <c r="J60">
        <v>0.43190000000000001</v>
      </c>
      <c r="K60" t="s">
        <v>127</v>
      </c>
      <c r="L60" t="s">
        <v>132</v>
      </c>
      <c r="M60">
        <v>0</v>
      </c>
      <c r="N60">
        <v>1</v>
      </c>
      <c r="O60" t="s">
        <v>137</v>
      </c>
      <c r="P60">
        <v>0.25</v>
      </c>
      <c r="Q60">
        <v>0.5</v>
      </c>
      <c r="R60">
        <v>0.34339999999999998</v>
      </c>
    </row>
    <row r="61" spans="1:18" x14ac:dyDescent="0.45">
      <c r="A61" t="s">
        <v>103</v>
      </c>
      <c r="B61">
        <v>411.25</v>
      </c>
      <c r="C61">
        <v>408.59279968261723</v>
      </c>
      <c r="D61">
        <v>453.986689453125</v>
      </c>
      <c r="E61">
        <v>45.086912449564153</v>
      </c>
      <c r="F61" t="b">
        <v>0</v>
      </c>
      <c r="G61">
        <v>0</v>
      </c>
      <c r="H61">
        <v>0.27460000000000001</v>
      </c>
      <c r="I61">
        <v>0.54910000000000003</v>
      </c>
      <c r="J61">
        <v>0.43120000000000003</v>
      </c>
      <c r="K61" t="s">
        <v>127</v>
      </c>
      <c r="L61" t="s">
        <v>132</v>
      </c>
      <c r="M61">
        <v>0</v>
      </c>
      <c r="N61">
        <v>1</v>
      </c>
      <c r="O61" t="s">
        <v>137</v>
      </c>
      <c r="P61">
        <v>0.25</v>
      </c>
      <c r="Q61">
        <v>0.5</v>
      </c>
      <c r="R61">
        <v>0.32519999999999999</v>
      </c>
    </row>
    <row r="62" spans="1:18" x14ac:dyDescent="0.45">
      <c r="A62" t="s">
        <v>11</v>
      </c>
      <c r="B62">
        <v>84.786796569824219</v>
      </c>
      <c r="C62">
        <v>78.537836151123045</v>
      </c>
      <c r="D62">
        <v>103.1903588867188</v>
      </c>
      <c r="E62">
        <v>57.232251984124119</v>
      </c>
      <c r="F62" t="b">
        <v>0</v>
      </c>
      <c r="G62">
        <v>0</v>
      </c>
      <c r="H62">
        <v>0.21379999999999999</v>
      </c>
      <c r="I62">
        <v>0.42770000000000002</v>
      </c>
      <c r="J62">
        <v>0.42370000000000002</v>
      </c>
      <c r="K62" t="s">
        <v>127</v>
      </c>
      <c r="L62" t="s">
        <v>135</v>
      </c>
      <c r="M62">
        <v>17.28</v>
      </c>
      <c r="N62">
        <v>0.82720000000000005</v>
      </c>
      <c r="O62" t="s">
        <v>137</v>
      </c>
      <c r="P62">
        <v>0.25</v>
      </c>
      <c r="Q62">
        <v>0.7</v>
      </c>
      <c r="R62">
        <v>0.30299999999999999</v>
      </c>
    </row>
    <row r="63" spans="1:18" x14ac:dyDescent="0.45">
      <c r="A63" t="s">
        <v>10</v>
      </c>
      <c r="B63">
        <v>588.52001953125</v>
      </c>
      <c r="C63">
        <v>620.34</v>
      </c>
      <c r="D63">
        <v>660.96094085693358</v>
      </c>
      <c r="E63">
        <v>42.330830945440518</v>
      </c>
      <c r="F63" t="b">
        <v>0</v>
      </c>
      <c r="G63">
        <v>0</v>
      </c>
      <c r="H63">
        <v>0.2883</v>
      </c>
      <c r="I63">
        <v>0.57669999999999999</v>
      </c>
      <c r="J63">
        <v>0.4234</v>
      </c>
      <c r="K63" t="s">
        <v>127</v>
      </c>
      <c r="L63" t="s">
        <v>136</v>
      </c>
      <c r="M63">
        <v>9.5299999999999994</v>
      </c>
      <c r="N63">
        <v>0.90469999999999995</v>
      </c>
      <c r="O63" t="s">
        <v>137</v>
      </c>
      <c r="P63">
        <v>0.25</v>
      </c>
      <c r="Q63">
        <v>0.5</v>
      </c>
      <c r="R63">
        <v>0.34110000000000001</v>
      </c>
    </row>
    <row r="64" spans="1:18" x14ac:dyDescent="0.45">
      <c r="A64" t="s">
        <v>104</v>
      </c>
      <c r="B64">
        <v>10.87889957427979</v>
      </c>
      <c r="C64">
        <v>11.53477798461914</v>
      </c>
      <c r="D64">
        <v>21.73789448261261</v>
      </c>
      <c r="E64">
        <v>52.363460151272029</v>
      </c>
      <c r="F64" t="b">
        <v>0</v>
      </c>
      <c r="G64">
        <v>0</v>
      </c>
      <c r="H64">
        <v>0.2382</v>
      </c>
      <c r="I64">
        <v>0.47639999999999999</v>
      </c>
      <c r="J64">
        <v>0.42320000000000002</v>
      </c>
      <c r="K64" t="s">
        <v>127</v>
      </c>
      <c r="L64" t="s">
        <v>132</v>
      </c>
      <c r="M64">
        <v>0</v>
      </c>
      <c r="N64">
        <v>1</v>
      </c>
      <c r="O64" t="s">
        <v>137</v>
      </c>
      <c r="P64">
        <v>0.25</v>
      </c>
      <c r="Q64">
        <v>0.5</v>
      </c>
      <c r="R64">
        <v>0.34510000000000002</v>
      </c>
    </row>
    <row r="65" spans="1:18" x14ac:dyDescent="0.45">
      <c r="A65" t="s">
        <v>105</v>
      </c>
      <c r="B65">
        <v>43.485000610351563</v>
      </c>
      <c r="C65">
        <v>44.295111083984366</v>
      </c>
      <c r="D65">
        <v>59.09310321807861</v>
      </c>
      <c r="E65">
        <v>56.521618625277164</v>
      </c>
      <c r="F65" t="b">
        <v>0</v>
      </c>
      <c r="G65">
        <v>0</v>
      </c>
      <c r="H65">
        <v>0.21740000000000001</v>
      </c>
      <c r="I65">
        <v>0.43480000000000002</v>
      </c>
      <c r="J65">
        <v>0.42249999999999999</v>
      </c>
      <c r="K65" t="s">
        <v>127</v>
      </c>
      <c r="L65" t="s">
        <v>132</v>
      </c>
      <c r="M65">
        <v>0</v>
      </c>
      <c r="N65">
        <v>1</v>
      </c>
      <c r="O65" t="s">
        <v>137</v>
      </c>
      <c r="P65">
        <v>0.25</v>
      </c>
      <c r="Q65">
        <v>0.5</v>
      </c>
      <c r="R65">
        <v>0.38179999999999997</v>
      </c>
    </row>
    <row r="66" spans="1:18" x14ac:dyDescent="0.45">
      <c r="A66" t="s">
        <v>106</v>
      </c>
      <c r="B66">
        <v>11.10499954223633</v>
      </c>
      <c r="C66">
        <v>10.747300052642821</v>
      </c>
      <c r="D66">
        <v>13.023924980163571</v>
      </c>
      <c r="E66">
        <v>54.617665827017021</v>
      </c>
      <c r="F66" t="b">
        <v>0</v>
      </c>
      <c r="G66">
        <v>0</v>
      </c>
      <c r="H66">
        <v>0.22689999999999999</v>
      </c>
      <c r="I66">
        <v>0.45379999999999998</v>
      </c>
      <c r="J66">
        <v>0.42209999999999998</v>
      </c>
      <c r="K66" t="s">
        <v>127</v>
      </c>
      <c r="L66" t="s">
        <v>132</v>
      </c>
      <c r="M66">
        <v>0</v>
      </c>
      <c r="N66">
        <v>1</v>
      </c>
      <c r="O66" t="s">
        <v>137</v>
      </c>
      <c r="P66">
        <v>0.25</v>
      </c>
      <c r="Q66">
        <v>0.5</v>
      </c>
      <c r="R66">
        <v>0.36049999999999999</v>
      </c>
    </row>
    <row r="67" spans="1:18" x14ac:dyDescent="0.45">
      <c r="A67" t="s">
        <v>107</v>
      </c>
      <c r="B67">
        <v>356.17001342773438</v>
      </c>
      <c r="C67">
        <v>286.64920013427741</v>
      </c>
      <c r="D67">
        <v>329.32215026855471</v>
      </c>
      <c r="E67">
        <v>55.154214910228177</v>
      </c>
      <c r="F67" t="b">
        <v>0</v>
      </c>
      <c r="G67">
        <v>0</v>
      </c>
      <c r="H67">
        <v>0.22420000000000001</v>
      </c>
      <c r="I67">
        <v>0.44850000000000001</v>
      </c>
      <c r="J67">
        <v>0.42109999999999997</v>
      </c>
      <c r="K67" t="s">
        <v>127</v>
      </c>
      <c r="L67" t="s">
        <v>132</v>
      </c>
      <c r="M67">
        <v>0</v>
      </c>
      <c r="N67">
        <v>1</v>
      </c>
      <c r="O67" t="s">
        <v>137</v>
      </c>
      <c r="P67">
        <v>0.25</v>
      </c>
      <c r="Q67">
        <v>0.5</v>
      </c>
      <c r="R67">
        <v>0.3589</v>
      </c>
    </row>
    <row r="68" spans="1:18" x14ac:dyDescent="0.45">
      <c r="A68" t="s">
        <v>108</v>
      </c>
      <c r="B68">
        <v>182.25999450683591</v>
      </c>
      <c r="C68">
        <v>172.26303924560551</v>
      </c>
      <c r="D68">
        <v>219.27105781555181</v>
      </c>
      <c r="E68">
        <v>56.390095011336882</v>
      </c>
      <c r="F68" t="b">
        <v>0</v>
      </c>
      <c r="G68">
        <v>0</v>
      </c>
      <c r="H68">
        <v>0.218</v>
      </c>
      <c r="I68">
        <v>0.43609999999999999</v>
      </c>
      <c r="J68">
        <v>0.41920000000000002</v>
      </c>
      <c r="K68" t="s">
        <v>127</v>
      </c>
      <c r="L68" t="s">
        <v>132</v>
      </c>
      <c r="M68">
        <v>0</v>
      </c>
      <c r="N68">
        <v>1</v>
      </c>
      <c r="O68" t="s">
        <v>137</v>
      </c>
      <c r="P68">
        <v>0.25</v>
      </c>
      <c r="Q68">
        <v>0.5</v>
      </c>
      <c r="R68">
        <v>0.35870000000000002</v>
      </c>
    </row>
    <row r="69" spans="1:18" x14ac:dyDescent="0.45">
      <c r="A69" t="s">
        <v>109</v>
      </c>
      <c r="B69">
        <v>41.755001068115227</v>
      </c>
      <c r="C69">
        <v>38.070899887084963</v>
      </c>
      <c r="D69">
        <v>42.417275009155283</v>
      </c>
      <c r="E69">
        <v>56.544153395160009</v>
      </c>
      <c r="F69" t="b">
        <v>0</v>
      </c>
      <c r="G69">
        <v>0</v>
      </c>
      <c r="H69">
        <v>0.21729999999999999</v>
      </c>
      <c r="I69">
        <v>0.43459999999999999</v>
      </c>
      <c r="J69">
        <v>0.4178</v>
      </c>
      <c r="K69" t="s">
        <v>127</v>
      </c>
      <c r="L69" t="s">
        <v>132</v>
      </c>
      <c r="M69">
        <v>0</v>
      </c>
      <c r="N69">
        <v>1</v>
      </c>
      <c r="O69" t="s">
        <v>137</v>
      </c>
      <c r="P69">
        <v>0.25</v>
      </c>
      <c r="Q69">
        <v>0.5</v>
      </c>
      <c r="R69">
        <v>0.35089999999999999</v>
      </c>
    </row>
    <row r="70" spans="1:18" x14ac:dyDescent="0.45">
      <c r="A70" t="s">
        <v>110</v>
      </c>
      <c r="B70">
        <v>114.7900009155273</v>
      </c>
      <c r="C70">
        <v>99.279400482177735</v>
      </c>
      <c r="D70">
        <v>139.86269992828369</v>
      </c>
      <c r="E70">
        <v>57.487161004138038</v>
      </c>
      <c r="F70" t="b">
        <v>0</v>
      </c>
      <c r="G70">
        <v>0</v>
      </c>
      <c r="H70">
        <v>0.21260000000000001</v>
      </c>
      <c r="I70">
        <v>0.42509999999999998</v>
      </c>
      <c r="J70">
        <v>0.4163</v>
      </c>
      <c r="K70" t="s">
        <v>127</v>
      </c>
      <c r="L70" t="s">
        <v>132</v>
      </c>
      <c r="M70">
        <v>0</v>
      </c>
      <c r="N70">
        <v>1</v>
      </c>
      <c r="O70" t="s">
        <v>137</v>
      </c>
      <c r="P70">
        <v>0.25</v>
      </c>
      <c r="Q70">
        <v>0.5</v>
      </c>
      <c r="R70">
        <v>0.35</v>
      </c>
    </row>
    <row r="71" spans="1:18" x14ac:dyDescent="0.45">
      <c r="A71" t="s">
        <v>111</v>
      </c>
      <c r="B71">
        <v>143.2250061035156</v>
      </c>
      <c r="C71">
        <v>127.4409004211426</v>
      </c>
      <c r="D71">
        <v>183.53487480163571</v>
      </c>
      <c r="E71">
        <v>60.610992648602483</v>
      </c>
      <c r="F71" t="b">
        <v>0</v>
      </c>
      <c r="G71">
        <v>0</v>
      </c>
      <c r="H71">
        <v>0.19689999999999999</v>
      </c>
      <c r="I71">
        <v>0.39389999999999997</v>
      </c>
      <c r="J71">
        <v>0.41620000000000001</v>
      </c>
      <c r="K71" t="s">
        <v>127</v>
      </c>
      <c r="L71" t="s">
        <v>132</v>
      </c>
      <c r="M71">
        <v>0</v>
      </c>
      <c r="N71">
        <v>1</v>
      </c>
      <c r="O71" t="s">
        <v>137</v>
      </c>
      <c r="P71">
        <v>0.25</v>
      </c>
      <c r="Q71">
        <v>0.5</v>
      </c>
      <c r="R71">
        <v>0.38100000000000001</v>
      </c>
    </row>
    <row r="72" spans="1:18" x14ac:dyDescent="0.45">
      <c r="A72" t="s">
        <v>112</v>
      </c>
      <c r="B72">
        <v>4.4149999618530273</v>
      </c>
      <c r="C72">
        <v>4.0096999740600587</v>
      </c>
      <c r="D72">
        <v>5.2651250040531146</v>
      </c>
      <c r="E72">
        <v>58.31932340753665</v>
      </c>
      <c r="F72" t="b">
        <v>0</v>
      </c>
      <c r="G72">
        <v>0</v>
      </c>
      <c r="H72">
        <v>0.2084</v>
      </c>
      <c r="I72">
        <v>0.4168</v>
      </c>
      <c r="J72">
        <v>0.41489999999999999</v>
      </c>
      <c r="K72" t="s">
        <v>127</v>
      </c>
      <c r="L72" t="s">
        <v>132</v>
      </c>
      <c r="M72">
        <v>0</v>
      </c>
      <c r="N72">
        <v>1</v>
      </c>
      <c r="O72" t="s">
        <v>137</v>
      </c>
      <c r="P72">
        <v>0.25</v>
      </c>
      <c r="Q72">
        <v>0.5</v>
      </c>
      <c r="R72">
        <v>0.34899999999999998</v>
      </c>
    </row>
    <row r="73" spans="1:18" x14ac:dyDescent="0.45">
      <c r="A73" t="s">
        <v>113</v>
      </c>
      <c r="B73">
        <v>48.139999389648438</v>
      </c>
      <c r="C73">
        <v>49.286299667358399</v>
      </c>
      <c r="D73">
        <v>65.323349857330328</v>
      </c>
      <c r="E73">
        <v>57.787733264067619</v>
      </c>
      <c r="F73" t="b">
        <v>0</v>
      </c>
      <c r="G73">
        <v>0</v>
      </c>
      <c r="H73">
        <v>0.21110000000000001</v>
      </c>
      <c r="I73">
        <v>0.42209999999999998</v>
      </c>
      <c r="J73">
        <v>0.4128</v>
      </c>
      <c r="K73" t="s">
        <v>127</v>
      </c>
      <c r="L73" t="s">
        <v>132</v>
      </c>
      <c r="M73">
        <v>0</v>
      </c>
      <c r="N73">
        <v>1</v>
      </c>
      <c r="O73" t="s">
        <v>137</v>
      </c>
      <c r="P73">
        <v>0.25</v>
      </c>
      <c r="Q73">
        <v>0.5</v>
      </c>
      <c r="R73">
        <v>0.32990000000000003</v>
      </c>
    </row>
    <row r="74" spans="1:18" x14ac:dyDescent="0.45">
      <c r="A74" t="s">
        <v>114</v>
      </c>
      <c r="B74">
        <v>213.5899963378906</v>
      </c>
      <c r="C74">
        <v>180.85118103027341</v>
      </c>
      <c r="D74">
        <v>205.69537773132319</v>
      </c>
      <c r="E74">
        <v>61.001470752751892</v>
      </c>
      <c r="F74" t="b">
        <v>0</v>
      </c>
      <c r="G74">
        <v>0</v>
      </c>
      <c r="H74">
        <v>0.19500000000000001</v>
      </c>
      <c r="I74">
        <v>0.39</v>
      </c>
      <c r="J74">
        <v>0.41160000000000002</v>
      </c>
      <c r="K74" t="s">
        <v>127</v>
      </c>
      <c r="L74" t="s">
        <v>132</v>
      </c>
      <c r="M74">
        <v>0</v>
      </c>
      <c r="N74">
        <v>1</v>
      </c>
      <c r="O74" t="s">
        <v>137</v>
      </c>
      <c r="P74">
        <v>0.25</v>
      </c>
      <c r="Q74">
        <v>0.5</v>
      </c>
      <c r="R74">
        <v>0.35389999999999999</v>
      </c>
    </row>
    <row r="75" spans="1:18" x14ac:dyDescent="0.45">
      <c r="A75" t="s">
        <v>115</v>
      </c>
      <c r="B75">
        <v>3.369999885559082</v>
      </c>
      <c r="C75">
        <v>3.3228999948501592</v>
      </c>
      <c r="D75">
        <v>4.2188499987125399</v>
      </c>
      <c r="E75">
        <v>59.795915606814809</v>
      </c>
      <c r="F75" t="b">
        <v>0</v>
      </c>
      <c r="G75">
        <v>0</v>
      </c>
      <c r="H75">
        <v>0.20100000000000001</v>
      </c>
      <c r="I75">
        <v>0.40200000000000002</v>
      </c>
      <c r="J75">
        <v>0.41</v>
      </c>
      <c r="K75" t="s">
        <v>127</v>
      </c>
      <c r="L75" t="s">
        <v>132</v>
      </c>
      <c r="M75">
        <v>0</v>
      </c>
      <c r="N75">
        <v>1</v>
      </c>
      <c r="O75" t="s">
        <v>137</v>
      </c>
      <c r="P75">
        <v>0.25</v>
      </c>
      <c r="Q75">
        <v>0.5</v>
      </c>
      <c r="R75">
        <v>0.33139999999999997</v>
      </c>
    </row>
    <row r="76" spans="1:18" x14ac:dyDescent="0.45">
      <c r="A76" t="s">
        <v>116</v>
      </c>
      <c r="B76">
        <v>23.319999694824219</v>
      </c>
      <c r="C76">
        <v>19.24920007705688</v>
      </c>
      <c r="D76">
        <v>20.343000068664551</v>
      </c>
      <c r="E76">
        <v>59.647579120935823</v>
      </c>
      <c r="F76" t="b">
        <v>0</v>
      </c>
      <c r="G76">
        <v>0</v>
      </c>
      <c r="H76">
        <v>0.20180000000000001</v>
      </c>
      <c r="I76">
        <v>0.40350000000000003</v>
      </c>
      <c r="J76">
        <v>0.40920000000000001</v>
      </c>
      <c r="K76" t="s">
        <v>127</v>
      </c>
      <c r="L76" t="s">
        <v>132</v>
      </c>
      <c r="M76">
        <v>0</v>
      </c>
      <c r="N76">
        <v>1</v>
      </c>
      <c r="O76" t="s">
        <v>137</v>
      </c>
      <c r="P76">
        <v>0.25</v>
      </c>
      <c r="Q76">
        <v>0.5</v>
      </c>
      <c r="R76">
        <v>0.3241</v>
      </c>
    </row>
    <row r="77" spans="1:18" x14ac:dyDescent="0.45">
      <c r="A77" t="s">
        <v>117</v>
      </c>
      <c r="B77">
        <v>76.050003051757813</v>
      </c>
      <c r="C77">
        <v>75.45740028381347</v>
      </c>
      <c r="D77">
        <v>78.078150157928462</v>
      </c>
      <c r="E77">
        <v>53.490481761912449</v>
      </c>
      <c r="F77" t="b">
        <v>0</v>
      </c>
      <c r="G77">
        <v>0</v>
      </c>
      <c r="H77">
        <v>0.23250000000000001</v>
      </c>
      <c r="I77">
        <v>0.46510000000000001</v>
      </c>
      <c r="J77">
        <v>0.40770000000000001</v>
      </c>
      <c r="K77" t="s">
        <v>127</v>
      </c>
      <c r="L77" t="s">
        <v>132</v>
      </c>
      <c r="M77">
        <v>0</v>
      </c>
      <c r="N77">
        <v>1</v>
      </c>
      <c r="O77" t="s">
        <v>137</v>
      </c>
      <c r="P77">
        <v>0.25</v>
      </c>
      <c r="Q77">
        <v>0.5</v>
      </c>
      <c r="R77">
        <v>0.253</v>
      </c>
    </row>
    <row r="78" spans="1:18" x14ac:dyDescent="0.45">
      <c r="A78" t="s">
        <v>118</v>
      </c>
      <c r="B78">
        <v>108.86000061035161</v>
      </c>
      <c r="C78">
        <v>92.483999481201167</v>
      </c>
      <c r="D78">
        <v>118.43449993133549</v>
      </c>
      <c r="E78">
        <v>68.566551114738047</v>
      </c>
      <c r="F78" t="b">
        <v>0</v>
      </c>
      <c r="G78">
        <v>0</v>
      </c>
      <c r="H78">
        <v>0.15720000000000001</v>
      </c>
      <c r="I78">
        <v>0.31430000000000002</v>
      </c>
      <c r="J78">
        <v>0.4073</v>
      </c>
      <c r="K78" t="s">
        <v>127</v>
      </c>
      <c r="L78" t="s">
        <v>132</v>
      </c>
      <c r="M78">
        <v>0</v>
      </c>
      <c r="N78">
        <v>1</v>
      </c>
      <c r="O78" t="s">
        <v>137</v>
      </c>
      <c r="P78">
        <v>0.25</v>
      </c>
      <c r="Q78">
        <v>0.5</v>
      </c>
      <c r="R78">
        <v>0.4012</v>
      </c>
    </row>
    <row r="79" spans="1:18" x14ac:dyDescent="0.45">
      <c r="A79" t="s">
        <v>119</v>
      </c>
      <c r="B79">
        <v>62.900001525878913</v>
      </c>
      <c r="C79">
        <v>47.813800163269043</v>
      </c>
      <c r="D79">
        <v>48.630400056838987</v>
      </c>
      <c r="E79">
        <v>63.538549903165702</v>
      </c>
      <c r="F79" t="b">
        <v>0</v>
      </c>
      <c r="G79">
        <v>0</v>
      </c>
      <c r="H79">
        <v>0.18229999999999999</v>
      </c>
      <c r="I79">
        <v>0.36459999999999998</v>
      </c>
      <c r="J79">
        <v>0.40589999999999998</v>
      </c>
      <c r="K79" t="s">
        <v>127</v>
      </c>
      <c r="L79" t="s">
        <v>132</v>
      </c>
      <c r="M79">
        <v>0</v>
      </c>
      <c r="N79">
        <v>1</v>
      </c>
      <c r="O79" t="s">
        <v>137</v>
      </c>
      <c r="P79">
        <v>0.25</v>
      </c>
      <c r="Q79">
        <v>0.5</v>
      </c>
      <c r="R79">
        <v>0.34160000000000001</v>
      </c>
    </row>
    <row r="80" spans="1:18" x14ac:dyDescent="0.45">
      <c r="A80" t="s">
        <v>120</v>
      </c>
      <c r="B80">
        <v>283.010009765625</v>
      </c>
      <c r="C80">
        <v>245.42594268798831</v>
      </c>
      <c r="D80">
        <v>269.24322967529298</v>
      </c>
      <c r="E80">
        <v>68.850103586789231</v>
      </c>
      <c r="F80" t="b">
        <v>0</v>
      </c>
      <c r="G80">
        <v>0</v>
      </c>
      <c r="H80">
        <v>0.15570000000000001</v>
      </c>
      <c r="I80">
        <v>0.3115</v>
      </c>
      <c r="J80">
        <v>0.40229999999999999</v>
      </c>
      <c r="K80" t="s">
        <v>127</v>
      </c>
      <c r="L80" t="s">
        <v>132</v>
      </c>
      <c r="M80">
        <v>0</v>
      </c>
      <c r="N80">
        <v>1</v>
      </c>
      <c r="O80" t="s">
        <v>137</v>
      </c>
      <c r="P80">
        <v>0.25</v>
      </c>
      <c r="Q80">
        <v>0.5</v>
      </c>
      <c r="R80">
        <v>0.3705</v>
      </c>
    </row>
    <row r="81" spans="1:18" x14ac:dyDescent="0.45">
      <c r="A81" t="s">
        <v>121</v>
      </c>
      <c r="B81">
        <v>570.71002197265625</v>
      </c>
      <c r="C81">
        <v>475.35800292968747</v>
      </c>
      <c r="D81">
        <v>540.84597595214848</v>
      </c>
      <c r="E81">
        <v>66.975854732623731</v>
      </c>
      <c r="F81" t="b">
        <v>0</v>
      </c>
      <c r="G81">
        <v>0</v>
      </c>
      <c r="H81">
        <v>0.1651</v>
      </c>
      <c r="I81">
        <v>0.33019999999999999</v>
      </c>
      <c r="J81">
        <v>0.40200000000000002</v>
      </c>
      <c r="K81" t="s">
        <v>127</v>
      </c>
      <c r="L81" t="s">
        <v>132</v>
      </c>
      <c r="M81">
        <v>0</v>
      </c>
      <c r="N81">
        <v>1</v>
      </c>
      <c r="O81" t="s">
        <v>137</v>
      </c>
      <c r="P81">
        <v>0.25</v>
      </c>
      <c r="Q81">
        <v>0.5</v>
      </c>
      <c r="R81">
        <v>0.35010000000000002</v>
      </c>
    </row>
    <row r="82" spans="1:18" x14ac:dyDescent="0.45">
      <c r="A82" t="s">
        <v>122</v>
      </c>
      <c r="B82">
        <v>7.429999828338623</v>
      </c>
      <c r="C82">
        <v>6.5809999942779536</v>
      </c>
      <c r="D82">
        <v>7.9321500182151796</v>
      </c>
      <c r="E82">
        <v>63.992540699306772</v>
      </c>
      <c r="F82" t="b">
        <v>0</v>
      </c>
      <c r="G82">
        <v>0</v>
      </c>
      <c r="H82">
        <v>0.18</v>
      </c>
      <c r="I82">
        <v>0.36009999999999998</v>
      </c>
      <c r="J82">
        <v>0.40179999999999999</v>
      </c>
      <c r="K82" t="s">
        <v>127</v>
      </c>
      <c r="L82" t="s">
        <v>132</v>
      </c>
      <c r="M82">
        <v>0</v>
      </c>
      <c r="N82">
        <v>1</v>
      </c>
      <c r="O82" t="s">
        <v>137</v>
      </c>
      <c r="P82">
        <v>0.25</v>
      </c>
      <c r="Q82">
        <v>0.5</v>
      </c>
      <c r="R82">
        <v>0.31850000000000001</v>
      </c>
    </row>
    <row r="83" spans="1:18" x14ac:dyDescent="0.45">
      <c r="A83" t="s">
        <v>123</v>
      </c>
      <c r="B83">
        <v>242.88499450683591</v>
      </c>
      <c r="C83">
        <v>166.0987008666992</v>
      </c>
      <c r="D83">
        <v>204.6940754699707</v>
      </c>
      <c r="E83">
        <v>71.731734108793972</v>
      </c>
      <c r="F83" t="b">
        <v>0</v>
      </c>
      <c r="G83">
        <v>0</v>
      </c>
      <c r="H83">
        <v>0.14130000000000001</v>
      </c>
      <c r="I83">
        <v>0.28270000000000001</v>
      </c>
      <c r="J83">
        <v>0.39560000000000001</v>
      </c>
      <c r="K83" t="s">
        <v>128</v>
      </c>
      <c r="L83" t="s">
        <v>132</v>
      </c>
      <c r="M83">
        <v>0</v>
      </c>
      <c r="N83">
        <v>1</v>
      </c>
      <c r="O83" t="s">
        <v>137</v>
      </c>
      <c r="P83">
        <v>0.25</v>
      </c>
      <c r="Q83">
        <v>0.5</v>
      </c>
      <c r="R83">
        <v>0.3548</v>
      </c>
    </row>
    <row r="84" spans="1:18" x14ac:dyDescent="0.45">
      <c r="A84" t="s">
        <v>124</v>
      </c>
      <c r="B84">
        <v>43.490001678466797</v>
      </c>
      <c r="C84">
        <v>31.370999870300292</v>
      </c>
      <c r="D84">
        <v>36.021649942398071</v>
      </c>
      <c r="E84">
        <v>70.871864283959098</v>
      </c>
      <c r="F84" t="b">
        <v>0</v>
      </c>
      <c r="G84">
        <v>0</v>
      </c>
      <c r="H84">
        <v>0.14560000000000001</v>
      </c>
      <c r="I84">
        <v>0.2913</v>
      </c>
      <c r="J84">
        <v>0.3947</v>
      </c>
      <c r="K84" t="s">
        <v>128</v>
      </c>
      <c r="L84" t="s">
        <v>132</v>
      </c>
      <c r="M84">
        <v>0</v>
      </c>
      <c r="N84">
        <v>1</v>
      </c>
      <c r="O84" t="s">
        <v>137</v>
      </c>
      <c r="P84">
        <v>0.25</v>
      </c>
      <c r="Q84">
        <v>0.5</v>
      </c>
      <c r="R84">
        <v>0.34039999999999998</v>
      </c>
    </row>
    <row r="85" spans="1:18" x14ac:dyDescent="0.45">
      <c r="A85" t="s">
        <v>125</v>
      </c>
      <c r="B85">
        <v>10.64500045776367</v>
      </c>
      <c r="C85">
        <v>9.24310001373291</v>
      </c>
      <c r="D85">
        <v>12.94967499732971</v>
      </c>
      <c r="E85">
        <v>70.530883550884056</v>
      </c>
      <c r="F85" t="b">
        <v>0</v>
      </c>
      <c r="G85">
        <v>0</v>
      </c>
      <c r="H85">
        <v>0.14729999999999999</v>
      </c>
      <c r="I85">
        <v>0.29470000000000002</v>
      </c>
      <c r="J85">
        <v>0.39369999999999999</v>
      </c>
      <c r="K85" t="s">
        <v>128</v>
      </c>
      <c r="L85" t="s">
        <v>132</v>
      </c>
      <c r="M85">
        <v>0</v>
      </c>
      <c r="N85">
        <v>1</v>
      </c>
      <c r="O85" t="s">
        <v>137</v>
      </c>
      <c r="P85">
        <v>0.25</v>
      </c>
      <c r="Q85">
        <v>0.5</v>
      </c>
      <c r="R85">
        <v>0.3301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85"/>
  <sheetViews>
    <sheetView workbookViewId="0"/>
  </sheetViews>
  <sheetFormatPr defaultRowHeight="14.25" x14ac:dyDescent="0.45"/>
  <sheetData>
    <row r="1" spans="1:11" x14ac:dyDescent="0.45">
      <c r="A1" t="s">
        <v>2</v>
      </c>
      <c r="B1" t="s">
        <v>43</v>
      </c>
      <c r="C1" t="s">
        <v>33</v>
      </c>
      <c r="D1" t="s">
        <v>41</v>
      </c>
      <c r="E1" t="s">
        <v>34</v>
      </c>
      <c r="F1" t="s">
        <v>35</v>
      </c>
      <c r="G1" t="s">
        <v>37</v>
      </c>
      <c r="H1" t="s">
        <v>42</v>
      </c>
      <c r="I1" t="s">
        <v>36</v>
      </c>
      <c r="J1" t="s">
        <v>45</v>
      </c>
      <c r="K1" t="s">
        <v>138</v>
      </c>
    </row>
    <row r="2" spans="1:11" x14ac:dyDescent="0.45">
      <c r="A2" t="s">
        <v>12</v>
      </c>
      <c r="B2" t="s">
        <v>129</v>
      </c>
      <c r="C2">
        <v>205.1000061035156</v>
      </c>
      <c r="D2">
        <v>0.8034</v>
      </c>
      <c r="E2">
        <v>203.2200277709961</v>
      </c>
      <c r="F2">
        <v>188.3446235656738</v>
      </c>
      <c r="G2" t="b">
        <v>1</v>
      </c>
      <c r="H2" t="s">
        <v>139</v>
      </c>
      <c r="I2">
        <v>34.333730675104107</v>
      </c>
      <c r="J2">
        <v>0.73899999999999999</v>
      </c>
      <c r="K2" t="s">
        <v>140</v>
      </c>
    </row>
    <row r="3" spans="1:11" x14ac:dyDescent="0.45">
      <c r="A3" t="s">
        <v>14</v>
      </c>
      <c r="B3" t="s">
        <v>130</v>
      </c>
      <c r="C3">
        <v>102.1650009155273</v>
      </c>
      <c r="D3">
        <v>0.79990000000000006</v>
      </c>
      <c r="E3">
        <v>107.1697993469238</v>
      </c>
      <c r="F3">
        <v>99.982999801635742</v>
      </c>
      <c r="G3" t="b">
        <v>1</v>
      </c>
      <c r="H3" t="s">
        <v>18</v>
      </c>
      <c r="I3">
        <v>48.717952468256883</v>
      </c>
      <c r="J3">
        <v>0.91349999999999998</v>
      </c>
      <c r="K3" t="s">
        <v>141</v>
      </c>
    </row>
    <row r="4" spans="1:11" x14ac:dyDescent="0.45">
      <c r="A4" t="s">
        <v>16</v>
      </c>
      <c r="B4" t="s">
        <v>131</v>
      </c>
      <c r="C4">
        <v>10.239999771118161</v>
      </c>
      <c r="D4">
        <v>0.78139999999999998</v>
      </c>
      <c r="E4">
        <v>12.15800007820129</v>
      </c>
      <c r="F4">
        <v>6.276850030422211</v>
      </c>
      <c r="G4" t="b">
        <v>1</v>
      </c>
      <c r="H4" t="s">
        <v>18</v>
      </c>
      <c r="I4">
        <v>41.992880589572067</v>
      </c>
      <c r="J4">
        <v>0.81569999999999998</v>
      </c>
      <c r="K4" t="s">
        <v>141</v>
      </c>
    </row>
    <row r="5" spans="1:11" x14ac:dyDescent="0.45">
      <c r="A5" t="s">
        <v>17</v>
      </c>
      <c r="B5" t="s">
        <v>131</v>
      </c>
      <c r="C5">
        <v>12.795000076293951</v>
      </c>
      <c r="D5">
        <v>0.7742</v>
      </c>
      <c r="E5">
        <v>10.44609997749329</v>
      </c>
      <c r="F5">
        <v>7.293774993419647</v>
      </c>
      <c r="G5" t="b">
        <v>1</v>
      </c>
      <c r="H5" t="s">
        <v>18</v>
      </c>
      <c r="I5">
        <v>44.682450853163921</v>
      </c>
      <c r="J5">
        <v>0.81569999999999998</v>
      </c>
      <c r="K5" t="s">
        <v>141</v>
      </c>
    </row>
    <row r="6" spans="1:11" x14ac:dyDescent="0.45">
      <c r="A6" t="s">
        <v>13</v>
      </c>
      <c r="B6" t="s">
        <v>129</v>
      </c>
      <c r="C6">
        <v>490.2449951171875</v>
      </c>
      <c r="D6">
        <v>0.76449999999999996</v>
      </c>
      <c r="E6">
        <v>364.45290100097662</v>
      </c>
      <c r="F6">
        <v>247.5987252044678</v>
      </c>
      <c r="G6" t="b">
        <v>1</v>
      </c>
      <c r="H6" t="s">
        <v>18</v>
      </c>
      <c r="I6">
        <v>62.919018091138597</v>
      </c>
      <c r="J6">
        <v>0.73899999999999999</v>
      </c>
      <c r="K6" t="s">
        <v>141</v>
      </c>
    </row>
    <row r="7" spans="1:11" x14ac:dyDescent="0.45">
      <c r="A7" t="s">
        <v>50</v>
      </c>
      <c r="B7" t="s">
        <v>132</v>
      </c>
      <c r="C7">
        <v>30.680000305175781</v>
      </c>
      <c r="D7">
        <v>0.76290000000000002</v>
      </c>
      <c r="E7">
        <v>45.360599975585927</v>
      </c>
      <c r="F7">
        <v>33.266799888610841</v>
      </c>
      <c r="G7" t="b">
        <v>1</v>
      </c>
      <c r="H7" t="s">
        <v>18</v>
      </c>
      <c r="I7">
        <v>28.826336620678092</v>
      </c>
      <c r="J7">
        <v>1</v>
      </c>
      <c r="K7" t="s">
        <v>140</v>
      </c>
    </row>
    <row r="8" spans="1:11" x14ac:dyDescent="0.45">
      <c r="A8" t="s">
        <v>51</v>
      </c>
      <c r="B8" t="s">
        <v>132</v>
      </c>
      <c r="C8">
        <v>360.16500854492188</v>
      </c>
      <c r="D8">
        <v>0.76190000000000002</v>
      </c>
      <c r="E8">
        <v>353.42949829101559</v>
      </c>
      <c r="F8">
        <v>304.26781021118171</v>
      </c>
      <c r="G8" t="b">
        <v>1</v>
      </c>
      <c r="H8" t="s">
        <v>18</v>
      </c>
      <c r="I8">
        <v>27.626492045944889</v>
      </c>
      <c r="J8">
        <v>1</v>
      </c>
      <c r="K8" t="s">
        <v>140</v>
      </c>
    </row>
    <row r="9" spans="1:11" x14ac:dyDescent="0.45">
      <c r="A9" t="s">
        <v>52</v>
      </c>
      <c r="B9" t="s">
        <v>132</v>
      </c>
      <c r="C9">
        <v>308.01998901367188</v>
      </c>
      <c r="D9">
        <v>0.74529999999999996</v>
      </c>
      <c r="E9">
        <v>314.18840118408201</v>
      </c>
      <c r="F9">
        <v>216.86162914276119</v>
      </c>
      <c r="G9" t="b">
        <v>1</v>
      </c>
      <c r="H9" t="s">
        <v>18</v>
      </c>
      <c r="I9">
        <v>35.707184028839997</v>
      </c>
      <c r="J9">
        <v>1</v>
      </c>
      <c r="K9" t="s">
        <v>140</v>
      </c>
    </row>
    <row r="10" spans="1:11" x14ac:dyDescent="0.45">
      <c r="A10" t="s">
        <v>53</v>
      </c>
      <c r="B10" t="s">
        <v>133</v>
      </c>
      <c r="C10">
        <v>246.22999572753909</v>
      </c>
      <c r="D10">
        <v>0.74529999999999996</v>
      </c>
      <c r="E10">
        <v>251.93140045166021</v>
      </c>
      <c r="F10">
        <v>232.24040008544921</v>
      </c>
      <c r="G10" t="b">
        <v>1</v>
      </c>
      <c r="H10" t="s">
        <v>18</v>
      </c>
      <c r="I10">
        <v>35.031327996633891</v>
      </c>
      <c r="J10">
        <v>1</v>
      </c>
      <c r="K10" t="s">
        <v>140</v>
      </c>
    </row>
    <row r="11" spans="1:11" x14ac:dyDescent="0.45">
      <c r="A11" t="s">
        <v>54</v>
      </c>
      <c r="B11" t="s">
        <v>132</v>
      </c>
      <c r="C11">
        <v>474.58999633789063</v>
      </c>
      <c r="D11">
        <v>0.73740000000000006</v>
      </c>
      <c r="E11">
        <v>469.32080139160149</v>
      </c>
      <c r="F11">
        <v>465.23680160522463</v>
      </c>
      <c r="G11" t="b">
        <v>1</v>
      </c>
      <c r="H11" t="s">
        <v>18</v>
      </c>
      <c r="I11">
        <v>43.731595530400988</v>
      </c>
      <c r="J11">
        <v>1</v>
      </c>
      <c r="K11" t="s">
        <v>141</v>
      </c>
    </row>
    <row r="12" spans="1:11" x14ac:dyDescent="0.45">
      <c r="A12" t="s">
        <v>55</v>
      </c>
      <c r="B12" t="s">
        <v>132</v>
      </c>
      <c r="C12">
        <v>398.16500854492188</v>
      </c>
      <c r="D12">
        <v>0.72960000000000003</v>
      </c>
      <c r="E12">
        <v>400.18270080566413</v>
      </c>
      <c r="F12">
        <v>355.4650080871582</v>
      </c>
      <c r="G12" t="b">
        <v>1</v>
      </c>
      <c r="H12" t="s">
        <v>18</v>
      </c>
      <c r="I12">
        <v>44.24740860301128</v>
      </c>
      <c r="J12">
        <v>1</v>
      </c>
      <c r="K12" t="s">
        <v>141</v>
      </c>
    </row>
    <row r="13" spans="1:11" x14ac:dyDescent="0.45">
      <c r="A13" t="s">
        <v>56</v>
      </c>
      <c r="B13" t="s">
        <v>132</v>
      </c>
      <c r="C13">
        <v>111.3349990844727</v>
      </c>
      <c r="D13">
        <v>0.7268</v>
      </c>
      <c r="E13">
        <v>90.106899871826172</v>
      </c>
      <c r="F13">
        <v>51.712474994659424</v>
      </c>
      <c r="G13" t="b">
        <v>1</v>
      </c>
      <c r="H13" t="s">
        <v>18</v>
      </c>
      <c r="I13">
        <v>52.538295966693759</v>
      </c>
      <c r="J13">
        <v>1</v>
      </c>
      <c r="K13" t="s">
        <v>141</v>
      </c>
    </row>
    <row r="14" spans="1:11" x14ac:dyDescent="0.45">
      <c r="A14" t="s">
        <v>57</v>
      </c>
      <c r="B14" t="s">
        <v>132</v>
      </c>
      <c r="C14">
        <v>104.4550018310547</v>
      </c>
      <c r="D14">
        <v>0.7228</v>
      </c>
      <c r="E14">
        <v>65.910900115966797</v>
      </c>
      <c r="F14">
        <v>59.796025066375726</v>
      </c>
      <c r="G14" t="b">
        <v>1</v>
      </c>
      <c r="H14" t="s">
        <v>18</v>
      </c>
      <c r="I14">
        <v>55.076923395228981</v>
      </c>
      <c r="J14">
        <v>1</v>
      </c>
      <c r="K14" t="s">
        <v>141</v>
      </c>
    </row>
    <row r="15" spans="1:11" x14ac:dyDescent="0.45">
      <c r="A15" t="s">
        <v>58</v>
      </c>
      <c r="B15" t="s">
        <v>132</v>
      </c>
      <c r="C15">
        <v>15.19999980926514</v>
      </c>
      <c r="D15">
        <v>0.72060000000000002</v>
      </c>
      <c r="E15">
        <v>13.55879995346069</v>
      </c>
      <c r="F15">
        <v>10.168799974918359</v>
      </c>
      <c r="G15" t="b">
        <v>1</v>
      </c>
      <c r="H15" t="s">
        <v>18</v>
      </c>
      <c r="I15">
        <v>59.151192124220479</v>
      </c>
      <c r="J15">
        <v>1</v>
      </c>
      <c r="K15" t="s">
        <v>141</v>
      </c>
    </row>
    <row r="16" spans="1:11" x14ac:dyDescent="0.45">
      <c r="A16" t="s">
        <v>59</v>
      </c>
      <c r="B16" t="s">
        <v>132</v>
      </c>
      <c r="C16">
        <v>198.41999816894531</v>
      </c>
      <c r="D16">
        <v>0.71870000000000001</v>
      </c>
      <c r="E16">
        <v>158.7630001831055</v>
      </c>
      <c r="F16">
        <v>71.014975109100348</v>
      </c>
      <c r="G16" t="b">
        <v>1</v>
      </c>
      <c r="H16" t="s">
        <v>18</v>
      </c>
      <c r="I16">
        <v>56.9842339396412</v>
      </c>
      <c r="J16">
        <v>1</v>
      </c>
      <c r="K16" t="s">
        <v>141</v>
      </c>
    </row>
    <row r="17" spans="1:11" x14ac:dyDescent="0.45">
      <c r="A17" t="s">
        <v>60</v>
      </c>
      <c r="B17" t="s">
        <v>132</v>
      </c>
      <c r="C17">
        <v>36.590000152587891</v>
      </c>
      <c r="D17">
        <v>0.71699999999999997</v>
      </c>
      <c r="E17">
        <v>33.250200195312502</v>
      </c>
      <c r="F17">
        <v>24.21870001316071</v>
      </c>
      <c r="G17" t="b">
        <v>1</v>
      </c>
      <c r="H17" t="s">
        <v>18</v>
      </c>
      <c r="I17">
        <v>58.569300315437502</v>
      </c>
      <c r="J17">
        <v>1</v>
      </c>
      <c r="K17" t="s">
        <v>141</v>
      </c>
    </row>
    <row r="18" spans="1:11" x14ac:dyDescent="0.45">
      <c r="A18" t="s">
        <v>61</v>
      </c>
      <c r="B18" t="s">
        <v>132</v>
      </c>
      <c r="C18">
        <v>230.49000549316409</v>
      </c>
      <c r="D18">
        <v>0.7167</v>
      </c>
      <c r="E18">
        <v>168.1130006408691</v>
      </c>
      <c r="F18">
        <v>147.5669504547119</v>
      </c>
      <c r="G18" t="b">
        <v>1</v>
      </c>
      <c r="H18" t="s">
        <v>18</v>
      </c>
      <c r="I18">
        <v>58.656231146694253</v>
      </c>
      <c r="J18">
        <v>1</v>
      </c>
      <c r="K18" t="s">
        <v>141</v>
      </c>
    </row>
    <row r="19" spans="1:11" x14ac:dyDescent="0.45">
      <c r="A19" t="s">
        <v>62</v>
      </c>
      <c r="B19" t="s">
        <v>132</v>
      </c>
      <c r="C19">
        <v>125.9300003051758</v>
      </c>
      <c r="D19">
        <v>0.71579999999999999</v>
      </c>
      <c r="E19">
        <v>98.590917816162104</v>
      </c>
      <c r="F19">
        <v>80.037756462097164</v>
      </c>
      <c r="G19" t="b">
        <v>1</v>
      </c>
      <c r="H19" t="s">
        <v>18</v>
      </c>
      <c r="I19">
        <v>58.382880547095588</v>
      </c>
      <c r="J19">
        <v>1</v>
      </c>
      <c r="K19" t="s">
        <v>141</v>
      </c>
    </row>
    <row r="20" spans="1:11" x14ac:dyDescent="0.45">
      <c r="A20" t="s">
        <v>63</v>
      </c>
      <c r="B20" t="s">
        <v>132</v>
      </c>
      <c r="C20">
        <v>97.888900756835938</v>
      </c>
      <c r="D20">
        <v>0.71479999999999999</v>
      </c>
      <c r="E20">
        <v>84.548378181457522</v>
      </c>
      <c r="F20">
        <v>41.941644506454473</v>
      </c>
      <c r="G20" t="b">
        <v>1</v>
      </c>
      <c r="H20" t="s">
        <v>18</v>
      </c>
      <c r="I20">
        <v>57.803973142257568</v>
      </c>
      <c r="J20">
        <v>1</v>
      </c>
      <c r="K20" t="s">
        <v>141</v>
      </c>
    </row>
    <row r="21" spans="1:11" x14ac:dyDescent="0.45">
      <c r="A21" t="s">
        <v>64</v>
      </c>
      <c r="B21" t="s">
        <v>132</v>
      </c>
      <c r="C21">
        <v>657.8499755859375</v>
      </c>
      <c r="D21">
        <v>0.71309999999999996</v>
      </c>
      <c r="E21">
        <v>521.00760009765622</v>
      </c>
      <c r="F21">
        <v>479.22955047607422</v>
      </c>
      <c r="G21" t="b">
        <v>1</v>
      </c>
      <c r="H21" t="s">
        <v>18</v>
      </c>
      <c r="I21">
        <v>55.61115287980779</v>
      </c>
      <c r="J21">
        <v>1</v>
      </c>
      <c r="K21" t="s">
        <v>141</v>
      </c>
    </row>
    <row r="22" spans="1:11" x14ac:dyDescent="0.45">
      <c r="A22" t="s">
        <v>65</v>
      </c>
      <c r="B22" t="s">
        <v>132</v>
      </c>
      <c r="C22">
        <v>267.3599853515625</v>
      </c>
      <c r="D22">
        <v>0.7127</v>
      </c>
      <c r="E22">
        <v>206.0841995239258</v>
      </c>
      <c r="F22">
        <v>192.54455009460449</v>
      </c>
      <c r="G22" t="b">
        <v>1</v>
      </c>
      <c r="H22" t="s">
        <v>18</v>
      </c>
      <c r="I22">
        <v>57.91702589847386</v>
      </c>
      <c r="J22">
        <v>1</v>
      </c>
      <c r="K22" t="s">
        <v>141</v>
      </c>
    </row>
    <row r="23" spans="1:11" x14ac:dyDescent="0.45">
      <c r="A23" t="s">
        <v>66</v>
      </c>
      <c r="B23" t="s">
        <v>132</v>
      </c>
      <c r="C23">
        <v>78.339996337890625</v>
      </c>
      <c r="D23">
        <v>0.7107</v>
      </c>
      <c r="E23">
        <v>65.71699150085449</v>
      </c>
      <c r="F23">
        <v>65.221443653106689</v>
      </c>
      <c r="G23" t="b">
        <v>1</v>
      </c>
      <c r="H23" t="s">
        <v>18</v>
      </c>
      <c r="I23">
        <v>59.404410222988503</v>
      </c>
      <c r="J23">
        <v>1</v>
      </c>
      <c r="K23" t="s">
        <v>141</v>
      </c>
    </row>
    <row r="24" spans="1:11" x14ac:dyDescent="0.45">
      <c r="A24" t="s">
        <v>67</v>
      </c>
      <c r="B24" t="s">
        <v>132</v>
      </c>
      <c r="C24">
        <v>217.10499572753909</v>
      </c>
      <c r="D24">
        <v>0.7107</v>
      </c>
      <c r="E24">
        <v>168.55469955444329</v>
      </c>
      <c r="F24">
        <v>132.07787506103509</v>
      </c>
      <c r="G24" t="b">
        <v>1</v>
      </c>
      <c r="H24" t="s">
        <v>18</v>
      </c>
      <c r="I24">
        <v>59.035307080082291</v>
      </c>
      <c r="J24">
        <v>1</v>
      </c>
      <c r="K24" t="s">
        <v>141</v>
      </c>
    </row>
    <row r="25" spans="1:11" x14ac:dyDescent="0.45">
      <c r="A25" t="s">
        <v>68</v>
      </c>
      <c r="B25" t="s">
        <v>132</v>
      </c>
      <c r="C25">
        <v>451.7200927734375</v>
      </c>
      <c r="D25">
        <v>0.70930000000000004</v>
      </c>
      <c r="E25">
        <v>419.58320922851561</v>
      </c>
      <c r="F25">
        <v>386.44200653076172</v>
      </c>
      <c r="G25" t="b">
        <v>1</v>
      </c>
      <c r="H25" t="s">
        <v>18</v>
      </c>
      <c r="I25">
        <v>58.687841165025482</v>
      </c>
      <c r="J25">
        <v>1</v>
      </c>
      <c r="K25" t="s">
        <v>141</v>
      </c>
    </row>
    <row r="26" spans="1:11" x14ac:dyDescent="0.45">
      <c r="A26" t="s">
        <v>69</v>
      </c>
      <c r="B26" t="s">
        <v>132</v>
      </c>
      <c r="C26">
        <v>158.05000305175781</v>
      </c>
      <c r="D26">
        <v>0.70760000000000001</v>
      </c>
      <c r="E26">
        <v>152.98619964599609</v>
      </c>
      <c r="F26">
        <v>141.07264957427981</v>
      </c>
      <c r="G26" t="b">
        <v>1</v>
      </c>
      <c r="H26" t="s">
        <v>18</v>
      </c>
      <c r="I26">
        <v>61.961932107089467</v>
      </c>
      <c r="J26">
        <v>1</v>
      </c>
      <c r="K26" t="s">
        <v>141</v>
      </c>
    </row>
    <row r="27" spans="1:11" x14ac:dyDescent="0.45">
      <c r="A27" t="s">
        <v>70</v>
      </c>
      <c r="B27" t="s">
        <v>132</v>
      </c>
      <c r="C27">
        <v>743.5</v>
      </c>
      <c r="D27">
        <v>0.70599999999999996</v>
      </c>
      <c r="E27">
        <v>715.48</v>
      </c>
      <c r="F27">
        <v>682.11847351074221</v>
      </c>
      <c r="G27" t="b">
        <v>1</v>
      </c>
      <c r="H27" t="s">
        <v>18</v>
      </c>
      <c r="I27">
        <v>53.748617773265757</v>
      </c>
      <c r="J27">
        <v>1</v>
      </c>
      <c r="K27" t="s">
        <v>141</v>
      </c>
    </row>
    <row r="28" spans="1:11" x14ac:dyDescent="0.45">
      <c r="A28" t="s">
        <v>71</v>
      </c>
      <c r="B28" t="s">
        <v>132</v>
      </c>
      <c r="C28">
        <v>1669.905029296875</v>
      </c>
      <c r="D28">
        <v>0.70550000000000002</v>
      </c>
      <c r="E28">
        <v>1201.2134985351561</v>
      </c>
      <c r="F28">
        <v>538.37195026397706</v>
      </c>
      <c r="G28" t="b">
        <v>1</v>
      </c>
      <c r="H28" t="s">
        <v>18</v>
      </c>
      <c r="I28">
        <v>65.334385168633318</v>
      </c>
      <c r="J28">
        <v>1</v>
      </c>
      <c r="K28" t="s">
        <v>141</v>
      </c>
    </row>
    <row r="29" spans="1:11" x14ac:dyDescent="0.45">
      <c r="A29" t="s">
        <v>72</v>
      </c>
      <c r="B29" t="s">
        <v>132</v>
      </c>
      <c r="C29">
        <v>404.57998657226563</v>
      </c>
      <c r="D29">
        <v>0.70540000000000003</v>
      </c>
      <c r="E29">
        <v>398.39820983886722</v>
      </c>
      <c r="F29">
        <v>364.81093627929693</v>
      </c>
      <c r="G29" t="b">
        <v>1</v>
      </c>
      <c r="H29" t="s">
        <v>18</v>
      </c>
      <c r="I29">
        <v>60.731499163153003</v>
      </c>
      <c r="J29">
        <v>1</v>
      </c>
      <c r="K29" t="s">
        <v>141</v>
      </c>
    </row>
    <row r="30" spans="1:11" x14ac:dyDescent="0.45">
      <c r="A30" t="s">
        <v>73</v>
      </c>
      <c r="B30" t="s">
        <v>132</v>
      </c>
      <c r="C30">
        <v>720.7550048828125</v>
      </c>
      <c r="D30">
        <v>0.70020000000000004</v>
      </c>
      <c r="E30">
        <v>670.74849975585937</v>
      </c>
      <c r="F30">
        <v>621.63649810791014</v>
      </c>
      <c r="G30" t="b">
        <v>1</v>
      </c>
      <c r="H30" t="s">
        <v>18</v>
      </c>
      <c r="I30">
        <v>56.922794614745698</v>
      </c>
      <c r="J30">
        <v>1</v>
      </c>
      <c r="K30" t="s">
        <v>141</v>
      </c>
    </row>
    <row r="31" spans="1:11" x14ac:dyDescent="0.45">
      <c r="A31" t="s">
        <v>74</v>
      </c>
      <c r="B31" t="s">
        <v>132</v>
      </c>
      <c r="C31">
        <v>430.58999633789063</v>
      </c>
      <c r="D31">
        <v>0.69979999999999998</v>
      </c>
      <c r="E31">
        <v>391.11800048828133</v>
      </c>
      <c r="F31">
        <v>326.34456077575692</v>
      </c>
      <c r="G31" t="b">
        <v>1</v>
      </c>
      <c r="H31" t="s">
        <v>18</v>
      </c>
      <c r="I31">
        <v>62.469397283298271</v>
      </c>
      <c r="J31">
        <v>1</v>
      </c>
      <c r="K31" t="s">
        <v>141</v>
      </c>
    </row>
    <row r="32" spans="1:11" x14ac:dyDescent="0.45">
      <c r="A32" t="s">
        <v>75</v>
      </c>
      <c r="B32" t="s">
        <v>132</v>
      </c>
      <c r="C32">
        <v>286.03500366210938</v>
      </c>
      <c r="D32">
        <v>0.6996</v>
      </c>
      <c r="E32">
        <v>274.88890167236332</v>
      </c>
      <c r="F32">
        <v>255.0473603057861</v>
      </c>
      <c r="G32" t="b">
        <v>1</v>
      </c>
      <c r="H32" t="s">
        <v>18</v>
      </c>
      <c r="I32">
        <v>59.851226497263369</v>
      </c>
      <c r="J32">
        <v>1</v>
      </c>
      <c r="K32" t="s">
        <v>141</v>
      </c>
    </row>
    <row r="33" spans="1:11" x14ac:dyDescent="0.45">
      <c r="A33" t="s">
        <v>76</v>
      </c>
      <c r="B33" t="s">
        <v>132</v>
      </c>
      <c r="C33">
        <v>392.2449951171875</v>
      </c>
      <c r="D33">
        <v>0.69910000000000005</v>
      </c>
      <c r="E33">
        <v>336.14870056152341</v>
      </c>
      <c r="F33">
        <v>324.69767517089838</v>
      </c>
      <c r="G33" t="b">
        <v>1</v>
      </c>
      <c r="H33" t="s">
        <v>18</v>
      </c>
      <c r="I33">
        <v>63.969679843300511</v>
      </c>
      <c r="J33">
        <v>1</v>
      </c>
      <c r="K33" t="s">
        <v>141</v>
      </c>
    </row>
    <row r="34" spans="1:11" x14ac:dyDescent="0.45">
      <c r="A34" t="s">
        <v>77</v>
      </c>
      <c r="B34" t="s">
        <v>132</v>
      </c>
      <c r="C34">
        <v>144.49000549316409</v>
      </c>
      <c r="D34">
        <v>0.69899999999999995</v>
      </c>
      <c r="E34">
        <v>104.043999786377</v>
      </c>
      <c r="F34">
        <v>87.263250007629395</v>
      </c>
      <c r="G34" t="b">
        <v>1</v>
      </c>
      <c r="H34" t="s">
        <v>18</v>
      </c>
      <c r="I34">
        <v>69.448654587204402</v>
      </c>
      <c r="J34">
        <v>1</v>
      </c>
      <c r="K34" t="s">
        <v>141</v>
      </c>
    </row>
    <row r="35" spans="1:11" x14ac:dyDescent="0.45">
      <c r="A35" t="s">
        <v>78</v>
      </c>
      <c r="B35" t="s">
        <v>132</v>
      </c>
      <c r="C35">
        <v>314.02999877929688</v>
      </c>
      <c r="D35">
        <v>0.69810000000000005</v>
      </c>
      <c r="E35">
        <v>282.31260589599611</v>
      </c>
      <c r="F35">
        <v>265.20723121643073</v>
      </c>
      <c r="G35" t="b">
        <v>1</v>
      </c>
      <c r="H35" t="s">
        <v>18</v>
      </c>
      <c r="I35">
        <v>67.139495333528032</v>
      </c>
      <c r="J35">
        <v>1</v>
      </c>
      <c r="K35" t="s">
        <v>141</v>
      </c>
    </row>
    <row r="36" spans="1:11" x14ac:dyDescent="0.45">
      <c r="A36" t="s">
        <v>79</v>
      </c>
      <c r="B36" t="s">
        <v>132</v>
      </c>
      <c r="C36">
        <v>956.0999755859375</v>
      </c>
      <c r="D36">
        <v>0.69579999999999997</v>
      </c>
      <c r="E36">
        <v>629.36940002441406</v>
      </c>
      <c r="F36">
        <v>364.91139087676999</v>
      </c>
      <c r="G36" t="b">
        <v>1</v>
      </c>
      <c r="H36" t="s">
        <v>18</v>
      </c>
      <c r="I36">
        <v>68.610206492453102</v>
      </c>
      <c r="J36">
        <v>1</v>
      </c>
      <c r="K36" t="s">
        <v>141</v>
      </c>
    </row>
    <row r="37" spans="1:11" x14ac:dyDescent="0.45">
      <c r="A37" t="s">
        <v>80</v>
      </c>
      <c r="B37" t="s">
        <v>132</v>
      </c>
      <c r="C37">
        <v>602.739990234375</v>
      </c>
      <c r="D37">
        <v>0.69379999999999997</v>
      </c>
      <c r="E37">
        <v>511.37860229492179</v>
      </c>
      <c r="F37">
        <v>397.82376281738283</v>
      </c>
      <c r="G37" t="b">
        <v>1</v>
      </c>
      <c r="H37" t="s">
        <v>18</v>
      </c>
      <c r="I37">
        <v>63.314195697953018</v>
      </c>
      <c r="J37">
        <v>1</v>
      </c>
      <c r="K37" t="s">
        <v>141</v>
      </c>
    </row>
    <row r="38" spans="1:11" x14ac:dyDescent="0.45">
      <c r="A38" t="s">
        <v>81</v>
      </c>
      <c r="B38" t="s">
        <v>132</v>
      </c>
      <c r="C38">
        <v>251.35479736328119</v>
      </c>
      <c r="D38">
        <v>0.69359999999999999</v>
      </c>
      <c r="E38">
        <v>214.44989624023441</v>
      </c>
      <c r="F38">
        <v>206.44297424316409</v>
      </c>
      <c r="G38" t="b">
        <v>1</v>
      </c>
      <c r="H38" t="s">
        <v>18</v>
      </c>
      <c r="I38">
        <v>71.025246076029006</v>
      </c>
      <c r="J38">
        <v>1</v>
      </c>
      <c r="K38" t="s">
        <v>141</v>
      </c>
    </row>
    <row r="39" spans="1:11" x14ac:dyDescent="0.45">
      <c r="A39" t="s">
        <v>82</v>
      </c>
      <c r="B39" t="s">
        <v>132</v>
      </c>
      <c r="C39">
        <v>2114.6298828125</v>
      </c>
      <c r="D39">
        <v>0.69340000000000002</v>
      </c>
      <c r="E39">
        <v>1794.722690429687</v>
      </c>
      <c r="F39">
        <v>1380.341477661133</v>
      </c>
      <c r="G39" t="b">
        <v>1</v>
      </c>
      <c r="H39" t="s">
        <v>18</v>
      </c>
      <c r="I39">
        <v>68.404438125245093</v>
      </c>
      <c r="J39">
        <v>1</v>
      </c>
      <c r="K39" t="s">
        <v>141</v>
      </c>
    </row>
    <row r="40" spans="1:11" x14ac:dyDescent="0.45">
      <c r="A40" t="s">
        <v>83</v>
      </c>
      <c r="B40" t="s">
        <v>132</v>
      </c>
      <c r="C40">
        <v>349.35000610351563</v>
      </c>
      <c r="D40">
        <v>0.69220000000000004</v>
      </c>
      <c r="E40">
        <v>217.25930007934571</v>
      </c>
      <c r="F40">
        <v>178.65590015411379</v>
      </c>
      <c r="G40" t="b">
        <v>1</v>
      </c>
      <c r="H40" t="s">
        <v>18</v>
      </c>
      <c r="I40">
        <v>73.477478307420427</v>
      </c>
      <c r="J40">
        <v>1</v>
      </c>
      <c r="K40" t="s">
        <v>141</v>
      </c>
    </row>
    <row r="41" spans="1:11" x14ac:dyDescent="0.45">
      <c r="A41" t="s">
        <v>84</v>
      </c>
      <c r="B41" t="s">
        <v>132</v>
      </c>
      <c r="C41">
        <v>577.8499755859375</v>
      </c>
      <c r="D41">
        <v>0.69</v>
      </c>
      <c r="E41">
        <v>467.4009991455078</v>
      </c>
      <c r="F41">
        <v>346.02886528015142</v>
      </c>
      <c r="G41" t="b">
        <v>1</v>
      </c>
      <c r="H41" t="s">
        <v>18</v>
      </c>
      <c r="I41">
        <v>66.608590923367217</v>
      </c>
      <c r="J41">
        <v>1</v>
      </c>
      <c r="K41" t="s">
        <v>141</v>
      </c>
    </row>
    <row r="42" spans="1:11" x14ac:dyDescent="0.45">
      <c r="A42" t="s">
        <v>85</v>
      </c>
      <c r="B42" t="s">
        <v>132</v>
      </c>
      <c r="C42">
        <v>360.17001342773438</v>
      </c>
      <c r="D42">
        <v>0.68930000000000002</v>
      </c>
      <c r="E42">
        <v>227.9179006958008</v>
      </c>
      <c r="F42">
        <v>158.30502529144289</v>
      </c>
      <c r="G42" t="b">
        <v>1</v>
      </c>
      <c r="H42" t="s">
        <v>18</v>
      </c>
      <c r="I42">
        <v>71.835013446016049</v>
      </c>
      <c r="J42">
        <v>1</v>
      </c>
      <c r="K42" t="s">
        <v>141</v>
      </c>
    </row>
    <row r="43" spans="1:11" x14ac:dyDescent="0.45">
      <c r="A43" t="s">
        <v>86</v>
      </c>
      <c r="B43" t="s">
        <v>132</v>
      </c>
      <c r="C43">
        <v>403.489990234375</v>
      </c>
      <c r="D43">
        <v>0.68730000000000002</v>
      </c>
      <c r="E43">
        <v>246.2099917602539</v>
      </c>
      <c r="F43">
        <v>162.1127458953857</v>
      </c>
      <c r="G43" t="b">
        <v>1</v>
      </c>
      <c r="H43" t="s">
        <v>18</v>
      </c>
      <c r="I43">
        <v>76.173755767425291</v>
      </c>
      <c r="J43">
        <v>1</v>
      </c>
      <c r="K43" t="s">
        <v>141</v>
      </c>
    </row>
    <row r="44" spans="1:11" x14ac:dyDescent="0.45">
      <c r="A44" t="s">
        <v>87</v>
      </c>
      <c r="B44" t="s">
        <v>132</v>
      </c>
      <c r="C44">
        <v>1752.47998046875</v>
      </c>
      <c r="D44">
        <v>0.68689999999999996</v>
      </c>
      <c r="E44">
        <v>1495.167888183594</v>
      </c>
      <c r="F44">
        <v>1220.475609741211</v>
      </c>
      <c r="G44" t="b">
        <v>1</v>
      </c>
      <c r="H44" t="s">
        <v>18</v>
      </c>
      <c r="I44">
        <v>73.052287619785147</v>
      </c>
      <c r="J44">
        <v>1</v>
      </c>
      <c r="K44" t="s">
        <v>141</v>
      </c>
    </row>
    <row r="45" spans="1:11" x14ac:dyDescent="0.45">
      <c r="A45" t="s">
        <v>88</v>
      </c>
      <c r="B45" t="s">
        <v>132</v>
      </c>
      <c r="C45">
        <v>301.57501220703119</v>
      </c>
      <c r="D45">
        <v>0.6865</v>
      </c>
      <c r="E45">
        <v>169.41400558471679</v>
      </c>
      <c r="F45">
        <v>104.5721162796021</v>
      </c>
      <c r="G45" t="b">
        <v>1</v>
      </c>
      <c r="H45" t="s">
        <v>18</v>
      </c>
      <c r="I45">
        <v>75.737823464303247</v>
      </c>
      <c r="J45">
        <v>1</v>
      </c>
      <c r="K45" t="s">
        <v>141</v>
      </c>
    </row>
    <row r="46" spans="1:11" x14ac:dyDescent="0.45">
      <c r="A46" t="s">
        <v>89</v>
      </c>
      <c r="B46" t="s">
        <v>132</v>
      </c>
      <c r="C46">
        <v>226.2200012207031</v>
      </c>
      <c r="D46">
        <v>0.68640000000000001</v>
      </c>
      <c r="E46">
        <v>173.13590026855471</v>
      </c>
      <c r="F46">
        <v>148.3994004821777</v>
      </c>
      <c r="G46" t="b">
        <v>1</v>
      </c>
      <c r="H46" t="s">
        <v>18</v>
      </c>
      <c r="I46">
        <v>74.866693058101561</v>
      </c>
      <c r="J46">
        <v>1</v>
      </c>
      <c r="K46" t="s">
        <v>141</v>
      </c>
    </row>
    <row r="47" spans="1:11" x14ac:dyDescent="0.45">
      <c r="A47" t="s">
        <v>90</v>
      </c>
      <c r="B47" t="s">
        <v>132</v>
      </c>
      <c r="C47">
        <v>69.819999694824219</v>
      </c>
      <c r="D47">
        <v>0.46920000000000001</v>
      </c>
      <c r="E47">
        <v>75.263421020507806</v>
      </c>
      <c r="F47">
        <v>80.261653785705562</v>
      </c>
      <c r="G47" t="b">
        <v>0</v>
      </c>
      <c r="H47" t="s">
        <v>127</v>
      </c>
      <c r="I47">
        <v>32.495491873730003</v>
      </c>
      <c r="J47">
        <v>1</v>
      </c>
      <c r="K47" t="s">
        <v>142</v>
      </c>
    </row>
    <row r="48" spans="1:11" x14ac:dyDescent="0.45">
      <c r="A48" t="s">
        <v>91</v>
      </c>
      <c r="B48" t="s">
        <v>132</v>
      </c>
      <c r="C48">
        <v>278.01998901367188</v>
      </c>
      <c r="D48">
        <v>0.45800000000000002</v>
      </c>
      <c r="E48">
        <v>289.13546264648443</v>
      </c>
      <c r="F48">
        <v>302.63125244140628</v>
      </c>
      <c r="G48" t="b">
        <v>0</v>
      </c>
      <c r="H48" t="s">
        <v>127</v>
      </c>
      <c r="I48">
        <v>46.31010567564509</v>
      </c>
      <c r="J48">
        <v>1</v>
      </c>
      <c r="K48" t="s">
        <v>143</v>
      </c>
    </row>
    <row r="49" spans="1:11" x14ac:dyDescent="0.45">
      <c r="A49" t="s">
        <v>92</v>
      </c>
      <c r="B49" t="s">
        <v>132</v>
      </c>
      <c r="C49">
        <v>129.51130676269531</v>
      </c>
      <c r="D49">
        <v>0.45490000000000003</v>
      </c>
      <c r="E49">
        <v>142.5960252380371</v>
      </c>
      <c r="F49">
        <v>217.44030673980711</v>
      </c>
      <c r="G49" t="b">
        <v>0</v>
      </c>
      <c r="H49" t="s">
        <v>127</v>
      </c>
      <c r="I49">
        <v>33.124485256022609</v>
      </c>
      <c r="J49">
        <v>1</v>
      </c>
      <c r="K49" t="s">
        <v>142</v>
      </c>
    </row>
    <row r="50" spans="1:11" x14ac:dyDescent="0.45">
      <c r="A50" t="s">
        <v>93</v>
      </c>
      <c r="B50" t="s">
        <v>132</v>
      </c>
      <c r="C50">
        <v>99.191703796386719</v>
      </c>
      <c r="D50">
        <v>0.4526</v>
      </c>
      <c r="E50">
        <v>101.9864343261719</v>
      </c>
      <c r="F50">
        <v>107.5149502563477</v>
      </c>
      <c r="G50" t="b">
        <v>0</v>
      </c>
      <c r="H50" t="s">
        <v>127</v>
      </c>
      <c r="I50">
        <v>32.44458196248975</v>
      </c>
      <c r="J50">
        <v>1</v>
      </c>
      <c r="K50" t="s">
        <v>142</v>
      </c>
    </row>
    <row r="51" spans="1:11" x14ac:dyDescent="0.45">
      <c r="A51" t="s">
        <v>94</v>
      </c>
      <c r="B51" t="s">
        <v>132</v>
      </c>
      <c r="C51">
        <v>863.89501953125</v>
      </c>
      <c r="D51">
        <v>0.44969999999999999</v>
      </c>
      <c r="E51">
        <v>870.60068359374998</v>
      </c>
      <c r="F51">
        <v>987.21830444335933</v>
      </c>
      <c r="G51" t="b">
        <v>0</v>
      </c>
      <c r="H51" t="s">
        <v>127</v>
      </c>
      <c r="I51">
        <v>46.630153648604072</v>
      </c>
      <c r="J51">
        <v>1</v>
      </c>
      <c r="K51" t="s">
        <v>143</v>
      </c>
    </row>
    <row r="52" spans="1:11" x14ac:dyDescent="0.45">
      <c r="A52" t="s">
        <v>95</v>
      </c>
      <c r="B52" t="s">
        <v>132</v>
      </c>
      <c r="C52">
        <v>88.510002136230469</v>
      </c>
      <c r="D52">
        <v>0.44790000000000002</v>
      </c>
      <c r="E52">
        <v>91.120363159179689</v>
      </c>
      <c r="F52">
        <v>94.370015792846687</v>
      </c>
      <c r="G52" t="b">
        <v>0</v>
      </c>
      <c r="H52" t="s">
        <v>127</v>
      </c>
      <c r="I52">
        <v>37.690365712266328</v>
      </c>
      <c r="J52">
        <v>1</v>
      </c>
      <c r="K52" t="s">
        <v>142</v>
      </c>
    </row>
    <row r="53" spans="1:11" x14ac:dyDescent="0.45">
      <c r="A53" t="s">
        <v>96</v>
      </c>
      <c r="B53" t="s">
        <v>132</v>
      </c>
      <c r="C53">
        <v>145.44999694824219</v>
      </c>
      <c r="D53">
        <v>0.44500000000000001</v>
      </c>
      <c r="E53">
        <v>143.8633444213867</v>
      </c>
      <c r="F53">
        <v>147.51747550964359</v>
      </c>
      <c r="G53" t="b">
        <v>0</v>
      </c>
      <c r="H53" t="s">
        <v>127</v>
      </c>
      <c r="I53">
        <v>55.871062634817207</v>
      </c>
      <c r="J53">
        <v>1</v>
      </c>
      <c r="K53" t="s">
        <v>143</v>
      </c>
    </row>
    <row r="54" spans="1:11" x14ac:dyDescent="0.45">
      <c r="A54" t="s">
        <v>97</v>
      </c>
      <c r="B54" t="s">
        <v>132</v>
      </c>
      <c r="C54">
        <v>15.680000305175779</v>
      </c>
      <c r="D54">
        <v>0.44429999999999997</v>
      </c>
      <c r="E54">
        <v>15.25360000610352</v>
      </c>
      <c r="F54">
        <v>15.618600034713751</v>
      </c>
      <c r="G54" t="b">
        <v>0</v>
      </c>
      <c r="H54" t="s">
        <v>127</v>
      </c>
      <c r="I54">
        <v>37.295077268468191</v>
      </c>
      <c r="J54">
        <v>1</v>
      </c>
      <c r="K54" t="s">
        <v>142</v>
      </c>
    </row>
    <row r="55" spans="1:11" x14ac:dyDescent="0.45">
      <c r="A55" t="s">
        <v>98</v>
      </c>
      <c r="B55" t="s">
        <v>132</v>
      </c>
      <c r="C55">
        <v>7.5300998687744141</v>
      </c>
      <c r="D55">
        <v>0.43959999999999999</v>
      </c>
      <c r="E55">
        <v>7.9532020187377928</v>
      </c>
      <c r="F55">
        <v>11.16132550954819</v>
      </c>
      <c r="G55" t="b">
        <v>0</v>
      </c>
      <c r="H55" t="s">
        <v>127</v>
      </c>
      <c r="I55">
        <v>38.737938249180417</v>
      </c>
      <c r="J55">
        <v>1</v>
      </c>
      <c r="K55" t="s">
        <v>142</v>
      </c>
    </row>
    <row r="56" spans="1:11" x14ac:dyDescent="0.45">
      <c r="A56" t="s">
        <v>99</v>
      </c>
      <c r="B56" t="s">
        <v>132</v>
      </c>
      <c r="C56">
        <v>246.3699951171875</v>
      </c>
      <c r="D56">
        <v>0.43930000000000002</v>
      </c>
      <c r="E56">
        <v>246.24820037841801</v>
      </c>
      <c r="F56">
        <v>301.04119995117179</v>
      </c>
      <c r="G56" t="b">
        <v>0</v>
      </c>
      <c r="H56" t="s">
        <v>127</v>
      </c>
      <c r="I56">
        <v>44.643474651246002</v>
      </c>
      <c r="J56">
        <v>1</v>
      </c>
      <c r="K56" t="s">
        <v>143</v>
      </c>
    </row>
    <row r="57" spans="1:11" x14ac:dyDescent="0.45">
      <c r="A57" t="s">
        <v>15</v>
      </c>
      <c r="B57" t="s">
        <v>134</v>
      </c>
      <c r="C57">
        <v>401.57998657226563</v>
      </c>
      <c r="D57">
        <v>0.43809999999999999</v>
      </c>
      <c r="E57">
        <v>395.87800109863281</v>
      </c>
      <c r="F57">
        <v>414.53025039672849</v>
      </c>
      <c r="G57" t="b">
        <v>0</v>
      </c>
      <c r="H57" t="s">
        <v>127</v>
      </c>
      <c r="I57">
        <v>46.532528892551802</v>
      </c>
      <c r="J57">
        <v>0.79990000000000006</v>
      </c>
      <c r="K57" t="s">
        <v>143</v>
      </c>
    </row>
    <row r="58" spans="1:11" x14ac:dyDescent="0.45">
      <c r="A58" t="s">
        <v>100</v>
      </c>
      <c r="B58" t="s">
        <v>132</v>
      </c>
      <c r="C58">
        <v>67.989997863769531</v>
      </c>
      <c r="D58">
        <v>0.43630000000000002</v>
      </c>
      <c r="E58">
        <v>68.060800399780277</v>
      </c>
      <c r="F58">
        <v>72.343950061798097</v>
      </c>
      <c r="G58" t="b">
        <v>0</v>
      </c>
      <c r="H58" t="s">
        <v>127</v>
      </c>
      <c r="I58">
        <v>42.052252298201537</v>
      </c>
      <c r="J58">
        <v>1</v>
      </c>
      <c r="K58" t="s">
        <v>143</v>
      </c>
    </row>
    <row r="59" spans="1:11" x14ac:dyDescent="0.45">
      <c r="A59" t="s">
        <v>101</v>
      </c>
      <c r="B59" t="s">
        <v>132</v>
      </c>
      <c r="C59">
        <v>44.974998474121087</v>
      </c>
      <c r="D59">
        <v>0.43459999999999999</v>
      </c>
      <c r="E59">
        <v>53.829799957275391</v>
      </c>
      <c r="F59">
        <v>58.266849994659417</v>
      </c>
      <c r="G59" t="b">
        <v>0</v>
      </c>
      <c r="H59" t="s">
        <v>127</v>
      </c>
      <c r="I59">
        <v>46.021091654408188</v>
      </c>
      <c r="J59">
        <v>1</v>
      </c>
      <c r="K59" t="s">
        <v>143</v>
      </c>
    </row>
    <row r="60" spans="1:11" x14ac:dyDescent="0.45">
      <c r="A60" t="s">
        <v>102</v>
      </c>
      <c r="B60" t="s">
        <v>132</v>
      </c>
      <c r="C60">
        <v>254.3999938964844</v>
      </c>
      <c r="D60">
        <v>0.43190000000000001</v>
      </c>
      <c r="E60">
        <v>288.16005157470698</v>
      </c>
      <c r="F60">
        <v>320.5805709075928</v>
      </c>
      <c r="G60" t="b">
        <v>0</v>
      </c>
      <c r="H60" t="s">
        <v>127</v>
      </c>
      <c r="I60">
        <v>46.421167445797373</v>
      </c>
      <c r="J60">
        <v>1</v>
      </c>
      <c r="K60" t="s">
        <v>143</v>
      </c>
    </row>
    <row r="61" spans="1:11" x14ac:dyDescent="0.45">
      <c r="A61" t="s">
        <v>103</v>
      </c>
      <c r="B61" t="s">
        <v>132</v>
      </c>
      <c r="C61">
        <v>411.25</v>
      </c>
      <c r="D61">
        <v>0.43120000000000003</v>
      </c>
      <c r="E61">
        <v>408.59279968261723</v>
      </c>
      <c r="F61">
        <v>453.986689453125</v>
      </c>
      <c r="G61" t="b">
        <v>0</v>
      </c>
      <c r="H61" t="s">
        <v>127</v>
      </c>
      <c r="I61">
        <v>45.086912449564153</v>
      </c>
      <c r="J61">
        <v>1</v>
      </c>
      <c r="K61" t="s">
        <v>143</v>
      </c>
    </row>
    <row r="62" spans="1:11" x14ac:dyDescent="0.45">
      <c r="A62" t="s">
        <v>11</v>
      </c>
      <c r="B62" t="s">
        <v>135</v>
      </c>
      <c r="C62">
        <v>84.786796569824219</v>
      </c>
      <c r="D62">
        <v>0.42370000000000002</v>
      </c>
      <c r="E62">
        <v>78.537836151123045</v>
      </c>
      <c r="F62">
        <v>103.1903588867188</v>
      </c>
      <c r="G62" t="b">
        <v>0</v>
      </c>
      <c r="H62" t="s">
        <v>127</v>
      </c>
      <c r="I62">
        <v>57.232251984124119</v>
      </c>
      <c r="J62">
        <v>0.82720000000000005</v>
      </c>
      <c r="K62" t="s">
        <v>143</v>
      </c>
    </row>
    <row r="63" spans="1:11" x14ac:dyDescent="0.45">
      <c r="A63" t="s">
        <v>10</v>
      </c>
      <c r="B63" t="s">
        <v>136</v>
      </c>
      <c r="C63">
        <v>588.52001953125</v>
      </c>
      <c r="D63">
        <v>0.4234</v>
      </c>
      <c r="E63">
        <v>620.34</v>
      </c>
      <c r="F63">
        <v>660.96094085693358</v>
      </c>
      <c r="G63" t="b">
        <v>0</v>
      </c>
      <c r="H63" t="s">
        <v>127</v>
      </c>
      <c r="I63">
        <v>42.330830945440518</v>
      </c>
      <c r="J63">
        <v>0.90469999999999995</v>
      </c>
      <c r="K63" t="s">
        <v>143</v>
      </c>
    </row>
    <row r="64" spans="1:11" x14ac:dyDescent="0.45">
      <c r="A64" t="s">
        <v>104</v>
      </c>
      <c r="B64" t="s">
        <v>132</v>
      </c>
      <c r="C64">
        <v>10.87889957427979</v>
      </c>
      <c r="D64">
        <v>0.42320000000000002</v>
      </c>
      <c r="E64">
        <v>11.53477798461914</v>
      </c>
      <c r="F64">
        <v>21.73789448261261</v>
      </c>
      <c r="G64" t="b">
        <v>0</v>
      </c>
      <c r="H64" t="s">
        <v>127</v>
      </c>
      <c r="I64">
        <v>52.363460151272029</v>
      </c>
      <c r="J64">
        <v>1</v>
      </c>
      <c r="K64" t="s">
        <v>143</v>
      </c>
    </row>
    <row r="65" spans="1:11" x14ac:dyDescent="0.45">
      <c r="A65" t="s">
        <v>105</v>
      </c>
      <c r="B65" t="s">
        <v>132</v>
      </c>
      <c r="C65">
        <v>43.485000610351563</v>
      </c>
      <c r="D65">
        <v>0.42249999999999999</v>
      </c>
      <c r="E65">
        <v>44.295111083984366</v>
      </c>
      <c r="F65">
        <v>59.09310321807861</v>
      </c>
      <c r="G65" t="b">
        <v>0</v>
      </c>
      <c r="H65" t="s">
        <v>127</v>
      </c>
      <c r="I65">
        <v>56.521618625277164</v>
      </c>
      <c r="J65">
        <v>1</v>
      </c>
      <c r="K65" t="s">
        <v>143</v>
      </c>
    </row>
    <row r="66" spans="1:11" x14ac:dyDescent="0.45">
      <c r="A66" t="s">
        <v>106</v>
      </c>
      <c r="B66" t="s">
        <v>132</v>
      </c>
      <c r="C66">
        <v>11.10499954223633</v>
      </c>
      <c r="D66">
        <v>0.42209999999999998</v>
      </c>
      <c r="E66">
        <v>10.747300052642821</v>
      </c>
      <c r="F66">
        <v>13.023924980163571</v>
      </c>
      <c r="G66" t="b">
        <v>0</v>
      </c>
      <c r="H66" t="s">
        <v>127</v>
      </c>
      <c r="I66">
        <v>54.617665827017021</v>
      </c>
      <c r="J66">
        <v>1</v>
      </c>
      <c r="K66" t="s">
        <v>143</v>
      </c>
    </row>
    <row r="67" spans="1:11" x14ac:dyDescent="0.45">
      <c r="A67" t="s">
        <v>107</v>
      </c>
      <c r="B67" t="s">
        <v>132</v>
      </c>
      <c r="C67">
        <v>356.17001342773438</v>
      </c>
      <c r="D67">
        <v>0.42109999999999997</v>
      </c>
      <c r="E67">
        <v>286.64920013427741</v>
      </c>
      <c r="F67">
        <v>329.32215026855471</v>
      </c>
      <c r="G67" t="b">
        <v>0</v>
      </c>
      <c r="H67" t="s">
        <v>127</v>
      </c>
      <c r="I67">
        <v>55.154214910228177</v>
      </c>
      <c r="J67">
        <v>1</v>
      </c>
      <c r="K67" t="s">
        <v>143</v>
      </c>
    </row>
    <row r="68" spans="1:11" x14ac:dyDescent="0.45">
      <c r="A68" t="s">
        <v>108</v>
      </c>
      <c r="B68" t="s">
        <v>132</v>
      </c>
      <c r="C68">
        <v>182.25999450683591</v>
      </c>
      <c r="D68">
        <v>0.41920000000000002</v>
      </c>
      <c r="E68">
        <v>172.26303924560551</v>
      </c>
      <c r="F68">
        <v>219.27105781555181</v>
      </c>
      <c r="G68" t="b">
        <v>0</v>
      </c>
      <c r="H68" t="s">
        <v>127</v>
      </c>
      <c r="I68">
        <v>56.390095011336882</v>
      </c>
      <c r="J68">
        <v>1</v>
      </c>
      <c r="K68" t="s">
        <v>143</v>
      </c>
    </row>
    <row r="69" spans="1:11" x14ac:dyDescent="0.45">
      <c r="A69" t="s">
        <v>109</v>
      </c>
      <c r="B69" t="s">
        <v>132</v>
      </c>
      <c r="C69">
        <v>41.755001068115227</v>
      </c>
      <c r="D69">
        <v>0.4178</v>
      </c>
      <c r="E69">
        <v>38.070899887084963</v>
      </c>
      <c r="F69">
        <v>42.417275009155283</v>
      </c>
      <c r="G69" t="b">
        <v>0</v>
      </c>
      <c r="H69" t="s">
        <v>127</v>
      </c>
      <c r="I69">
        <v>56.544153395160009</v>
      </c>
      <c r="J69">
        <v>1</v>
      </c>
      <c r="K69" t="s">
        <v>143</v>
      </c>
    </row>
    <row r="70" spans="1:11" x14ac:dyDescent="0.45">
      <c r="A70" t="s">
        <v>110</v>
      </c>
      <c r="B70" t="s">
        <v>132</v>
      </c>
      <c r="C70">
        <v>114.7900009155273</v>
      </c>
      <c r="D70">
        <v>0.4163</v>
      </c>
      <c r="E70">
        <v>99.279400482177735</v>
      </c>
      <c r="F70">
        <v>139.86269992828369</v>
      </c>
      <c r="G70" t="b">
        <v>0</v>
      </c>
      <c r="H70" t="s">
        <v>127</v>
      </c>
      <c r="I70">
        <v>57.487161004138038</v>
      </c>
      <c r="J70">
        <v>1</v>
      </c>
      <c r="K70" t="s">
        <v>143</v>
      </c>
    </row>
    <row r="71" spans="1:11" x14ac:dyDescent="0.45">
      <c r="A71" t="s">
        <v>111</v>
      </c>
      <c r="B71" t="s">
        <v>132</v>
      </c>
      <c r="C71">
        <v>143.2250061035156</v>
      </c>
      <c r="D71">
        <v>0.41620000000000001</v>
      </c>
      <c r="E71">
        <v>127.4409004211426</v>
      </c>
      <c r="F71">
        <v>183.53487480163571</v>
      </c>
      <c r="G71" t="b">
        <v>0</v>
      </c>
      <c r="H71" t="s">
        <v>127</v>
      </c>
      <c r="I71">
        <v>60.610992648602483</v>
      </c>
      <c r="J71">
        <v>1</v>
      </c>
      <c r="K71" t="s">
        <v>143</v>
      </c>
    </row>
    <row r="72" spans="1:11" x14ac:dyDescent="0.45">
      <c r="A72" t="s">
        <v>112</v>
      </c>
      <c r="B72" t="s">
        <v>132</v>
      </c>
      <c r="C72">
        <v>4.4149999618530273</v>
      </c>
      <c r="D72">
        <v>0.41489999999999999</v>
      </c>
      <c r="E72">
        <v>4.0096999740600587</v>
      </c>
      <c r="F72">
        <v>5.2651250040531146</v>
      </c>
      <c r="G72" t="b">
        <v>0</v>
      </c>
      <c r="H72" t="s">
        <v>127</v>
      </c>
      <c r="I72">
        <v>58.31932340753665</v>
      </c>
      <c r="J72">
        <v>1</v>
      </c>
      <c r="K72" t="s">
        <v>143</v>
      </c>
    </row>
    <row r="73" spans="1:11" x14ac:dyDescent="0.45">
      <c r="A73" t="s">
        <v>113</v>
      </c>
      <c r="B73" t="s">
        <v>132</v>
      </c>
      <c r="C73">
        <v>48.139999389648438</v>
      </c>
      <c r="D73">
        <v>0.4128</v>
      </c>
      <c r="E73">
        <v>49.286299667358399</v>
      </c>
      <c r="F73">
        <v>65.323349857330328</v>
      </c>
      <c r="G73" t="b">
        <v>0</v>
      </c>
      <c r="H73" t="s">
        <v>127</v>
      </c>
      <c r="I73">
        <v>57.787733264067619</v>
      </c>
      <c r="J73">
        <v>1</v>
      </c>
      <c r="K73" t="s">
        <v>143</v>
      </c>
    </row>
    <row r="74" spans="1:11" x14ac:dyDescent="0.45">
      <c r="A74" t="s">
        <v>114</v>
      </c>
      <c r="B74" t="s">
        <v>132</v>
      </c>
      <c r="C74">
        <v>213.5899963378906</v>
      </c>
      <c r="D74">
        <v>0.41160000000000002</v>
      </c>
      <c r="E74">
        <v>180.85118103027341</v>
      </c>
      <c r="F74">
        <v>205.69537773132319</v>
      </c>
      <c r="G74" t="b">
        <v>0</v>
      </c>
      <c r="H74" t="s">
        <v>127</v>
      </c>
      <c r="I74">
        <v>61.001470752751892</v>
      </c>
      <c r="J74">
        <v>1</v>
      </c>
      <c r="K74" t="s">
        <v>143</v>
      </c>
    </row>
    <row r="75" spans="1:11" x14ac:dyDescent="0.45">
      <c r="A75" t="s">
        <v>115</v>
      </c>
      <c r="B75" t="s">
        <v>132</v>
      </c>
      <c r="C75">
        <v>3.369999885559082</v>
      </c>
      <c r="D75">
        <v>0.41</v>
      </c>
      <c r="E75">
        <v>3.3228999948501592</v>
      </c>
      <c r="F75">
        <v>4.2188499987125399</v>
      </c>
      <c r="G75" t="b">
        <v>0</v>
      </c>
      <c r="H75" t="s">
        <v>127</v>
      </c>
      <c r="I75">
        <v>59.795915606814809</v>
      </c>
      <c r="J75">
        <v>1</v>
      </c>
      <c r="K75" t="s">
        <v>143</v>
      </c>
    </row>
    <row r="76" spans="1:11" x14ac:dyDescent="0.45">
      <c r="A76" t="s">
        <v>116</v>
      </c>
      <c r="B76" t="s">
        <v>132</v>
      </c>
      <c r="C76">
        <v>23.319999694824219</v>
      </c>
      <c r="D76">
        <v>0.40920000000000001</v>
      </c>
      <c r="E76">
        <v>19.24920007705688</v>
      </c>
      <c r="F76">
        <v>20.343000068664551</v>
      </c>
      <c r="G76" t="b">
        <v>0</v>
      </c>
      <c r="H76" t="s">
        <v>127</v>
      </c>
      <c r="I76">
        <v>59.647579120935823</v>
      </c>
      <c r="J76">
        <v>1</v>
      </c>
      <c r="K76" t="s">
        <v>143</v>
      </c>
    </row>
    <row r="77" spans="1:11" x14ac:dyDescent="0.45">
      <c r="A77" t="s">
        <v>117</v>
      </c>
      <c r="B77" t="s">
        <v>132</v>
      </c>
      <c r="C77">
        <v>76.050003051757813</v>
      </c>
      <c r="D77">
        <v>0.40770000000000001</v>
      </c>
      <c r="E77">
        <v>75.45740028381347</v>
      </c>
      <c r="F77">
        <v>78.078150157928462</v>
      </c>
      <c r="G77" t="b">
        <v>0</v>
      </c>
      <c r="H77" t="s">
        <v>127</v>
      </c>
      <c r="I77">
        <v>53.490481761912449</v>
      </c>
      <c r="J77">
        <v>1</v>
      </c>
      <c r="K77" t="s">
        <v>143</v>
      </c>
    </row>
    <row r="78" spans="1:11" x14ac:dyDescent="0.45">
      <c r="A78" t="s">
        <v>118</v>
      </c>
      <c r="B78" t="s">
        <v>132</v>
      </c>
      <c r="C78">
        <v>108.86000061035161</v>
      </c>
      <c r="D78">
        <v>0.4073</v>
      </c>
      <c r="E78">
        <v>92.483999481201167</v>
      </c>
      <c r="F78">
        <v>118.43449993133549</v>
      </c>
      <c r="G78" t="b">
        <v>0</v>
      </c>
      <c r="H78" t="s">
        <v>127</v>
      </c>
      <c r="I78">
        <v>68.566551114738047</v>
      </c>
      <c r="J78">
        <v>1</v>
      </c>
      <c r="K78" t="s">
        <v>143</v>
      </c>
    </row>
    <row r="79" spans="1:11" x14ac:dyDescent="0.45">
      <c r="A79" t="s">
        <v>119</v>
      </c>
      <c r="B79" t="s">
        <v>132</v>
      </c>
      <c r="C79">
        <v>62.900001525878913</v>
      </c>
      <c r="D79">
        <v>0.40589999999999998</v>
      </c>
      <c r="E79">
        <v>47.813800163269043</v>
      </c>
      <c r="F79">
        <v>48.630400056838987</v>
      </c>
      <c r="G79" t="b">
        <v>0</v>
      </c>
      <c r="H79" t="s">
        <v>127</v>
      </c>
      <c r="I79">
        <v>63.538549903165702</v>
      </c>
      <c r="J79">
        <v>1</v>
      </c>
      <c r="K79" t="s">
        <v>143</v>
      </c>
    </row>
    <row r="80" spans="1:11" x14ac:dyDescent="0.45">
      <c r="A80" t="s">
        <v>120</v>
      </c>
      <c r="B80" t="s">
        <v>132</v>
      </c>
      <c r="C80">
        <v>283.010009765625</v>
      </c>
      <c r="D80">
        <v>0.40229999999999999</v>
      </c>
      <c r="E80">
        <v>245.42594268798831</v>
      </c>
      <c r="F80">
        <v>269.24322967529298</v>
      </c>
      <c r="G80" t="b">
        <v>0</v>
      </c>
      <c r="H80" t="s">
        <v>127</v>
      </c>
      <c r="I80">
        <v>68.850103586789231</v>
      </c>
      <c r="J80">
        <v>1</v>
      </c>
      <c r="K80" t="s">
        <v>143</v>
      </c>
    </row>
    <row r="81" spans="1:11" x14ac:dyDescent="0.45">
      <c r="A81" t="s">
        <v>121</v>
      </c>
      <c r="B81" t="s">
        <v>132</v>
      </c>
      <c r="C81">
        <v>570.71002197265625</v>
      </c>
      <c r="D81">
        <v>0.40200000000000002</v>
      </c>
      <c r="E81">
        <v>475.35800292968747</v>
      </c>
      <c r="F81">
        <v>540.84597595214848</v>
      </c>
      <c r="G81" t="b">
        <v>0</v>
      </c>
      <c r="H81" t="s">
        <v>127</v>
      </c>
      <c r="I81">
        <v>66.975854732623731</v>
      </c>
      <c r="J81">
        <v>1</v>
      </c>
      <c r="K81" t="s">
        <v>143</v>
      </c>
    </row>
    <row r="82" spans="1:11" x14ac:dyDescent="0.45">
      <c r="A82" t="s">
        <v>122</v>
      </c>
      <c r="B82" t="s">
        <v>132</v>
      </c>
      <c r="C82">
        <v>7.429999828338623</v>
      </c>
      <c r="D82">
        <v>0.40179999999999999</v>
      </c>
      <c r="E82">
        <v>6.5809999942779536</v>
      </c>
      <c r="F82">
        <v>7.9321500182151796</v>
      </c>
      <c r="G82" t="b">
        <v>0</v>
      </c>
      <c r="H82" t="s">
        <v>127</v>
      </c>
      <c r="I82">
        <v>63.992540699306772</v>
      </c>
      <c r="J82">
        <v>1</v>
      </c>
      <c r="K82" t="s">
        <v>143</v>
      </c>
    </row>
    <row r="83" spans="1:11" x14ac:dyDescent="0.45">
      <c r="A83" t="s">
        <v>123</v>
      </c>
      <c r="B83" t="s">
        <v>132</v>
      </c>
      <c r="C83">
        <v>242.88499450683591</v>
      </c>
      <c r="D83">
        <v>0.39560000000000001</v>
      </c>
      <c r="E83">
        <v>166.0987008666992</v>
      </c>
      <c r="F83">
        <v>204.6940754699707</v>
      </c>
      <c r="G83" t="b">
        <v>0</v>
      </c>
      <c r="H83" t="s">
        <v>128</v>
      </c>
      <c r="I83">
        <v>71.731734108793972</v>
      </c>
      <c r="J83">
        <v>1</v>
      </c>
      <c r="K83" t="s">
        <v>143</v>
      </c>
    </row>
    <row r="84" spans="1:11" x14ac:dyDescent="0.45">
      <c r="A84" t="s">
        <v>124</v>
      </c>
      <c r="B84" t="s">
        <v>132</v>
      </c>
      <c r="C84">
        <v>43.490001678466797</v>
      </c>
      <c r="D84">
        <v>0.3947</v>
      </c>
      <c r="E84">
        <v>31.370999870300292</v>
      </c>
      <c r="F84">
        <v>36.021649942398071</v>
      </c>
      <c r="G84" t="b">
        <v>0</v>
      </c>
      <c r="H84" t="s">
        <v>128</v>
      </c>
      <c r="I84">
        <v>70.871864283959098</v>
      </c>
      <c r="J84">
        <v>1</v>
      </c>
      <c r="K84" t="s">
        <v>143</v>
      </c>
    </row>
    <row r="85" spans="1:11" x14ac:dyDescent="0.45">
      <c r="A85" t="s">
        <v>125</v>
      </c>
      <c r="B85" t="s">
        <v>132</v>
      </c>
      <c r="C85">
        <v>10.64500045776367</v>
      </c>
      <c r="D85">
        <v>0.39369999999999999</v>
      </c>
      <c r="E85">
        <v>9.24310001373291</v>
      </c>
      <c r="F85">
        <v>12.94967499732971</v>
      </c>
      <c r="G85" t="b">
        <v>0</v>
      </c>
      <c r="H85" t="s">
        <v>128</v>
      </c>
      <c r="I85">
        <v>70.530883550884056</v>
      </c>
      <c r="J85">
        <v>1</v>
      </c>
      <c r="K85" t="s">
        <v>143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82"/>
  <sheetViews>
    <sheetView workbookViewId="0"/>
  </sheetViews>
  <sheetFormatPr defaultRowHeight="14.25" x14ac:dyDescent="0.45"/>
  <sheetData>
    <row r="1" spans="1:16" x14ac:dyDescent="0.45">
      <c r="A1" t="s">
        <v>2</v>
      </c>
      <c r="B1" t="s">
        <v>42</v>
      </c>
      <c r="C1" t="s">
        <v>41</v>
      </c>
      <c r="D1" t="s">
        <v>144</v>
      </c>
      <c r="E1" t="s">
        <v>145</v>
      </c>
      <c r="F1" t="s">
        <v>146</v>
      </c>
      <c r="G1" t="s">
        <v>147</v>
      </c>
      <c r="H1" t="s">
        <v>148</v>
      </c>
      <c r="I1" t="s">
        <v>149</v>
      </c>
      <c r="J1" t="s">
        <v>150</v>
      </c>
      <c r="K1" t="s">
        <v>33</v>
      </c>
      <c r="L1" t="s">
        <v>151</v>
      </c>
      <c r="M1" t="s">
        <v>46</v>
      </c>
      <c r="N1" t="s">
        <v>152</v>
      </c>
      <c r="O1" t="s">
        <v>138</v>
      </c>
      <c r="P1" t="s">
        <v>153</v>
      </c>
    </row>
    <row r="2" spans="1:16" x14ac:dyDescent="0.45">
      <c r="A2" t="s">
        <v>70</v>
      </c>
      <c r="B2" t="s">
        <v>18</v>
      </c>
      <c r="C2">
        <v>0.70599999999999996</v>
      </c>
      <c r="D2">
        <v>0.10970000000000001</v>
      </c>
      <c r="E2">
        <v>0</v>
      </c>
      <c r="F2">
        <v>5.28</v>
      </c>
      <c r="G2">
        <v>1465.5</v>
      </c>
      <c r="H2">
        <v>0</v>
      </c>
      <c r="I2" t="s">
        <v>154</v>
      </c>
      <c r="J2">
        <v>0</v>
      </c>
      <c r="K2">
        <v>743.5</v>
      </c>
      <c r="L2">
        <v>1.97</v>
      </c>
      <c r="M2" t="s">
        <v>137</v>
      </c>
      <c r="N2">
        <v>1.2</v>
      </c>
      <c r="O2" t="s">
        <v>141</v>
      </c>
      <c r="P2">
        <v>1465.5</v>
      </c>
    </row>
    <row r="3" spans="1:16" x14ac:dyDescent="0.45">
      <c r="A3" t="s">
        <v>73</v>
      </c>
      <c r="B3" t="s">
        <v>18</v>
      </c>
      <c r="C3">
        <v>0.70020000000000004</v>
      </c>
      <c r="D3">
        <v>0.15190000000000001</v>
      </c>
      <c r="E3">
        <v>0</v>
      </c>
      <c r="F3">
        <v>4.99</v>
      </c>
      <c r="G3">
        <v>1385.01</v>
      </c>
      <c r="H3">
        <v>0</v>
      </c>
      <c r="I3" t="s">
        <v>154</v>
      </c>
      <c r="J3">
        <v>0</v>
      </c>
      <c r="K3">
        <v>720.7550048828125</v>
      </c>
      <c r="L3">
        <v>1.92</v>
      </c>
      <c r="M3" t="s">
        <v>137</v>
      </c>
      <c r="N3">
        <v>1.2</v>
      </c>
      <c r="O3" t="s">
        <v>141</v>
      </c>
      <c r="P3">
        <v>1385.01</v>
      </c>
    </row>
    <row r="4" spans="1:16" x14ac:dyDescent="0.45">
      <c r="A4" t="s">
        <v>75</v>
      </c>
      <c r="B4" t="s">
        <v>18</v>
      </c>
      <c r="C4">
        <v>0.6996</v>
      </c>
      <c r="D4">
        <v>0.15509999999999999</v>
      </c>
      <c r="E4">
        <v>0</v>
      </c>
      <c r="F4">
        <v>4.97</v>
      </c>
      <c r="G4">
        <v>1379.46</v>
      </c>
      <c r="H4">
        <v>0</v>
      </c>
      <c r="I4" t="s">
        <v>154</v>
      </c>
      <c r="J4">
        <v>0</v>
      </c>
      <c r="K4">
        <v>286.03500366210938</v>
      </c>
      <c r="L4">
        <v>4.82</v>
      </c>
      <c r="M4" t="s">
        <v>137</v>
      </c>
      <c r="N4">
        <v>1.2</v>
      </c>
      <c r="O4" t="s">
        <v>141</v>
      </c>
      <c r="P4">
        <v>1379.46</v>
      </c>
    </row>
    <row r="5" spans="1:16" x14ac:dyDescent="0.45">
      <c r="A5" t="s">
        <v>78</v>
      </c>
      <c r="B5" t="s">
        <v>18</v>
      </c>
      <c r="C5">
        <v>0.69810000000000005</v>
      </c>
      <c r="D5">
        <v>0.16689999999999999</v>
      </c>
      <c r="E5">
        <v>0</v>
      </c>
      <c r="F5">
        <v>4.88</v>
      </c>
      <c r="G5">
        <v>1354.48</v>
      </c>
      <c r="H5">
        <v>0</v>
      </c>
      <c r="I5" t="s">
        <v>154</v>
      </c>
      <c r="J5">
        <v>0</v>
      </c>
      <c r="K5">
        <v>314.02999877929688</v>
      </c>
      <c r="L5">
        <v>4.3099999999999996</v>
      </c>
      <c r="M5" t="s">
        <v>137</v>
      </c>
      <c r="N5">
        <v>1.2</v>
      </c>
      <c r="O5" t="s">
        <v>141</v>
      </c>
      <c r="P5">
        <v>1354.48</v>
      </c>
    </row>
    <row r="6" spans="1:16" x14ac:dyDescent="0.45">
      <c r="A6" t="s">
        <v>51</v>
      </c>
      <c r="B6" t="s">
        <v>18</v>
      </c>
      <c r="C6">
        <v>0.76190000000000002</v>
      </c>
      <c r="D6">
        <v>0.2505</v>
      </c>
      <c r="E6">
        <v>0</v>
      </c>
      <c r="F6">
        <v>4.8</v>
      </c>
      <c r="G6">
        <v>1332.27</v>
      </c>
      <c r="H6">
        <v>0</v>
      </c>
      <c r="I6" t="s">
        <v>154</v>
      </c>
      <c r="J6">
        <v>0</v>
      </c>
      <c r="K6">
        <v>360.16500854492188</v>
      </c>
      <c r="L6">
        <v>3.7</v>
      </c>
      <c r="M6" t="s">
        <v>137</v>
      </c>
      <c r="N6">
        <v>1.2</v>
      </c>
      <c r="O6" t="s">
        <v>140</v>
      </c>
      <c r="P6">
        <v>1332.27</v>
      </c>
    </row>
    <row r="7" spans="1:16" x14ac:dyDescent="0.45">
      <c r="A7" t="s">
        <v>53</v>
      </c>
      <c r="B7" t="s">
        <v>18</v>
      </c>
      <c r="C7">
        <v>0.74529999999999996</v>
      </c>
      <c r="D7">
        <v>0.24410000000000001</v>
      </c>
      <c r="E7">
        <v>0</v>
      </c>
      <c r="F7">
        <v>4.7300000000000004</v>
      </c>
      <c r="G7">
        <v>1312.84</v>
      </c>
      <c r="H7">
        <v>0</v>
      </c>
      <c r="I7" t="s">
        <v>154</v>
      </c>
      <c r="J7">
        <v>0</v>
      </c>
      <c r="K7">
        <v>246.22999572753909</v>
      </c>
      <c r="L7">
        <v>5.33</v>
      </c>
      <c r="M7" t="s">
        <v>137</v>
      </c>
      <c r="N7">
        <v>1.2</v>
      </c>
      <c r="O7" t="s">
        <v>140</v>
      </c>
      <c r="P7">
        <v>1312.84</v>
      </c>
    </row>
    <row r="8" spans="1:16" x14ac:dyDescent="0.45">
      <c r="A8" t="s">
        <v>62</v>
      </c>
      <c r="B8" t="s">
        <v>18</v>
      </c>
      <c r="C8">
        <v>0.71579999999999999</v>
      </c>
      <c r="D8">
        <v>0.2611</v>
      </c>
      <c r="E8">
        <v>0</v>
      </c>
      <c r="F8">
        <v>4.4400000000000004</v>
      </c>
      <c r="G8">
        <v>1232.3499999999999</v>
      </c>
      <c r="H8">
        <v>0</v>
      </c>
      <c r="I8" t="s">
        <v>154</v>
      </c>
      <c r="J8">
        <v>0</v>
      </c>
      <c r="K8">
        <v>125.9300003051758</v>
      </c>
      <c r="L8">
        <v>9.7899999999999991</v>
      </c>
      <c r="M8" t="s">
        <v>137</v>
      </c>
      <c r="N8">
        <v>1.2</v>
      </c>
      <c r="O8" t="s">
        <v>141</v>
      </c>
      <c r="P8">
        <v>1232.3499999999999</v>
      </c>
    </row>
    <row r="9" spans="1:16" x14ac:dyDescent="0.45">
      <c r="A9" t="s">
        <v>72</v>
      </c>
      <c r="B9" t="s">
        <v>18</v>
      </c>
      <c r="C9">
        <v>0.70540000000000003</v>
      </c>
      <c r="D9">
        <v>0.25290000000000001</v>
      </c>
      <c r="E9">
        <v>0</v>
      </c>
      <c r="F9">
        <v>4.43</v>
      </c>
      <c r="G9">
        <v>1229.58</v>
      </c>
      <c r="H9">
        <v>0</v>
      </c>
      <c r="I9" t="s">
        <v>154</v>
      </c>
      <c r="J9">
        <v>0</v>
      </c>
      <c r="K9">
        <v>404.57998657226563</v>
      </c>
      <c r="L9">
        <v>3.04</v>
      </c>
      <c r="M9" t="s">
        <v>137</v>
      </c>
      <c r="N9">
        <v>1.2</v>
      </c>
      <c r="O9" t="s">
        <v>141</v>
      </c>
      <c r="P9">
        <v>1229.58</v>
      </c>
    </row>
    <row r="10" spans="1:16" x14ac:dyDescent="0.45">
      <c r="A10" t="s">
        <v>68</v>
      </c>
      <c r="B10" t="s">
        <v>18</v>
      </c>
      <c r="C10">
        <v>0.70930000000000004</v>
      </c>
      <c r="D10">
        <v>0.26029999999999998</v>
      </c>
      <c r="E10">
        <v>0</v>
      </c>
      <c r="F10">
        <v>4.41</v>
      </c>
      <c r="G10">
        <v>1224.03</v>
      </c>
      <c r="H10">
        <v>0</v>
      </c>
      <c r="I10" t="s">
        <v>154</v>
      </c>
      <c r="J10">
        <v>0</v>
      </c>
      <c r="K10">
        <v>451.7200927734375</v>
      </c>
      <c r="L10">
        <v>2.71</v>
      </c>
      <c r="M10" t="s">
        <v>137</v>
      </c>
      <c r="N10">
        <v>1.2</v>
      </c>
      <c r="O10" t="s">
        <v>141</v>
      </c>
      <c r="P10">
        <v>1224.03</v>
      </c>
    </row>
    <row r="11" spans="1:16" x14ac:dyDescent="0.45">
      <c r="A11" t="s">
        <v>80</v>
      </c>
      <c r="B11" t="s">
        <v>18</v>
      </c>
      <c r="C11">
        <v>0.69379999999999997</v>
      </c>
      <c r="D11">
        <v>0.26450000000000001</v>
      </c>
      <c r="E11">
        <v>0</v>
      </c>
      <c r="F11">
        <v>4.29</v>
      </c>
      <c r="G11">
        <v>1190.72</v>
      </c>
      <c r="H11">
        <v>0</v>
      </c>
      <c r="I11" t="s">
        <v>154</v>
      </c>
      <c r="J11">
        <v>0</v>
      </c>
      <c r="K11">
        <v>602.739990234375</v>
      </c>
      <c r="L11">
        <v>1.98</v>
      </c>
      <c r="M11" t="s">
        <v>137</v>
      </c>
      <c r="N11">
        <v>1.2</v>
      </c>
      <c r="O11" t="s">
        <v>141</v>
      </c>
      <c r="P11">
        <v>1190.72</v>
      </c>
    </row>
    <row r="12" spans="1:16" x14ac:dyDescent="0.45">
      <c r="A12" t="s">
        <v>74</v>
      </c>
      <c r="B12" t="s">
        <v>18</v>
      </c>
      <c r="C12">
        <v>0.69979999999999998</v>
      </c>
      <c r="D12">
        <v>0.29120000000000001</v>
      </c>
      <c r="E12">
        <v>0</v>
      </c>
      <c r="F12">
        <v>4.17</v>
      </c>
      <c r="G12">
        <v>1157.4100000000001</v>
      </c>
      <c r="H12">
        <v>0</v>
      </c>
      <c r="I12" t="s">
        <v>154</v>
      </c>
      <c r="J12">
        <v>0</v>
      </c>
      <c r="K12">
        <v>430.58999633789063</v>
      </c>
      <c r="L12">
        <v>2.69</v>
      </c>
      <c r="M12" t="s">
        <v>137</v>
      </c>
      <c r="N12">
        <v>1.2</v>
      </c>
      <c r="O12" t="s">
        <v>141</v>
      </c>
      <c r="P12">
        <v>1157.4100000000001</v>
      </c>
    </row>
    <row r="13" spans="1:16" x14ac:dyDescent="0.45">
      <c r="A13" t="s">
        <v>84</v>
      </c>
      <c r="B13" t="s">
        <v>18</v>
      </c>
      <c r="C13">
        <v>0.69</v>
      </c>
      <c r="D13">
        <v>0.29310000000000003</v>
      </c>
      <c r="E13">
        <v>0</v>
      </c>
      <c r="F13">
        <v>4.0999999999999996</v>
      </c>
      <c r="G13">
        <v>1137.98</v>
      </c>
      <c r="H13">
        <v>0</v>
      </c>
      <c r="I13" t="s">
        <v>154</v>
      </c>
      <c r="J13">
        <v>0</v>
      </c>
      <c r="K13">
        <v>577.8499755859375</v>
      </c>
      <c r="L13">
        <v>1.97</v>
      </c>
      <c r="M13" t="s">
        <v>137</v>
      </c>
      <c r="N13">
        <v>1.2</v>
      </c>
      <c r="O13" t="s">
        <v>141</v>
      </c>
      <c r="P13">
        <v>1137.98</v>
      </c>
    </row>
    <row r="14" spans="1:16" x14ac:dyDescent="0.45">
      <c r="A14" t="s">
        <v>77</v>
      </c>
      <c r="B14" t="s">
        <v>18</v>
      </c>
      <c r="C14">
        <v>0.69899999999999995</v>
      </c>
      <c r="D14">
        <v>0.3034</v>
      </c>
      <c r="E14">
        <v>0</v>
      </c>
      <c r="F14">
        <v>4.09</v>
      </c>
      <c r="G14">
        <v>1135.21</v>
      </c>
      <c r="H14">
        <v>0</v>
      </c>
      <c r="I14" t="s">
        <v>154</v>
      </c>
      <c r="J14">
        <v>0</v>
      </c>
      <c r="K14">
        <v>144.49000549316409</v>
      </c>
      <c r="L14">
        <v>7.86</v>
      </c>
      <c r="M14" t="s">
        <v>137</v>
      </c>
      <c r="N14">
        <v>1.2</v>
      </c>
      <c r="O14" t="s">
        <v>141</v>
      </c>
      <c r="P14">
        <v>1135.21</v>
      </c>
    </row>
    <row r="15" spans="1:16" x14ac:dyDescent="0.45">
      <c r="A15" t="s">
        <v>54</v>
      </c>
      <c r="B15" t="s">
        <v>18</v>
      </c>
      <c r="C15">
        <v>0.73740000000000006</v>
      </c>
      <c r="D15">
        <v>0.36349999999999999</v>
      </c>
      <c r="E15">
        <v>0</v>
      </c>
      <c r="F15">
        <v>3.94</v>
      </c>
      <c r="G15">
        <v>1093.57</v>
      </c>
      <c r="H15">
        <v>0</v>
      </c>
      <c r="I15" t="s">
        <v>154</v>
      </c>
      <c r="J15">
        <v>0</v>
      </c>
      <c r="K15">
        <v>474.58999633789063</v>
      </c>
      <c r="L15">
        <v>2.2999999999999998</v>
      </c>
      <c r="M15" t="s">
        <v>137</v>
      </c>
      <c r="N15">
        <v>1.2</v>
      </c>
      <c r="O15" t="s">
        <v>141</v>
      </c>
      <c r="P15">
        <v>1093.57</v>
      </c>
    </row>
    <row r="16" spans="1:16" x14ac:dyDescent="0.45">
      <c r="A16" t="s">
        <v>76</v>
      </c>
      <c r="B16" t="s">
        <v>18</v>
      </c>
      <c r="C16">
        <v>0.69910000000000005</v>
      </c>
      <c r="D16">
        <v>0.33169999999999999</v>
      </c>
      <c r="E16">
        <v>0</v>
      </c>
      <c r="F16">
        <v>3.92</v>
      </c>
      <c r="G16">
        <v>1088.02</v>
      </c>
      <c r="H16">
        <v>0</v>
      </c>
      <c r="I16" t="s">
        <v>154</v>
      </c>
      <c r="J16">
        <v>0</v>
      </c>
      <c r="K16">
        <v>392.2449951171875</v>
      </c>
      <c r="L16">
        <v>2.77</v>
      </c>
      <c r="M16" t="s">
        <v>137</v>
      </c>
      <c r="N16">
        <v>1.2</v>
      </c>
      <c r="O16" t="s">
        <v>141</v>
      </c>
      <c r="P16">
        <v>1088.02</v>
      </c>
    </row>
    <row r="17" spans="1:16" x14ac:dyDescent="0.45">
      <c r="A17" t="s">
        <v>12</v>
      </c>
      <c r="B17" t="s">
        <v>139</v>
      </c>
      <c r="C17">
        <v>0.8034</v>
      </c>
      <c r="D17">
        <v>0.2651</v>
      </c>
      <c r="E17">
        <v>0.25690000000000002</v>
      </c>
      <c r="F17">
        <v>3.89</v>
      </c>
      <c r="G17">
        <v>1079.7</v>
      </c>
      <c r="H17">
        <v>0</v>
      </c>
      <c r="I17" t="s">
        <v>154</v>
      </c>
      <c r="J17">
        <v>0</v>
      </c>
      <c r="K17">
        <v>205.1000061035156</v>
      </c>
      <c r="L17">
        <v>5.26</v>
      </c>
      <c r="M17" t="s">
        <v>137</v>
      </c>
      <c r="N17">
        <v>1.2</v>
      </c>
      <c r="O17" t="s">
        <v>140</v>
      </c>
      <c r="P17">
        <v>1079.7</v>
      </c>
    </row>
    <row r="18" spans="1:16" x14ac:dyDescent="0.45">
      <c r="A18" t="s">
        <v>87</v>
      </c>
      <c r="B18" t="s">
        <v>18</v>
      </c>
      <c r="C18">
        <v>0.68689999999999996</v>
      </c>
      <c r="D18">
        <v>0.33069999999999999</v>
      </c>
      <c r="E18">
        <v>0</v>
      </c>
      <c r="F18">
        <v>3.86</v>
      </c>
      <c r="G18">
        <v>1071.3699999999999</v>
      </c>
      <c r="H18">
        <v>0</v>
      </c>
      <c r="I18" t="s">
        <v>154</v>
      </c>
      <c r="J18">
        <v>0</v>
      </c>
      <c r="K18">
        <v>1752.47998046875</v>
      </c>
      <c r="L18">
        <v>0.61</v>
      </c>
      <c r="M18" t="s">
        <v>137</v>
      </c>
      <c r="N18">
        <v>1.2</v>
      </c>
      <c r="O18" t="s">
        <v>141</v>
      </c>
      <c r="P18">
        <v>1071.3699999999999</v>
      </c>
    </row>
    <row r="19" spans="1:16" x14ac:dyDescent="0.45">
      <c r="A19" t="s">
        <v>65</v>
      </c>
      <c r="B19" t="s">
        <v>18</v>
      </c>
      <c r="C19">
        <v>0.7127</v>
      </c>
      <c r="D19">
        <v>0.36509999999999998</v>
      </c>
      <c r="E19">
        <v>0</v>
      </c>
      <c r="F19">
        <v>3.8</v>
      </c>
      <c r="G19">
        <v>1054.72</v>
      </c>
      <c r="H19">
        <v>0</v>
      </c>
      <c r="I19" t="s">
        <v>154</v>
      </c>
      <c r="J19">
        <v>0</v>
      </c>
      <c r="K19">
        <v>267.3599853515625</v>
      </c>
      <c r="L19">
        <v>3.94</v>
      </c>
      <c r="M19" t="s">
        <v>137</v>
      </c>
      <c r="N19">
        <v>1.2</v>
      </c>
      <c r="O19" t="s">
        <v>141</v>
      </c>
      <c r="P19">
        <v>1054.72</v>
      </c>
    </row>
    <row r="20" spans="1:16" x14ac:dyDescent="0.45">
      <c r="A20" t="s">
        <v>66</v>
      </c>
      <c r="B20" t="s">
        <v>18</v>
      </c>
      <c r="C20">
        <v>0.7107</v>
      </c>
      <c r="D20">
        <v>0.36599999999999999</v>
      </c>
      <c r="E20">
        <v>0</v>
      </c>
      <c r="F20">
        <v>3.78</v>
      </c>
      <c r="G20">
        <v>1049.17</v>
      </c>
      <c r="H20">
        <v>0</v>
      </c>
      <c r="I20" t="s">
        <v>154</v>
      </c>
      <c r="J20">
        <v>0</v>
      </c>
      <c r="K20">
        <v>78.339996337890625</v>
      </c>
      <c r="L20">
        <v>13.39</v>
      </c>
      <c r="M20" t="s">
        <v>137</v>
      </c>
      <c r="N20">
        <v>1.2</v>
      </c>
      <c r="O20" t="s">
        <v>141</v>
      </c>
      <c r="P20">
        <v>1049.17</v>
      </c>
    </row>
    <row r="21" spans="1:16" x14ac:dyDescent="0.45">
      <c r="A21" t="s">
        <v>55</v>
      </c>
      <c r="B21" t="s">
        <v>18</v>
      </c>
      <c r="C21">
        <v>0.72960000000000003</v>
      </c>
      <c r="D21">
        <v>0.38429999999999997</v>
      </c>
      <c r="E21">
        <v>0</v>
      </c>
      <c r="F21">
        <v>3.77</v>
      </c>
      <c r="G21">
        <v>1046.3900000000001</v>
      </c>
      <c r="H21">
        <v>0</v>
      </c>
      <c r="I21" t="s">
        <v>154</v>
      </c>
      <c r="J21">
        <v>0</v>
      </c>
      <c r="K21">
        <v>398.16500854492188</v>
      </c>
      <c r="L21">
        <v>2.63</v>
      </c>
      <c r="M21" t="s">
        <v>137</v>
      </c>
      <c r="N21">
        <v>1.2</v>
      </c>
      <c r="O21" t="s">
        <v>141</v>
      </c>
      <c r="P21">
        <v>1046.3900000000001</v>
      </c>
    </row>
    <row r="22" spans="1:16" x14ac:dyDescent="0.45">
      <c r="A22" t="s">
        <v>52</v>
      </c>
      <c r="B22" t="s">
        <v>18</v>
      </c>
      <c r="C22">
        <v>0.74529999999999996</v>
      </c>
      <c r="D22">
        <v>0.43590000000000001</v>
      </c>
      <c r="E22">
        <v>0</v>
      </c>
      <c r="F22">
        <v>3.53</v>
      </c>
      <c r="G22">
        <v>979.78</v>
      </c>
      <c r="H22">
        <v>0</v>
      </c>
      <c r="I22" t="s">
        <v>154</v>
      </c>
      <c r="J22">
        <v>0</v>
      </c>
      <c r="K22">
        <v>308.01998901367188</v>
      </c>
      <c r="L22">
        <v>3.18</v>
      </c>
      <c r="M22" t="s">
        <v>137</v>
      </c>
      <c r="N22">
        <v>1.2</v>
      </c>
      <c r="O22" t="s">
        <v>140</v>
      </c>
      <c r="P22">
        <v>979.78</v>
      </c>
    </row>
    <row r="23" spans="1:16" x14ac:dyDescent="0.45">
      <c r="A23" t="s">
        <v>69</v>
      </c>
      <c r="B23" t="s">
        <v>18</v>
      </c>
      <c r="C23">
        <v>0.70760000000000001</v>
      </c>
      <c r="D23">
        <v>0.40510000000000002</v>
      </c>
      <c r="E23">
        <v>0</v>
      </c>
      <c r="F23">
        <v>3.53</v>
      </c>
      <c r="G23">
        <v>979.78</v>
      </c>
      <c r="H23">
        <v>0</v>
      </c>
      <c r="I23" t="s">
        <v>154</v>
      </c>
      <c r="J23">
        <v>0</v>
      </c>
      <c r="K23">
        <v>158.05000305175781</v>
      </c>
      <c r="L23">
        <v>6.2</v>
      </c>
      <c r="M23" t="s">
        <v>137</v>
      </c>
      <c r="N23">
        <v>1.2</v>
      </c>
      <c r="O23" t="s">
        <v>141</v>
      </c>
      <c r="P23">
        <v>979.78</v>
      </c>
    </row>
    <row r="24" spans="1:16" x14ac:dyDescent="0.45">
      <c r="A24" t="s">
        <v>82</v>
      </c>
      <c r="B24" t="s">
        <v>18</v>
      </c>
      <c r="C24">
        <v>0.69340000000000002</v>
      </c>
      <c r="D24">
        <v>0.39379999999999998</v>
      </c>
      <c r="E24">
        <v>0</v>
      </c>
      <c r="F24">
        <v>3.53</v>
      </c>
      <c r="G24">
        <v>979.78</v>
      </c>
      <c r="H24">
        <v>0</v>
      </c>
      <c r="I24" t="s">
        <v>154</v>
      </c>
      <c r="J24">
        <v>0</v>
      </c>
      <c r="K24">
        <v>2114.6298828125</v>
      </c>
      <c r="L24">
        <v>0.46</v>
      </c>
      <c r="M24" t="s">
        <v>137</v>
      </c>
      <c r="N24">
        <v>1.2</v>
      </c>
      <c r="O24" t="s">
        <v>141</v>
      </c>
      <c r="P24">
        <v>979.78</v>
      </c>
    </row>
    <row r="25" spans="1:16" x14ac:dyDescent="0.45">
      <c r="A25" t="s">
        <v>64</v>
      </c>
      <c r="B25" t="s">
        <v>18</v>
      </c>
      <c r="C25">
        <v>0.71309999999999996</v>
      </c>
      <c r="D25">
        <v>0.4264</v>
      </c>
      <c r="E25">
        <v>0</v>
      </c>
      <c r="F25">
        <v>3.44</v>
      </c>
      <c r="G25">
        <v>954.8</v>
      </c>
      <c r="H25">
        <v>0</v>
      </c>
      <c r="I25" t="s">
        <v>154</v>
      </c>
      <c r="J25">
        <v>0</v>
      </c>
      <c r="K25">
        <v>657.8499755859375</v>
      </c>
      <c r="L25">
        <v>1.45</v>
      </c>
      <c r="M25" t="s">
        <v>137</v>
      </c>
      <c r="N25">
        <v>1.2</v>
      </c>
      <c r="O25" t="s">
        <v>141</v>
      </c>
      <c r="P25">
        <v>954.8</v>
      </c>
    </row>
    <row r="26" spans="1:16" x14ac:dyDescent="0.45">
      <c r="A26" t="s">
        <v>67</v>
      </c>
      <c r="B26" t="s">
        <v>18</v>
      </c>
      <c r="C26">
        <v>0.7107</v>
      </c>
      <c r="D26">
        <v>0.4451</v>
      </c>
      <c r="E26">
        <v>0</v>
      </c>
      <c r="F26">
        <v>3.31</v>
      </c>
      <c r="G26">
        <v>918.71</v>
      </c>
      <c r="H26">
        <v>0</v>
      </c>
      <c r="I26" t="s">
        <v>154</v>
      </c>
      <c r="J26">
        <v>0</v>
      </c>
      <c r="K26">
        <v>217.10499572753909</v>
      </c>
      <c r="L26">
        <v>4.2300000000000004</v>
      </c>
      <c r="M26" t="s">
        <v>137</v>
      </c>
      <c r="N26">
        <v>1.2</v>
      </c>
      <c r="O26" t="s">
        <v>141</v>
      </c>
      <c r="P26">
        <v>918.71</v>
      </c>
    </row>
    <row r="27" spans="1:16" x14ac:dyDescent="0.45">
      <c r="A27" t="s">
        <v>60</v>
      </c>
      <c r="B27" t="s">
        <v>18</v>
      </c>
      <c r="C27">
        <v>0.71699999999999997</v>
      </c>
      <c r="D27">
        <v>0.47989999999999999</v>
      </c>
      <c r="E27">
        <v>0</v>
      </c>
      <c r="F27">
        <v>3.13</v>
      </c>
      <c r="G27">
        <v>868.75</v>
      </c>
      <c r="H27">
        <v>0</v>
      </c>
      <c r="I27" t="s">
        <v>154</v>
      </c>
      <c r="J27">
        <v>0</v>
      </c>
      <c r="K27">
        <v>36.590000152587891</v>
      </c>
      <c r="L27">
        <v>23.74</v>
      </c>
      <c r="M27" t="s">
        <v>137</v>
      </c>
      <c r="N27">
        <v>1.2</v>
      </c>
      <c r="O27" t="s">
        <v>141</v>
      </c>
      <c r="P27">
        <v>868.75</v>
      </c>
    </row>
    <row r="28" spans="1:16" x14ac:dyDescent="0.45">
      <c r="A28" t="s">
        <v>81</v>
      </c>
      <c r="B28" t="s">
        <v>18</v>
      </c>
      <c r="C28">
        <v>0.69359999999999999</v>
      </c>
      <c r="D28">
        <v>0.50649999999999995</v>
      </c>
      <c r="E28">
        <v>0</v>
      </c>
      <c r="F28">
        <v>2.88</v>
      </c>
      <c r="G28">
        <v>799.36</v>
      </c>
      <c r="H28">
        <v>0</v>
      </c>
      <c r="I28" t="s">
        <v>154</v>
      </c>
      <c r="J28">
        <v>0</v>
      </c>
      <c r="K28">
        <v>251.35479736328119</v>
      </c>
      <c r="L28">
        <v>3.18</v>
      </c>
      <c r="M28" t="s">
        <v>137</v>
      </c>
      <c r="N28">
        <v>1.2</v>
      </c>
      <c r="O28" t="s">
        <v>141</v>
      </c>
      <c r="P28">
        <v>799.36</v>
      </c>
    </row>
    <row r="29" spans="1:16" x14ac:dyDescent="0.45">
      <c r="A29" t="s">
        <v>88</v>
      </c>
      <c r="B29" t="s">
        <v>18</v>
      </c>
      <c r="C29">
        <v>0.6865</v>
      </c>
      <c r="D29">
        <v>0.51190000000000002</v>
      </c>
      <c r="E29">
        <v>0</v>
      </c>
      <c r="F29">
        <v>2.82</v>
      </c>
      <c r="G29">
        <v>782.71</v>
      </c>
      <c r="H29">
        <v>0</v>
      </c>
      <c r="I29" t="s">
        <v>154</v>
      </c>
      <c r="J29">
        <v>0</v>
      </c>
      <c r="K29">
        <v>301.57501220703119</v>
      </c>
      <c r="L29">
        <v>2.6</v>
      </c>
      <c r="M29" t="s">
        <v>137</v>
      </c>
      <c r="N29">
        <v>1.2</v>
      </c>
      <c r="O29" t="s">
        <v>141</v>
      </c>
      <c r="P29">
        <v>782.71</v>
      </c>
    </row>
    <row r="30" spans="1:16" x14ac:dyDescent="0.45">
      <c r="A30" t="s">
        <v>86</v>
      </c>
      <c r="B30" t="s">
        <v>18</v>
      </c>
      <c r="C30">
        <v>0.68730000000000002</v>
      </c>
      <c r="D30">
        <v>0.5151</v>
      </c>
      <c r="E30">
        <v>0</v>
      </c>
      <c r="F30">
        <v>2.8</v>
      </c>
      <c r="G30">
        <v>777.16</v>
      </c>
      <c r="H30">
        <v>0</v>
      </c>
      <c r="I30" t="s">
        <v>154</v>
      </c>
      <c r="J30">
        <v>0</v>
      </c>
      <c r="K30">
        <v>403.489990234375</v>
      </c>
      <c r="L30">
        <v>1.93</v>
      </c>
      <c r="M30" t="s">
        <v>137</v>
      </c>
      <c r="N30">
        <v>1.2</v>
      </c>
      <c r="O30" t="s">
        <v>141</v>
      </c>
      <c r="P30">
        <v>777.16</v>
      </c>
    </row>
    <row r="31" spans="1:16" x14ac:dyDescent="0.45">
      <c r="A31" t="s">
        <v>56</v>
      </c>
      <c r="B31" t="s">
        <v>18</v>
      </c>
      <c r="C31">
        <v>0.7268</v>
      </c>
      <c r="D31">
        <v>0.54690000000000005</v>
      </c>
      <c r="E31">
        <v>0</v>
      </c>
      <c r="F31">
        <v>2.77</v>
      </c>
      <c r="G31">
        <v>768.83</v>
      </c>
      <c r="H31">
        <v>0</v>
      </c>
      <c r="I31" t="s">
        <v>154</v>
      </c>
      <c r="J31">
        <v>0</v>
      </c>
      <c r="K31">
        <v>111.3349990844727</v>
      </c>
      <c r="L31">
        <v>6.91</v>
      </c>
      <c r="M31" t="s">
        <v>137</v>
      </c>
      <c r="N31">
        <v>1.2</v>
      </c>
      <c r="O31" t="s">
        <v>141</v>
      </c>
      <c r="P31">
        <v>768.83</v>
      </c>
    </row>
    <row r="32" spans="1:16" x14ac:dyDescent="0.45">
      <c r="A32" t="s">
        <v>61</v>
      </c>
      <c r="B32" t="s">
        <v>18</v>
      </c>
      <c r="C32">
        <v>0.7167</v>
      </c>
      <c r="D32">
        <v>0.54800000000000004</v>
      </c>
      <c r="E32">
        <v>0</v>
      </c>
      <c r="F32">
        <v>2.72</v>
      </c>
      <c r="G32">
        <v>754.95</v>
      </c>
      <c r="H32">
        <v>0</v>
      </c>
      <c r="I32" t="s">
        <v>154</v>
      </c>
      <c r="J32">
        <v>0</v>
      </c>
      <c r="K32">
        <v>230.49000549316409</v>
      </c>
      <c r="L32">
        <v>3.28</v>
      </c>
      <c r="M32" t="s">
        <v>137</v>
      </c>
      <c r="N32">
        <v>1.2</v>
      </c>
      <c r="O32" t="s">
        <v>141</v>
      </c>
      <c r="P32">
        <v>754.95</v>
      </c>
    </row>
    <row r="33" spans="1:16" x14ac:dyDescent="0.45">
      <c r="A33" t="s">
        <v>79</v>
      </c>
      <c r="B33" t="s">
        <v>18</v>
      </c>
      <c r="C33">
        <v>0.69579999999999997</v>
      </c>
      <c r="D33">
        <v>0.54420000000000002</v>
      </c>
      <c r="E33">
        <v>0</v>
      </c>
      <c r="F33">
        <v>2.66</v>
      </c>
      <c r="G33">
        <v>738.3</v>
      </c>
      <c r="H33">
        <v>0</v>
      </c>
      <c r="I33" t="s">
        <v>154</v>
      </c>
      <c r="J33">
        <v>0</v>
      </c>
      <c r="K33">
        <v>956.0999755859375</v>
      </c>
      <c r="L33">
        <v>0.77</v>
      </c>
      <c r="M33" t="s">
        <v>137</v>
      </c>
      <c r="N33">
        <v>1.2</v>
      </c>
      <c r="O33" t="s">
        <v>141</v>
      </c>
      <c r="P33">
        <v>738.3</v>
      </c>
    </row>
    <row r="34" spans="1:16" x14ac:dyDescent="0.45">
      <c r="A34" t="s">
        <v>85</v>
      </c>
      <c r="B34" t="s">
        <v>18</v>
      </c>
      <c r="C34">
        <v>0.68930000000000002</v>
      </c>
      <c r="D34">
        <v>0.54200000000000004</v>
      </c>
      <c r="E34">
        <v>0</v>
      </c>
      <c r="F34">
        <v>2.65</v>
      </c>
      <c r="G34">
        <v>735.53</v>
      </c>
      <c r="H34">
        <v>0</v>
      </c>
      <c r="I34" t="s">
        <v>154</v>
      </c>
      <c r="J34">
        <v>0</v>
      </c>
      <c r="K34">
        <v>360.17001342773438</v>
      </c>
      <c r="L34">
        <v>2.04</v>
      </c>
      <c r="M34" t="s">
        <v>137</v>
      </c>
      <c r="N34">
        <v>1.2</v>
      </c>
      <c r="O34" t="s">
        <v>141</v>
      </c>
      <c r="P34">
        <v>735.53</v>
      </c>
    </row>
    <row r="35" spans="1:16" x14ac:dyDescent="0.45">
      <c r="A35" t="s">
        <v>71</v>
      </c>
      <c r="B35" t="s">
        <v>18</v>
      </c>
      <c r="C35">
        <v>0.70550000000000002</v>
      </c>
      <c r="D35">
        <v>0.64649999999999996</v>
      </c>
      <c r="E35">
        <v>0</v>
      </c>
      <c r="F35">
        <v>2.1</v>
      </c>
      <c r="G35">
        <v>582.87</v>
      </c>
      <c r="H35">
        <v>0</v>
      </c>
      <c r="I35" t="s">
        <v>154</v>
      </c>
      <c r="J35">
        <v>0</v>
      </c>
      <c r="K35">
        <v>1669.905029296875</v>
      </c>
      <c r="L35">
        <v>0.35</v>
      </c>
      <c r="M35" t="s">
        <v>137</v>
      </c>
      <c r="N35">
        <v>1.2</v>
      </c>
      <c r="O35" t="s">
        <v>141</v>
      </c>
      <c r="P35">
        <v>582.87</v>
      </c>
    </row>
    <row r="36" spans="1:16" x14ac:dyDescent="0.45">
      <c r="A36" t="s">
        <v>13</v>
      </c>
      <c r="B36" t="s">
        <v>18</v>
      </c>
      <c r="C36">
        <v>0.76449999999999996</v>
      </c>
      <c r="D36">
        <v>0.48470000000000002</v>
      </c>
      <c r="E36">
        <v>0.2596</v>
      </c>
      <c r="F36">
        <v>1.81</v>
      </c>
      <c r="G36">
        <v>502.38</v>
      </c>
      <c r="H36">
        <v>0</v>
      </c>
      <c r="I36" t="s">
        <v>154</v>
      </c>
      <c r="J36">
        <v>0</v>
      </c>
      <c r="K36">
        <v>490.2449951171875</v>
      </c>
      <c r="L36">
        <v>1.02</v>
      </c>
      <c r="M36" t="s">
        <v>137</v>
      </c>
      <c r="N36">
        <v>1.2</v>
      </c>
      <c r="O36" t="s">
        <v>141</v>
      </c>
      <c r="P36">
        <v>502.38</v>
      </c>
    </row>
    <row r="37" spans="1:16" x14ac:dyDescent="0.45">
      <c r="A37" t="s">
        <v>91</v>
      </c>
      <c r="B37" t="s">
        <v>127</v>
      </c>
      <c r="C37">
        <v>0.45800000000000002</v>
      </c>
      <c r="D37">
        <v>0.18110000000000001</v>
      </c>
      <c r="E37">
        <v>0</v>
      </c>
      <c r="F37">
        <v>1.8</v>
      </c>
      <c r="G37">
        <v>499.6</v>
      </c>
      <c r="H37">
        <v>0</v>
      </c>
      <c r="I37" t="s">
        <v>154</v>
      </c>
      <c r="J37">
        <v>0</v>
      </c>
      <c r="K37">
        <v>278.01998901367188</v>
      </c>
      <c r="L37">
        <v>1.8</v>
      </c>
      <c r="M37" t="s">
        <v>137</v>
      </c>
      <c r="N37">
        <v>1.2</v>
      </c>
      <c r="O37" t="s">
        <v>143</v>
      </c>
      <c r="P37">
        <v>499.6</v>
      </c>
    </row>
    <row r="38" spans="1:16" x14ac:dyDescent="0.45">
      <c r="A38" t="s">
        <v>96</v>
      </c>
      <c r="B38" t="s">
        <v>127</v>
      </c>
      <c r="C38">
        <v>0.44500000000000001</v>
      </c>
      <c r="D38">
        <v>0.1835</v>
      </c>
      <c r="E38">
        <v>0</v>
      </c>
      <c r="F38">
        <v>1.75</v>
      </c>
      <c r="G38">
        <v>485.72</v>
      </c>
      <c r="H38">
        <v>0</v>
      </c>
      <c r="I38" t="s">
        <v>154</v>
      </c>
      <c r="J38">
        <v>0</v>
      </c>
      <c r="K38">
        <v>145.44999694824219</v>
      </c>
      <c r="L38">
        <v>3.34</v>
      </c>
      <c r="M38" t="s">
        <v>137</v>
      </c>
      <c r="N38">
        <v>1.2</v>
      </c>
      <c r="O38" t="s">
        <v>143</v>
      </c>
      <c r="P38">
        <v>485.72</v>
      </c>
    </row>
    <row r="39" spans="1:16" x14ac:dyDescent="0.45">
      <c r="A39" t="s">
        <v>90</v>
      </c>
      <c r="B39" t="s">
        <v>127</v>
      </c>
      <c r="C39">
        <v>0.46920000000000001</v>
      </c>
      <c r="D39">
        <v>0.24959999999999999</v>
      </c>
      <c r="E39">
        <v>0</v>
      </c>
      <c r="F39">
        <v>1.69</v>
      </c>
      <c r="G39">
        <v>469.07</v>
      </c>
      <c r="H39">
        <v>0</v>
      </c>
      <c r="I39" t="s">
        <v>154</v>
      </c>
      <c r="J39">
        <v>0</v>
      </c>
      <c r="K39">
        <v>69.819999694824219</v>
      </c>
      <c r="L39">
        <v>6.72</v>
      </c>
      <c r="M39" t="s">
        <v>137</v>
      </c>
      <c r="N39">
        <v>1.2</v>
      </c>
      <c r="O39" t="s">
        <v>142</v>
      </c>
      <c r="P39">
        <v>469.07</v>
      </c>
    </row>
    <row r="40" spans="1:16" x14ac:dyDescent="0.45">
      <c r="A40" t="s">
        <v>14</v>
      </c>
      <c r="B40" t="s">
        <v>18</v>
      </c>
      <c r="C40">
        <v>0.79990000000000006</v>
      </c>
      <c r="D40">
        <v>0.67659999999999998</v>
      </c>
      <c r="E40">
        <v>0.17</v>
      </c>
      <c r="F40">
        <v>1.65</v>
      </c>
      <c r="G40">
        <v>457.97</v>
      </c>
      <c r="H40">
        <v>0</v>
      </c>
      <c r="I40" t="s">
        <v>154</v>
      </c>
      <c r="J40">
        <v>0</v>
      </c>
      <c r="K40">
        <v>102.1650009155273</v>
      </c>
      <c r="L40">
        <v>4.4800000000000004</v>
      </c>
      <c r="M40" t="s">
        <v>137</v>
      </c>
      <c r="N40">
        <v>1.2</v>
      </c>
      <c r="O40" t="s">
        <v>141</v>
      </c>
      <c r="P40">
        <v>457.97</v>
      </c>
    </row>
    <row r="41" spans="1:16" x14ac:dyDescent="0.45">
      <c r="A41" t="s">
        <v>93</v>
      </c>
      <c r="B41" t="s">
        <v>127</v>
      </c>
      <c r="C41">
        <v>0.4526</v>
      </c>
      <c r="D41">
        <v>0.23980000000000001</v>
      </c>
      <c r="E41">
        <v>0</v>
      </c>
      <c r="F41">
        <v>1.65</v>
      </c>
      <c r="G41">
        <v>457.97</v>
      </c>
      <c r="H41">
        <v>0</v>
      </c>
      <c r="I41" t="s">
        <v>154</v>
      </c>
      <c r="J41">
        <v>0</v>
      </c>
      <c r="K41">
        <v>99.191703796386719</v>
      </c>
      <c r="L41">
        <v>4.62</v>
      </c>
      <c r="M41" t="s">
        <v>137</v>
      </c>
      <c r="N41">
        <v>1.2</v>
      </c>
      <c r="O41" t="s">
        <v>142</v>
      </c>
      <c r="P41">
        <v>457.97</v>
      </c>
    </row>
    <row r="42" spans="1:16" x14ac:dyDescent="0.45">
      <c r="A42" t="s">
        <v>95</v>
      </c>
      <c r="B42" t="s">
        <v>127</v>
      </c>
      <c r="C42">
        <v>0.44790000000000002</v>
      </c>
      <c r="D42">
        <v>0.23749999999999999</v>
      </c>
      <c r="E42">
        <v>0</v>
      </c>
      <c r="F42">
        <v>1.64</v>
      </c>
      <c r="G42">
        <v>455.19</v>
      </c>
      <c r="H42">
        <v>0</v>
      </c>
      <c r="I42" t="s">
        <v>154</v>
      </c>
      <c r="J42">
        <v>0</v>
      </c>
      <c r="K42">
        <v>88.510002136230469</v>
      </c>
      <c r="L42">
        <v>5.14</v>
      </c>
      <c r="M42" t="s">
        <v>137</v>
      </c>
      <c r="N42">
        <v>1.2</v>
      </c>
      <c r="O42" t="s">
        <v>142</v>
      </c>
      <c r="P42">
        <v>455.19</v>
      </c>
    </row>
    <row r="43" spans="1:16" x14ac:dyDescent="0.45">
      <c r="A43" t="s">
        <v>89</v>
      </c>
      <c r="B43" t="s">
        <v>18</v>
      </c>
      <c r="C43">
        <v>0.68640000000000001</v>
      </c>
      <c r="D43">
        <v>0.72509999999999997</v>
      </c>
      <c r="E43">
        <v>0</v>
      </c>
      <c r="F43">
        <v>1.59</v>
      </c>
      <c r="G43">
        <v>441.32</v>
      </c>
      <c r="H43">
        <v>0</v>
      </c>
      <c r="I43" t="s">
        <v>154</v>
      </c>
      <c r="J43">
        <v>0</v>
      </c>
      <c r="K43">
        <v>226.2200012207031</v>
      </c>
      <c r="L43">
        <v>1.95</v>
      </c>
      <c r="M43" t="s">
        <v>137</v>
      </c>
      <c r="N43">
        <v>1.2</v>
      </c>
      <c r="O43" t="s">
        <v>141</v>
      </c>
      <c r="P43">
        <v>441.32</v>
      </c>
    </row>
    <row r="44" spans="1:16" x14ac:dyDescent="0.45">
      <c r="A44" t="s">
        <v>83</v>
      </c>
      <c r="B44" t="s">
        <v>18</v>
      </c>
      <c r="C44">
        <v>0.69220000000000004</v>
      </c>
      <c r="D44">
        <v>0.73709999999999998</v>
      </c>
      <c r="E44">
        <v>0</v>
      </c>
      <c r="F44">
        <v>1.53</v>
      </c>
      <c r="G44">
        <v>424.66</v>
      </c>
      <c r="H44">
        <v>0</v>
      </c>
      <c r="I44" t="s">
        <v>154</v>
      </c>
      <c r="J44">
        <v>0</v>
      </c>
      <c r="K44">
        <v>349.35000610351563</v>
      </c>
      <c r="L44">
        <v>1.22</v>
      </c>
      <c r="M44" t="s">
        <v>137</v>
      </c>
      <c r="N44">
        <v>1.2</v>
      </c>
      <c r="O44" t="s">
        <v>141</v>
      </c>
      <c r="P44">
        <v>424.66</v>
      </c>
    </row>
    <row r="45" spans="1:16" x14ac:dyDescent="0.45">
      <c r="A45" t="s">
        <v>94</v>
      </c>
      <c r="B45" t="s">
        <v>127</v>
      </c>
      <c r="C45">
        <v>0.44969999999999999</v>
      </c>
      <c r="D45">
        <v>0.32279999999999998</v>
      </c>
      <c r="E45">
        <v>0</v>
      </c>
      <c r="F45">
        <v>1.46</v>
      </c>
      <c r="G45">
        <v>405.23</v>
      </c>
      <c r="H45">
        <v>0</v>
      </c>
      <c r="I45" t="s">
        <v>154</v>
      </c>
      <c r="J45">
        <v>0</v>
      </c>
      <c r="K45">
        <v>863.89501953125</v>
      </c>
      <c r="L45">
        <v>0.47</v>
      </c>
      <c r="M45" t="s">
        <v>137</v>
      </c>
      <c r="N45">
        <v>1.2</v>
      </c>
      <c r="O45" t="s">
        <v>143</v>
      </c>
      <c r="P45">
        <v>405.23</v>
      </c>
    </row>
    <row r="46" spans="1:16" x14ac:dyDescent="0.45">
      <c r="A46" t="s">
        <v>103</v>
      </c>
      <c r="B46" t="s">
        <v>127</v>
      </c>
      <c r="C46">
        <v>0.43120000000000003</v>
      </c>
      <c r="D46">
        <v>0.29520000000000002</v>
      </c>
      <c r="E46">
        <v>0</v>
      </c>
      <c r="F46">
        <v>1.46</v>
      </c>
      <c r="G46">
        <v>405.23</v>
      </c>
      <c r="H46">
        <v>0</v>
      </c>
      <c r="I46" t="s">
        <v>154</v>
      </c>
      <c r="J46">
        <v>0</v>
      </c>
      <c r="K46">
        <v>411.25</v>
      </c>
      <c r="L46">
        <v>0.99</v>
      </c>
      <c r="M46" t="s">
        <v>137</v>
      </c>
      <c r="N46">
        <v>1.2</v>
      </c>
      <c r="O46" t="s">
        <v>143</v>
      </c>
      <c r="P46">
        <v>405.23</v>
      </c>
    </row>
    <row r="47" spans="1:16" x14ac:dyDescent="0.45">
      <c r="A47" t="s">
        <v>50</v>
      </c>
      <c r="B47" t="s">
        <v>18</v>
      </c>
      <c r="C47">
        <v>0.76290000000000002</v>
      </c>
      <c r="D47">
        <v>0.77610000000000001</v>
      </c>
      <c r="E47">
        <v>0</v>
      </c>
      <c r="F47">
        <v>1.44</v>
      </c>
      <c r="G47">
        <v>399.68</v>
      </c>
      <c r="H47">
        <v>0</v>
      </c>
      <c r="I47" t="s">
        <v>154</v>
      </c>
      <c r="J47">
        <v>0</v>
      </c>
      <c r="K47">
        <v>30.680000305175781</v>
      </c>
      <c r="L47">
        <v>13.03</v>
      </c>
      <c r="M47" t="s">
        <v>137</v>
      </c>
      <c r="N47">
        <v>1.2</v>
      </c>
      <c r="O47" t="s">
        <v>140</v>
      </c>
      <c r="P47">
        <v>399.68</v>
      </c>
    </row>
    <row r="48" spans="1:16" x14ac:dyDescent="0.45">
      <c r="A48" t="s">
        <v>117</v>
      </c>
      <c r="B48" t="s">
        <v>127</v>
      </c>
      <c r="C48">
        <v>0.40770000000000001</v>
      </c>
      <c r="D48">
        <v>0.30420000000000003</v>
      </c>
      <c r="E48">
        <v>0</v>
      </c>
      <c r="F48">
        <v>1.36</v>
      </c>
      <c r="G48">
        <v>377.48</v>
      </c>
      <c r="H48">
        <v>0</v>
      </c>
      <c r="I48" t="s">
        <v>154</v>
      </c>
      <c r="J48">
        <v>0</v>
      </c>
      <c r="K48">
        <v>76.050003051757813</v>
      </c>
      <c r="L48">
        <v>4.96</v>
      </c>
      <c r="M48" t="s">
        <v>137</v>
      </c>
      <c r="N48">
        <v>1.2</v>
      </c>
      <c r="O48" t="s">
        <v>143</v>
      </c>
      <c r="P48">
        <v>377.48</v>
      </c>
    </row>
    <row r="49" spans="1:16" x14ac:dyDescent="0.45">
      <c r="A49" t="s">
        <v>97</v>
      </c>
      <c r="B49" t="s">
        <v>127</v>
      </c>
      <c r="C49">
        <v>0.44429999999999997</v>
      </c>
      <c r="D49">
        <v>0.36499999999999999</v>
      </c>
      <c r="E49">
        <v>0</v>
      </c>
      <c r="F49">
        <v>1.35</v>
      </c>
      <c r="G49">
        <v>374.7</v>
      </c>
      <c r="H49">
        <v>0</v>
      </c>
      <c r="I49" t="s">
        <v>154</v>
      </c>
      <c r="J49">
        <v>0</v>
      </c>
      <c r="K49">
        <v>15.680000305175779</v>
      </c>
      <c r="L49">
        <v>23.9</v>
      </c>
      <c r="M49" t="s">
        <v>137</v>
      </c>
      <c r="N49">
        <v>1.2</v>
      </c>
      <c r="O49" t="s">
        <v>142</v>
      </c>
      <c r="P49">
        <v>374.7</v>
      </c>
    </row>
    <row r="50" spans="1:16" x14ac:dyDescent="0.45">
      <c r="A50" t="s">
        <v>58</v>
      </c>
      <c r="B50" t="s">
        <v>18</v>
      </c>
      <c r="C50">
        <v>0.72060000000000002</v>
      </c>
      <c r="D50">
        <v>0.77929999999999999</v>
      </c>
      <c r="E50">
        <v>0</v>
      </c>
      <c r="F50">
        <v>1.34</v>
      </c>
      <c r="G50">
        <v>371.93</v>
      </c>
      <c r="H50">
        <v>0</v>
      </c>
      <c r="I50" t="s">
        <v>154</v>
      </c>
      <c r="J50">
        <v>0</v>
      </c>
      <c r="K50">
        <v>15.19999980926514</v>
      </c>
      <c r="L50">
        <v>24.47</v>
      </c>
      <c r="M50" t="s">
        <v>137</v>
      </c>
      <c r="N50">
        <v>1.2</v>
      </c>
      <c r="O50" t="s">
        <v>141</v>
      </c>
      <c r="P50">
        <v>371.93</v>
      </c>
    </row>
    <row r="51" spans="1:16" x14ac:dyDescent="0.45">
      <c r="A51" t="s">
        <v>99</v>
      </c>
      <c r="B51" t="s">
        <v>127</v>
      </c>
      <c r="C51">
        <v>0.43930000000000002</v>
      </c>
      <c r="D51">
        <v>0.38190000000000002</v>
      </c>
      <c r="E51">
        <v>0</v>
      </c>
      <c r="F51">
        <v>1.3</v>
      </c>
      <c r="G51">
        <v>360.82</v>
      </c>
      <c r="H51">
        <v>0</v>
      </c>
      <c r="I51" t="s">
        <v>154</v>
      </c>
      <c r="J51">
        <v>0</v>
      </c>
      <c r="K51">
        <v>246.3699951171875</v>
      </c>
      <c r="L51">
        <v>1.46</v>
      </c>
      <c r="M51" t="s">
        <v>137</v>
      </c>
      <c r="N51">
        <v>1.2</v>
      </c>
      <c r="O51" t="s">
        <v>143</v>
      </c>
      <c r="P51">
        <v>360.82</v>
      </c>
    </row>
    <row r="52" spans="1:16" x14ac:dyDescent="0.45">
      <c r="A52" t="s">
        <v>108</v>
      </c>
      <c r="B52" t="s">
        <v>127</v>
      </c>
      <c r="C52">
        <v>0.41920000000000002</v>
      </c>
      <c r="D52">
        <v>0.38300000000000001</v>
      </c>
      <c r="E52">
        <v>0</v>
      </c>
      <c r="F52">
        <v>1.24</v>
      </c>
      <c r="G52">
        <v>344.17</v>
      </c>
      <c r="H52">
        <v>0</v>
      </c>
      <c r="I52" t="s">
        <v>154</v>
      </c>
      <c r="J52">
        <v>0</v>
      </c>
      <c r="K52">
        <v>182.25999450683591</v>
      </c>
      <c r="L52">
        <v>1.89</v>
      </c>
      <c r="M52" t="s">
        <v>137</v>
      </c>
      <c r="N52">
        <v>1.2</v>
      </c>
      <c r="O52" t="s">
        <v>143</v>
      </c>
      <c r="P52">
        <v>344.17</v>
      </c>
    </row>
    <row r="53" spans="1:16" x14ac:dyDescent="0.45">
      <c r="A53" t="s">
        <v>105</v>
      </c>
      <c r="B53" t="s">
        <v>127</v>
      </c>
      <c r="C53">
        <v>0.42249999999999999</v>
      </c>
      <c r="D53">
        <v>0.39050000000000001</v>
      </c>
      <c r="E53">
        <v>0</v>
      </c>
      <c r="F53">
        <v>1.24</v>
      </c>
      <c r="G53">
        <v>344.17</v>
      </c>
      <c r="H53">
        <v>0</v>
      </c>
      <c r="I53" t="s">
        <v>154</v>
      </c>
      <c r="J53">
        <v>0</v>
      </c>
      <c r="K53">
        <v>43.485000610351563</v>
      </c>
      <c r="L53">
        <v>7.91</v>
      </c>
      <c r="M53" t="s">
        <v>137</v>
      </c>
      <c r="N53">
        <v>1.2</v>
      </c>
      <c r="O53" t="s">
        <v>143</v>
      </c>
      <c r="P53">
        <v>344.17</v>
      </c>
    </row>
    <row r="54" spans="1:16" x14ac:dyDescent="0.45">
      <c r="A54" t="s">
        <v>109</v>
      </c>
      <c r="B54" t="s">
        <v>127</v>
      </c>
      <c r="C54">
        <v>0.4178</v>
      </c>
      <c r="D54">
        <v>0.3861</v>
      </c>
      <c r="E54">
        <v>0</v>
      </c>
      <c r="F54">
        <v>1.23</v>
      </c>
      <c r="G54">
        <v>341.39</v>
      </c>
      <c r="H54">
        <v>0</v>
      </c>
      <c r="I54" t="s">
        <v>154</v>
      </c>
      <c r="J54">
        <v>0</v>
      </c>
      <c r="K54">
        <v>41.755001068115227</v>
      </c>
      <c r="L54">
        <v>8.18</v>
      </c>
      <c r="M54" t="s">
        <v>137</v>
      </c>
      <c r="N54">
        <v>1.2</v>
      </c>
      <c r="O54" t="s">
        <v>143</v>
      </c>
      <c r="P54">
        <v>341.39</v>
      </c>
    </row>
    <row r="55" spans="1:16" x14ac:dyDescent="0.45">
      <c r="A55" t="s">
        <v>63</v>
      </c>
      <c r="B55" t="s">
        <v>18</v>
      </c>
      <c r="C55">
        <v>0.71479999999999999</v>
      </c>
      <c r="D55">
        <v>0.79830000000000001</v>
      </c>
      <c r="E55">
        <v>0</v>
      </c>
      <c r="F55">
        <v>1.21</v>
      </c>
      <c r="G55">
        <v>335.84</v>
      </c>
      <c r="H55">
        <v>0</v>
      </c>
      <c r="I55" t="s">
        <v>154</v>
      </c>
      <c r="J55">
        <v>0</v>
      </c>
      <c r="K55">
        <v>97.888900756835938</v>
      </c>
      <c r="L55">
        <v>3.43</v>
      </c>
      <c r="M55" t="s">
        <v>137</v>
      </c>
      <c r="N55">
        <v>1.2</v>
      </c>
      <c r="O55" t="s">
        <v>141</v>
      </c>
      <c r="P55">
        <v>335.84</v>
      </c>
    </row>
    <row r="56" spans="1:16" x14ac:dyDescent="0.45">
      <c r="A56" t="s">
        <v>102</v>
      </c>
      <c r="B56" t="s">
        <v>127</v>
      </c>
      <c r="C56">
        <v>0.43190000000000001</v>
      </c>
      <c r="D56">
        <v>0.436</v>
      </c>
      <c r="E56">
        <v>0</v>
      </c>
      <c r="F56">
        <v>1.17</v>
      </c>
      <c r="G56">
        <v>324.74</v>
      </c>
      <c r="H56">
        <v>0</v>
      </c>
      <c r="I56" t="s">
        <v>154</v>
      </c>
      <c r="J56">
        <v>0</v>
      </c>
      <c r="K56">
        <v>254.3999938964844</v>
      </c>
      <c r="L56">
        <v>1.28</v>
      </c>
      <c r="M56" t="s">
        <v>137</v>
      </c>
      <c r="N56">
        <v>1.2</v>
      </c>
      <c r="O56" t="s">
        <v>143</v>
      </c>
      <c r="P56">
        <v>324.74</v>
      </c>
    </row>
    <row r="57" spans="1:16" x14ac:dyDescent="0.45">
      <c r="A57" t="s">
        <v>120</v>
      </c>
      <c r="B57" t="s">
        <v>127</v>
      </c>
      <c r="C57">
        <v>0.40229999999999999</v>
      </c>
      <c r="D57">
        <v>0.40060000000000001</v>
      </c>
      <c r="E57">
        <v>0</v>
      </c>
      <c r="F57">
        <v>1.1599999999999999</v>
      </c>
      <c r="G57">
        <v>321.97000000000003</v>
      </c>
      <c r="H57">
        <v>0</v>
      </c>
      <c r="I57" t="s">
        <v>154</v>
      </c>
      <c r="J57">
        <v>0</v>
      </c>
      <c r="K57">
        <v>283.010009765625</v>
      </c>
      <c r="L57">
        <v>1.1399999999999999</v>
      </c>
      <c r="M57" t="s">
        <v>137</v>
      </c>
      <c r="N57">
        <v>1.2</v>
      </c>
      <c r="O57" t="s">
        <v>143</v>
      </c>
      <c r="P57">
        <v>321.97000000000003</v>
      </c>
    </row>
    <row r="58" spans="1:16" x14ac:dyDescent="0.45">
      <c r="A58" t="s">
        <v>101</v>
      </c>
      <c r="B58" t="s">
        <v>127</v>
      </c>
      <c r="C58">
        <v>0.43459999999999999</v>
      </c>
      <c r="D58">
        <v>0.51619999999999999</v>
      </c>
      <c r="E58">
        <v>0</v>
      </c>
      <c r="F58">
        <v>1.01</v>
      </c>
      <c r="G58">
        <v>280.33</v>
      </c>
      <c r="H58">
        <v>0</v>
      </c>
      <c r="I58" t="s">
        <v>154</v>
      </c>
      <c r="J58">
        <v>0</v>
      </c>
      <c r="K58">
        <v>44.974998474121087</v>
      </c>
      <c r="L58">
        <v>6.23</v>
      </c>
      <c r="M58" t="s">
        <v>137</v>
      </c>
      <c r="N58">
        <v>1.2</v>
      </c>
      <c r="O58" t="s">
        <v>143</v>
      </c>
      <c r="P58">
        <v>280.33</v>
      </c>
    </row>
    <row r="59" spans="1:16" x14ac:dyDescent="0.45">
      <c r="A59" t="s">
        <v>114</v>
      </c>
      <c r="B59" t="s">
        <v>127</v>
      </c>
      <c r="C59">
        <v>0.41160000000000002</v>
      </c>
      <c r="D59">
        <v>0.49669999999999997</v>
      </c>
      <c r="E59">
        <v>0</v>
      </c>
      <c r="F59">
        <v>1</v>
      </c>
      <c r="G59">
        <v>277.56</v>
      </c>
      <c r="H59">
        <v>0</v>
      </c>
      <c r="I59" t="s">
        <v>154</v>
      </c>
      <c r="J59">
        <v>0</v>
      </c>
      <c r="K59">
        <v>213.5899963378906</v>
      </c>
      <c r="L59">
        <v>1.3</v>
      </c>
      <c r="M59" t="s">
        <v>137</v>
      </c>
      <c r="N59">
        <v>1.2</v>
      </c>
      <c r="O59" t="s">
        <v>143</v>
      </c>
      <c r="P59">
        <v>277.56</v>
      </c>
    </row>
    <row r="60" spans="1:16" x14ac:dyDescent="0.45">
      <c r="A60" t="s">
        <v>100</v>
      </c>
      <c r="B60" t="s">
        <v>127</v>
      </c>
      <c r="C60">
        <v>0.43630000000000002</v>
      </c>
      <c r="D60">
        <v>0.52890000000000004</v>
      </c>
      <c r="E60">
        <v>0</v>
      </c>
      <c r="F60">
        <v>0.98</v>
      </c>
      <c r="G60">
        <v>272.01</v>
      </c>
      <c r="H60">
        <v>0</v>
      </c>
      <c r="I60" t="s">
        <v>154</v>
      </c>
      <c r="J60">
        <v>0</v>
      </c>
      <c r="K60">
        <v>67.989997863769531</v>
      </c>
      <c r="L60">
        <v>4</v>
      </c>
      <c r="M60" t="s">
        <v>137</v>
      </c>
      <c r="N60">
        <v>1.2</v>
      </c>
      <c r="O60" t="s">
        <v>143</v>
      </c>
      <c r="P60">
        <v>272.01</v>
      </c>
    </row>
    <row r="61" spans="1:16" x14ac:dyDescent="0.45">
      <c r="A61" t="s">
        <v>10</v>
      </c>
      <c r="B61" t="s">
        <v>127</v>
      </c>
      <c r="C61">
        <v>0.4234</v>
      </c>
      <c r="D61">
        <v>0.33679999999999999</v>
      </c>
      <c r="E61">
        <v>0.20660000000000001</v>
      </c>
      <c r="F61">
        <v>0.97</v>
      </c>
      <c r="G61">
        <v>269.23</v>
      </c>
      <c r="H61">
        <v>0</v>
      </c>
      <c r="I61" t="s">
        <v>154</v>
      </c>
      <c r="J61">
        <v>0</v>
      </c>
      <c r="K61">
        <v>588.52001953125</v>
      </c>
      <c r="L61">
        <v>0.46</v>
      </c>
      <c r="M61" t="s">
        <v>137</v>
      </c>
      <c r="N61">
        <v>1.2</v>
      </c>
      <c r="O61" t="s">
        <v>143</v>
      </c>
      <c r="P61">
        <v>269.23</v>
      </c>
    </row>
    <row r="62" spans="1:16" x14ac:dyDescent="0.45">
      <c r="A62" t="s">
        <v>111</v>
      </c>
      <c r="B62" t="s">
        <v>127</v>
      </c>
      <c r="C62">
        <v>0.41620000000000001</v>
      </c>
      <c r="D62">
        <v>0.51749999999999996</v>
      </c>
      <c r="E62">
        <v>0</v>
      </c>
      <c r="F62">
        <v>0.97</v>
      </c>
      <c r="G62">
        <v>269.23</v>
      </c>
      <c r="H62">
        <v>0</v>
      </c>
      <c r="I62" t="s">
        <v>154</v>
      </c>
      <c r="J62">
        <v>0</v>
      </c>
      <c r="K62">
        <v>143.2250061035156</v>
      </c>
      <c r="L62">
        <v>1.88</v>
      </c>
      <c r="M62" t="s">
        <v>137</v>
      </c>
      <c r="N62">
        <v>1.2</v>
      </c>
      <c r="O62" t="s">
        <v>143</v>
      </c>
      <c r="P62">
        <v>269.23</v>
      </c>
    </row>
    <row r="63" spans="1:16" x14ac:dyDescent="0.45">
      <c r="A63" t="s">
        <v>118</v>
      </c>
      <c r="B63" t="s">
        <v>127</v>
      </c>
      <c r="C63">
        <v>0.4073</v>
      </c>
      <c r="D63">
        <v>0.50819999999999999</v>
      </c>
      <c r="E63">
        <v>0</v>
      </c>
      <c r="F63">
        <v>0.96</v>
      </c>
      <c r="G63">
        <v>266.45</v>
      </c>
      <c r="H63">
        <v>0</v>
      </c>
      <c r="I63" t="s">
        <v>154</v>
      </c>
      <c r="J63">
        <v>0</v>
      </c>
      <c r="K63">
        <v>108.86000061035161</v>
      </c>
      <c r="L63">
        <v>2.4500000000000002</v>
      </c>
      <c r="M63" t="s">
        <v>137</v>
      </c>
      <c r="N63">
        <v>1.2</v>
      </c>
      <c r="O63" t="s">
        <v>143</v>
      </c>
      <c r="P63">
        <v>266.45</v>
      </c>
    </row>
    <row r="64" spans="1:16" x14ac:dyDescent="0.45">
      <c r="A64" t="s">
        <v>115</v>
      </c>
      <c r="B64" t="s">
        <v>127</v>
      </c>
      <c r="C64">
        <v>0.41</v>
      </c>
      <c r="D64">
        <v>0.54630000000000001</v>
      </c>
      <c r="E64">
        <v>0</v>
      </c>
      <c r="F64">
        <v>0.89</v>
      </c>
      <c r="G64">
        <v>247.03</v>
      </c>
      <c r="H64">
        <v>0</v>
      </c>
      <c r="I64" t="s">
        <v>154</v>
      </c>
      <c r="J64">
        <v>0</v>
      </c>
      <c r="K64">
        <v>3.369999885559082</v>
      </c>
      <c r="L64">
        <v>73.3</v>
      </c>
      <c r="M64" t="s">
        <v>137</v>
      </c>
      <c r="N64">
        <v>1.2</v>
      </c>
      <c r="O64" t="s">
        <v>143</v>
      </c>
      <c r="P64">
        <v>247.03</v>
      </c>
    </row>
    <row r="65" spans="1:16" x14ac:dyDescent="0.45">
      <c r="A65" t="s">
        <v>116</v>
      </c>
      <c r="B65" t="s">
        <v>127</v>
      </c>
      <c r="C65">
        <v>0.40920000000000001</v>
      </c>
      <c r="D65">
        <v>0.54979999999999996</v>
      </c>
      <c r="E65">
        <v>0</v>
      </c>
      <c r="F65">
        <v>0.88</v>
      </c>
      <c r="G65">
        <v>244.25</v>
      </c>
      <c r="H65">
        <v>0</v>
      </c>
      <c r="I65" t="s">
        <v>154</v>
      </c>
      <c r="J65">
        <v>0</v>
      </c>
      <c r="K65">
        <v>23.319999694824219</v>
      </c>
      <c r="L65">
        <v>10.47</v>
      </c>
      <c r="M65" t="s">
        <v>137</v>
      </c>
      <c r="N65">
        <v>1.2</v>
      </c>
      <c r="O65" t="s">
        <v>143</v>
      </c>
      <c r="P65">
        <v>244.25</v>
      </c>
    </row>
    <row r="66" spans="1:16" x14ac:dyDescent="0.45">
      <c r="A66" t="s">
        <v>113</v>
      </c>
      <c r="B66" t="s">
        <v>127</v>
      </c>
      <c r="C66">
        <v>0.4128</v>
      </c>
      <c r="D66">
        <v>0.55420000000000003</v>
      </c>
      <c r="E66">
        <v>0</v>
      </c>
      <c r="F66">
        <v>0.88</v>
      </c>
      <c r="G66">
        <v>244.25</v>
      </c>
      <c r="H66">
        <v>0</v>
      </c>
      <c r="I66" t="s">
        <v>154</v>
      </c>
      <c r="J66">
        <v>0</v>
      </c>
      <c r="K66">
        <v>48.139999389648438</v>
      </c>
      <c r="L66">
        <v>5.07</v>
      </c>
      <c r="M66" t="s">
        <v>137</v>
      </c>
      <c r="N66">
        <v>1.2</v>
      </c>
      <c r="O66" t="s">
        <v>143</v>
      </c>
      <c r="P66">
        <v>244.25</v>
      </c>
    </row>
    <row r="67" spans="1:16" x14ac:dyDescent="0.45">
      <c r="A67" t="s">
        <v>106</v>
      </c>
      <c r="B67" t="s">
        <v>127</v>
      </c>
      <c r="C67">
        <v>0.42209999999999998</v>
      </c>
      <c r="D67">
        <v>0.56479999999999997</v>
      </c>
      <c r="E67">
        <v>0</v>
      </c>
      <c r="F67">
        <v>0.88</v>
      </c>
      <c r="G67">
        <v>244.25</v>
      </c>
      <c r="H67">
        <v>0</v>
      </c>
      <c r="I67" t="s">
        <v>154</v>
      </c>
      <c r="J67">
        <v>0</v>
      </c>
      <c r="K67">
        <v>11.10499954223633</v>
      </c>
      <c r="L67">
        <v>21.99</v>
      </c>
      <c r="M67" t="s">
        <v>137</v>
      </c>
      <c r="N67">
        <v>1.2</v>
      </c>
      <c r="O67" t="s">
        <v>143</v>
      </c>
      <c r="P67">
        <v>244.25</v>
      </c>
    </row>
    <row r="68" spans="1:16" x14ac:dyDescent="0.45">
      <c r="A68" t="s">
        <v>110</v>
      </c>
      <c r="B68" t="s">
        <v>127</v>
      </c>
      <c r="C68">
        <v>0.4163</v>
      </c>
      <c r="D68">
        <v>0.59140000000000004</v>
      </c>
      <c r="E68">
        <v>0</v>
      </c>
      <c r="F68">
        <v>0.82</v>
      </c>
      <c r="G68">
        <v>227.6</v>
      </c>
      <c r="H68">
        <v>0</v>
      </c>
      <c r="I68" t="s">
        <v>154</v>
      </c>
      <c r="J68">
        <v>0</v>
      </c>
      <c r="K68">
        <v>114.7900009155273</v>
      </c>
      <c r="L68">
        <v>1.98</v>
      </c>
      <c r="M68" t="s">
        <v>137</v>
      </c>
      <c r="N68">
        <v>1.2</v>
      </c>
      <c r="O68" t="s">
        <v>143</v>
      </c>
      <c r="P68">
        <v>227.6</v>
      </c>
    </row>
    <row r="69" spans="1:16" x14ac:dyDescent="0.45">
      <c r="A69" t="s">
        <v>107</v>
      </c>
      <c r="B69" t="s">
        <v>127</v>
      </c>
      <c r="C69">
        <v>0.42109999999999997</v>
      </c>
      <c r="D69">
        <v>0.6089</v>
      </c>
      <c r="E69">
        <v>0</v>
      </c>
      <c r="F69">
        <v>0.79</v>
      </c>
      <c r="G69">
        <v>219.27</v>
      </c>
      <c r="H69">
        <v>0</v>
      </c>
      <c r="I69" t="s">
        <v>154</v>
      </c>
      <c r="J69">
        <v>0</v>
      </c>
      <c r="K69">
        <v>356.17001342773438</v>
      </c>
      <c r="L69">
        <v>0.62</v>
      </c>
      <c r="M69" t="s">
        <v>137</v>
      </c>
      <c r="N69">
        <v>1.2</v>
      </c>
      <c r="O69" t="s">
        <v>143</v>
      </c>
      <c r="P69">
        <v>219.27</v>
      </c>
    </row>
    <row r="70" spans="1:16" x14ac:dyDescent="0.45">
      <c r="A70" t="s">
        <v>15</v>
      </c>
      <c r="B70" t="s">
        <v>127</v>
      </c>
      <c r="C70">
        <v>0.43809999999999999</v>
      </c>
      <c r="D70">
        <v>0.34920000000000001</v>
      </c>
      <c r="E70">
        <v>0.28050000000000003</v>
      </c>
      <c r="F70">
        <v>0.79</v>
      </c>
      <c r="G70">
        <v>219.27</v>
      </c>
      <c r="H70">
        <v>0</v>
      </c>
      <c r="I70" t="s">
        <v>154</v>
      </c>
      <c r="J70">
        <v>0</v>
      </c>
      <c r="K70">
        <v>401.57998657226563</v>
      </c>
      <c r="L70">
        <v>0.55000000000000004</v>
      </c>
      <c r="M70" t="s">
        <v>137</v>
      </c>
      <c r="N70">
        <v>1.2</v>
      </c>
      <c r="O70" t="s">
        <v>143</v>
      </c>
      <c r="P70">
        <v>219.27</v>
      </c>
    </row>
    <row r="71" spans="1:16" x14ac:dyDescent="0.45">
      <c r="A71" t="s">
        <v>92</v>
      </c>
      <c r="B71" t="s">
        <v>127</v>
      </c>
      <c r="C71">
        <v>0.45490000000000003</v>
      </c>
      <c r="D71">
        <v>0.64070000000000005</v>
      </c>
      <c r="E71">
        <v>0</v>
      </c>
      <c r="F71">
        <v>0.78</v>
      </c>
      <c r="G71">
        <v>216.49</v>
      </c>
      <c r="H71">
        <v>0</v>
      </c>
      <c r="I71" t="s">
        <v>154</v>
      </c>
      <c r="J71">
        <v>0</v>
      </c>
      <c r="K71">
        <v>129.51130676269531</v>
      </c>
      <c r="L71">
        <v>1.67</v>
      </c>
      <c r="M71" t="s">
        <v>137</v>
      </c>
      <c r="N71">
        <v>1.2</v>
      </c>
      <c r="O71" t="s">
        <v>142</v>
      </c>
      <c r="P71">
        <v>216.49</v>
      </c>
    </row>
    <row r="72" spans="1:16" x14ac:dyDescent="0.45">
      <c r="A72" t="s">
        <v>98</v>
      </c>
      <c r="B72" t="s">
        <v>127</v>
      </c>
      <c r="C72">
        <v>0.43959999999999999</v>
      </c>
      <c r="D72">
        <v>0.64549999999999996</v>
      </c>
      <c r="E72">
        <v>0</v>
      </c>
      <c r="F72">
        <v>0.75</v>
      </c>
      <c r="G72">
        <v>208.17</v>
      </c>
      <c r="H72">
        <v>0</v>
      </c>
      <c r="I72" t="s">
        <v>154</v>
      </c>
      <c r="J72">
        <v>0</v>
      </c>
      <c r="K72">
        <v>7.5300998687744141</v>
      </c>
      <c r="L72">
        <v>27.65</v>
      </c>
      <c r="M72" t="s">
        <v>137</v>
      </c>
      <c r="N72">
        <v>1.2</v>
      </c>
      <c r="O72" t="s">
        <v>142</v>
      </c>
      <c r="P72">
        <v>208.17</v>
      </c>
    </row>
    <row r="73" spans="1:16" x14ac:dyDescent="0.45">
      <c r="A73" t="s">
        <v>122</v>
      </c>
      <c r="B73" t="s">
        <v>127</v>
      </c>
      <c r="C73">
        <v>0.40179999999999999</v>
      </c>
      <c r="D73">
        <v>0.63629999999999998</v>
      </c>
      <c r="E73">
        <v>0</v>
      </c>
      <c r="F73">
        <v>0.7</v>
      </c>
      <c r="G73">
        <v>194.29</v>
      </c>
      <c r="H73">
        <v>0</v>
      </c>
      <c r="I73" t="s">
        <v>154</v>
      </c>
      <c r="J73">
        <v>0</v>
      </c>
      <c r="K73">
        <v>7.429999828338623</v>
      </c>
      <c r="L73">
        <v>26.15</v>
      </c>
      <c r="M73" t="s">
        <v>137</v>
      </c>
      <c r="N73">
        <v>1.2</v>
      </c>
      <c r="O73" t="s">
        <v>143</v>
      </c>
      <c r="P73">
        <v>194.29</v>
      </c>
    </row>
    <row r="74" spans="1:16" x14ac:dyDescent="0.45">
      <c r="A74" t="s">
        <v>121</v>
      </c>
      <c r="B74" t="s">
        <v>127</v>
      </c>
      <c r="C74">
        <v>0.40200000000000002</v>
      </c>
      <c r="D74">
        <v>0.65600000000000003</v>
      </c>
      <c r="E74">
        <v>0</v>
      </c>
      <c r="F74">
        <v>0.66</v>
      </c>
      <c r="G74">
        <v>183.19</v>
      </c>
      <c r="H74">
        <v>0</v>
      </c>
      <c r="I74" t="s">
        <v>154</v>
      </c>
      <c r="J74">
        <v>0</v>
      </c>
      <c r="K74">
        <v>570.71002197265625</v>
      </c>
      <c r="L74">
        <v>0.32</v>
      </c>
      <c r="M74" t="s">
        <v>137</v>
      </c>
      <c r="N74">
        <v>1.2</v>
      </c>
      <c r="O74" t="s">
        <v>143</v>
      </c>
      <c r="P74">
        <v>183.19</v>
      </c>
    </row>
    <row r="75" spans="1:16" x14ac:dyDescent="0.45">
      <c r="A75" t="s">
        <v>112</v>
      </c>
      <c r="B75" t="s">
        <v>127</v>
      </c>
      <c r="C75">
        <v>0.41489999999999999</v>
      </c>
      <c r="D75">
        <v>0.68230000000000002</v>
      </c>
      <c r="E75">
        <v>0</v>
      </c>
      <c r="F75">
        <v>0.63</v>
      </c>
      <c r="G75">
        <v>174.86</v>
      </c>
      <c r="H75">
        <v>0</v>
      </c>
      <c r="I75" t="s">
        <v>154</v>
      </c>
      <c r="J75">
        <v>0</v>
      </c>
      <c r="K75">
        <v>4.4149999618530273</v>
      </c>
      <c r="L75">
        <v>39.61</v>
      </c>
      <c r="M75" t="s">
        <v>137</v>
      </c>
      <c r="N75">
        <v>1.2</v>
      </c>
      <c r="O75" t="s">
        <v>143</v>
      </c>
      <c r="P75">
        <v>174.86</v>
      </c>
    </row>
    <row r="76" spans="1:16" x14ac:dyDescent="0.45">
      <c r="A76" t="s">
        <v>119</v>
      </c>
      <c r="B76" t="s">
        <v>127</v>
      </c>
      <c r="C76">
        <v>0.40589999999999998</v>
      </c>
      <c r="D76">
        <v>0.76300000000000001</v>
      </c>
      <c r="E76">
        <v>0</v>
      </c>
      <c r="F76">
        <v>0.46</v>
      </c>
      <c r="G76">
        <v>127.68</v>
      </c>
      <c r="H76">
        <v>0</v>
      </c>
      <c r="I76" t="s">
        <v>154</v>
      </c>
      <c r="J76">
        <v>0</v>
      </c>
      <c r="K76">
        <v>62.900001525878913</v>
      </c>
      <c r="L76">
        <v>2.0299999999999998</v>
      </c>
      <c r="M76" t="s">
        <v>137</v>
      </c>
      <c r="N76">
        <v>1.2</v>
      </c>
      <c r="O76" t="s">
        <v>143</v>
      </c>
      <c r="P76">
        <v>127.68</v>
      </c>
    </row>
    <row r="77" spans="1:16" x14ac:dyDescent="0.45">
      <c r="A77" t="s">
        <v>11</v>
      </c>
      <c r="B77" t="s">
        <v>127</v>
      </c>
      <c r="C77">
        <v>0.42370000000000002</v>
      </c>
      <c r="D77">
        <v>0.62360000000000004</v>
      </c>
      <c r="E77">
        <v>0.28339999999999999</v>
      </c>
      <c r="F77">
        <v>0.45</v>
      </c>
      <c r="G77">
        <v>124.9</v>
      </c>
      <c r="H77">
        <v>0</v>
      </c>
      <c r="I77" t="s">
        <v>154</v>
      </c>
      <c r="J77">
        <v>0</v>
      </c>
      <c r="K77">
        <v>84.786796569824219</v>
      </c>
      <c r="L77">
        <v>1.47</v>
      </c>
      <c r="M77" t="s">
        <v>137</v>
      </c>
      <c r="N77">
        <v>1.2</v>
      </c>
      <c r="O77" t="s">
        <v>143</v>
      </c>
      <c r="P77">
        <v>124.9</v>
      </c>
    </row>
    <row r="78" spans="1:16" x14ac:dyDescent="0.45">
      <c r="A78" t="s">
        <v>104</v>
      </c>
      <c r="B78" t="s">
        <v>127</v>
      </c>
      <c r="C78">
        <v>0.42320000000000002</v>
      </c>
      <c r="D78">
        <v>0.78439999999999999</v>
      </c>
      <c r="E78">
        <v>0</v>
      </c>
      <c r="F78">
        <v>0.44</v>
      </c>
      <c r="G78">
        <v>122.13</v>
      </c>
      <c r="H78">
        <v>0</v>
      </c>
      <c r="I78" t="s">
        <v>154</v>
      </c>
      <c r="J78">
        <v>0</v>
      </c>
      <c r="K78">
        <v>10.87889957427979</v>
      </c>
      <c r="L78">
        <v>11.23</v>
      </c>
      <c r="M78" t="s">
        <v>137</v>
      </c>
      <c r="N78">
        <v>1.2</v>
      </c>
      <c r="O78" t="s">
        <v>143</v>
      </c>
      <c r="P78">
        <v>122.13</v>
      </c>
    </row>
    <row r="79" spans="1:16" x14ac:dyDescent="0.45">
      <c r="A79" t="s">
        <v>16</v>
      </c>
      <c r="B79" t="s">
        <v>18</v>
      </c>
      <c r="C79">
        <v>0.78139999999999998</v>
      </c>
      <c r="D79">
        <v>0.93479999999999996</v>
      </c>
      <c r="E79">
        <v>0.1036</v>
      </c>
      <c r="F79">
        <v>0.31</v>
      </c>
      <c r="G79">
        <v>86.04</v>
      </c>
      <c r="H79">
        <v>0</v>
      </c>
      <c r="I79" t="s">
        <v>154</v>
      </c>
      <c r="J79">
        <v>0</v>
      </c>
      <c r="K79">
        <v>10.239999771118161</v>
      </c>
      <c r="L79">
        <v>8.4</v>
      </c>
      <c r="M79" t="s">
        <v>137</v>
      </c>
      <c r="N79">
        <v>1.2</v>
      </c>
      <c r="O79" t="s">
        <v>141</v>
      </c>
      <c r="P79">
        <v>86.04</v>
      </c>
    </row>
    <row r="80" spans="1:16" x14ac:dyDescent="0.45">
      <c r="A80" t="s">
        <v>125</v>
      </c>
      <c r="B80" t="s">
        <v>128</v>
      </c>
      <c r="C80">
        <v>0.39369999999999999</v>
      </c>
      <c r="D80">
        <v>0.59540000000000004</v>
      </c>
      <c r="E80">
        <v>0</v>
      </c>
      <c r="F80">
        <v>0.19</v>
      </c>
      <c r="G80">
        <v>52.74</v>
      </c>
      <c r="H80">
        <v>0</v>
      </c>
      <c r="I80" t="s">
        <v>154</v>
      </c>
      <c r="J80">
        <v>0</v>
      </c>
      <c r="K80">
        <v>10.64500045776367</v>
      </c>
      <c r="L80">
        <v>4.95</v>
      </c>
      <c r="M80" t="s">
        <v>137</v>
      </c>
      <c r="N80">
        <v>1.2</v>
      </c>
      <c r="O80" t="s">
        <v>143</v>
      </c>
      <c r="P80">
        <v>52.74</v>
      </c>
    </row>
    <row r="81" spans="1:16" x14ac:dyDescent="0.45">
      <c r="A81" t="s">
        <v>123</v>
      </c>
      <c r="B81" t="s">
        <v>128</v>
      </c>
      <c r="C81">
        <v>0.39560000000000001</v>
      </c>
      <c r="D81">
        <v>0.64300000000000002</v>
      </c>
      <c r="E81">
        <v>0</v>
      </c>
      <c r="F81">
        <v>0.17</v>
      </c>
      <c r="G81">
        <v>47.18</v>
      </c>
      <c r="H81">
        <v>0</v>
      </c>
      <c r="I81" t="s">
        <v>154</v>
      </c>
      <c r="J81">
        <v>0</v>
      </c>
      <c r="K81">
        <v>242.88499450683591</v>
      </c>
      <c r="L81">
        <v>0.19</v>
      </c>
      <c r="M81" t="s">
        <v>137</v>
      </c>
      <c r="N81">
        <v>1.2</v>
      </c>
      <c r="O81" t="s">
        <v>143</v>
      </c>
      <c r="P81">
        <v>47.18</v>
      </c>
    </row>
    <row r="82" spans="1:16" x14ac:dyDescent="0.45">
      <c r="A82" t="s">
        <v>124</v>
      </c>
      <c r="B82" t="s">
        <v>128</v>
      </c>
      <c r="C82">
        <v>0.3947</v>
      </c>
      <c r="D82">
        <v>0.67759999999999998</v>
      </c>
      <c r="E82">
        <v>0</v>
      </c>
      <c r="F82">
        <v>0.15</v>
      </c>
      <c r="G82">
        <v>41.63</v>
      </c>
      <c r="H82">
        <v>0</v>
      </c>
      <c r="I82" t="s">
        <v>154</v>
      </c>
      <c r="J82">
        <v>0</v>
      </c>
      <c r="K82">
        <v>43.490001678466797</v>
      </c>
      <c r="L82">
        <v>0.96</v>
      </c>
      <c r="M82" t="s">
        <v>137</v>
      </c>
      <c r="N82">
        <v>1.2</v>
      </c>
      <c r="O82" t="s">
        <v>143</v>
      </c>
      <c r="P82">
        <v>41.63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7"/>
  <sheetViews>
    <sheetView workbookViewId="0"/>
  </sheetViews>
  <sheetFormatPr defaultRowHeight="14.25" x14ac:dyDescent="0.45"/>
  <sheetData>
    <row r="1" spans="1:10" x14ac:dyDescent="0.45">
      <c r="A1" t="s">
        <v>2</v>
      </c>
      <c r="B1" t="s">
        <v>155</v>
      </c>
      <c r="C1" t="s">
        <v>156</v>
      </c>
      <c r="D1" t="s">
        <v>157</v>
      </c>
      <c r="E1" t="s">
        <v>158</v>
      </c>
      <c r="F1" t="s">
        <v>41</v>
      </c>
      <c r="G1" t="s">
        <v>159</v>
      </c>
      <c r="H1" t="s">
        <v>160</v>
      </c>
      <c r="I1" t="s">
        <v>161</v>
      </c>
      <c r="J1" t="s">
        <v>138</v>
      </c>
    </row>
    <row r="2" spans="1:10" x14ac:dyDescent="0.45">
      <c r="A2" t="s">
        <v>10</v>
      </c>
      <c r="B2">
        <v>6</v>
      </c>
      <c r="C2">
        <v>3530.84</v>
      </c>
      <c r="D2">
        <v>362.97</v>
      </c>
      <c r="E2">
        <v>-87.2</v>
      </c>
      <c r="F2">
        <v>0.97689999999999999</v>
      </c>
      <c r="G2">
        <v>1</v>
      </c>
      <c r="H2">
        <v>0.59619999999999995</v>
      </c>
      <c r="I2">
        <v>1</v>
      </c>
      <c r="J2" t="s">
        <v>162</v>
      </c>
    </row>
    <row r="3" spans="1:10" x14ac:dyDescent="0.45">
      <c r="A3" t="s">
        <v>16</v>
      </c>
      <c r="B3">
        <v>80</v>
      </c>
      <c r="C3">
        <v>811.6</v>
      </c>
      <c r="D3">
        <v>106.29</v>
      </c>
      <c r="E3">
        <v>-1.22</v>
      </c>
      <c r="F3">
        <v>0.4481</v>
      </c>
      <c r="G3">
        <v>0.71419999999999995</v>
      </c>
      <c r="H3">
        <v>0.1338</v>
      </c>
      <c r="I3">
        <v>3.3099999999999997E-2</v>
      </c>
      <c r="J3" t="s">
        <v>163</v>
      </c>
    </row>
    <row r="4" spans="1:10" x14ac:dyDescent="0.45">
      <c r="A4" t="s">
        <v>16</v>
      </c>
      <c r="B4">
        <v>44</v>
      </c>
      <c r="C4">
        <v>446.38</v>
      </c>
      <c r="D4">
        <v>58.46</v>
      </c>
      <c r="E4">
        <v>-1.22</v>
      </c>
      <c r="F4">
        <v>0.43569999999999998</v>
      </c>
      <c r="G4">
        <v>0.71419999999999995</v>
      </c>
      <c r="H4">
        <v>7.17E-2</v>
      </c>
      <c r="I4">
        <v>3.3099999999999997E-2</v>
      </c>
      <c r="J4" t="s">
        <v>163</v>
      </c>
    </row>
    <row r="5" spans="1:10" x14ac:dyDescent="0.45">
      <c r="A5" t="s">
        <v>11</v>
      </c>
      <c r="B5">
        <v>31</v>
      </c>
      <c r="C5">
        <v>2647.09</v>
      </c>
      <c r="D5">
        <v>657.32</v>
      </c>
      <c r="E5">
        <v>-0.23</v>
      </c>
      <c r="F5">
        <v>0.3871</v>
      </c>
      <c r="G5">
        <v>0.71089999999999998</v>
      </c>
      <c r="H5">
        <v>0.44590000000000002</v>
      </c>
      <c r="I5">
        <v>0.18909999999999999</v>
      </c>
      <c r="J5" t="s">
        <v>164</v>
      </c>
    </row>
    <row r="6" spans="1:10" x14ac:dyDescent="0.45">
      <c r="A6" t="s">
        <v>17</v>
      </c>
      <c r="B6">
        <v>2</v>
      </c>
      <c r="C6">
        <v>24.99</v>
      </c>
      <c r="D6">
        <v>13.27</v>
      </c>
      <c r="E6">
        <v>3.5</v>
      </c>
      <c r="F6">
        <v>0.39629999999999999</v>
      </c>
      <c r="G6">
        <v>0.69850000000000001</v>
      </c>
      <c r="H6">
        <v>0</v>
      </c>
      <c r="I6">
        <v>0</v>
      </c>
      <c r="J6" t="s">
        <v>165</v>
      </c>
    </row>
    <row r="7" spans="1:10" x14ac:dyDescent="0.45">
      <c r="A7" t="s">
        <v>17</v>
      </c>
      <c r="B7">
        <v>69.290000000000006</v>
      </c>
      <c r="C7">
        <v>865.81</v>
      </c>
      <c r="D7">
        <v>475.95</v>
      </c>
      <c r="E7">
        <v>3.73</v>
      </c>
      <c r="F7">
        <v>0.6038</v>
      </c>
      <c r="G7">
        <v>0.69779999999999998</v>
      </c>
      <c r="H7">
        <v>0.93920000000000003</v>
      </c>
      <c r="I7">
        <v>3.3099999999999997E-2</v>
      </c>
      <c r="J7" t="s">
        <v>166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9"/>
  <sheetViews>
    <sheetView workbookViewId="0"/>
  </sheetViews>
  <sheetFormatPr defaultRowHeight="14.25" x14ac:dyDescent="0.45"/>
  <sheetData>
    <row r="1" spans="1:5" x14ac:dyDescent="0.45">
      <c r="A1" t="s">
        <v>2</v>
      </c>
      <c r="B1" t="s">
        <v>3</v>
      </c>
      <c r="C1" t="s">
        <v>167</v>
      </c>
      <c r="D1" t="s">
        <v>168</v>
      </c>
      <c r="E1" t="s">
        <v>169</v>
      </c>
    </row>
    <row r="2" spans="1:5" x14ac:dyDescent="0.45">
      <c r="A2" t="s">
        <v>10</v>
      </c>
      <c r="B2" t="s">
        <v>170</v>
      </c>
      <c r="C2" t="s">
        <v>172</v>
      </c>
      <c r="D2">
        <v>2375.89</v>
      </c>
      <c r="E2" t="s">
        <v>174</v>
      </c>
    </row>
    <row r="3" spans="1:5" x14ac:dyDescent="0.45">
      <c r="A3" t="s">
        <v>14</v>
      </c>
      <c r="B3" t="s">
        <v>170</v>
      </c>
      <c r="C3" t="s">
        <v>172</v>
      </c>
      <c r="D3">
        <v>1942.9</v>
      </c>
      <c r="E3" t="s">
        <v>174</v>
      </c>
    </row>
    <row r="4" spans="1:5" x14ac:dyDescent="0.45">
      <c r="A4" t="s">
        <v>12</v>
      </c>
      <c r="B4" t="s">
        <v>170</v>
      </c>
      <c r="C4" t="s">
        <v>172</v>
      </c>
      <c r="D4">
        <v>1743.06</v>
      </c>
      <c r="E4" t="s">
        <v>174</v>
      </c>
    </row>
    <row r="5" spans="1:5" x14ac:dyDescent="0.45">
      <c r="A5" t="s">
        <v>16</v>
      </c>
      <c r="B5" t="s">
        <v>171</v>
      </c>
      <c r="C5" t="s">
        <v>172</v>
      </c>
      <c r="D5">
        <v>0</v>
      </c>
      <c r="E5" t="s">
        <v>175</v>
      </c>
    </row>
    <row r="6" spans="1:5" x14ac:dyDescent="0.45">
      <c r="A6" t="s">
        <v>15</v>
      </c>
      <c r="B6" t="s">
        <v>170</v>
      </c>
      <c r="C6" t="s">
        <v>173</v>
      </c>
      <c r="D6">
        <v>5334.64</v>
      </c>
      <c r="E6" t="s">
        <v>176</v>
      </c>
    </row>
    <row r="7" spans="1:5" x14ac:dyDescent="0.45">
      <c r="A7" t="s">
        <v>11</v>
      </c>
      <c r="B7" t="s">
        <v>170</v>
      </c>
      <c r="C7" t="s">
        <v>173</v>
      </c>
      <c r="D7">
        <v>4671.28</v>
      </c>
      <c r="E7" t="s">
        <v>176</v>
      </c>
    </row>
    <row r="8" spans="1:5" x14ac:dyDescent="0.45">
      <c r="A8" t="s">
        <v>17</v>
      </c>
      <c r="B8" t="s">
        <v>170</v>
      </c>
      <c r="C8" t="s">
        <v>173</v>
      </c>
      <c r="D8">
        <v>4174.46</v>
      </c>
      <c r="E8" t="s">
        <v>176</v>
      </c>
    </row>
    <row r="9" spans="1:5" x14ac:dyDescent="0.45">
      <c r="A9" t="s">
        <v>13</v>
      </c>
      <c r="B9" t="s">
        <v>170</v>
      </c>
      <c r="C9" t="s">
        <v>173</v>
      </c>
      <c r="D9">
        <v>3921.88</v>
      </c>
      <c r="E9" t="s">
        <v>176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7"/>
  <sheetViews>
    <sheetView workbookViewId="0"/>
  </sheetViews>
  <sheetFormatPr defaultRowHeight="14.25" x14ac:dyDescent="0.45"/>
  <sheetData>
    <row r="1" spans="1:4" x14ac:dyDescent="0.45">
      <c r="A1" t="s">
        <v>43</v>
      </c>
      <c r="B1" t="s">
        <v>29</v>
      </c>
      <c r="C1" t="s">
        <v>177</v>
      </c>
      <c r="D1" t="s">
        <v>178</v>
      </c>
    </row>
    <row r="2" spans="1:4" x14ac:dyDescent="0.45">
      <c r="A2" t="s">
        <v>129</v>
      </c>
      <c r="B2">
        <v>7244.1</v>
      </c>
      <c r="C2">
        <v>26.1</v>
      </c>
      <c r="D2" t="s">
        <v>173</v>
      </c>
    </row>
    <row r="3" spans="1:4" x14ac:dyDescent="0.45">
      <c r="A3" t="s">
        <v>134</v>
      </c>
      <c r="B3">
        <v>5552.58</v>
      </c>
      <c r="C3">
        <v>20.010000000000002</v>
      </c>
      <c r="D3" t="s">
        <v>173</v>
      </c>
    </row>
    <row r="4" spans="1:4" x14ac:dyDescent="0.45">
      <c r="A4" t="s">
        <v>131</v>
      </c>
      <c r="B4">
        <v>5115.76</v>
      </c>
      <c r="C4">
        <v>18.43</v>
      </c>
      <c r="D4" t="s">
        <v>172</v>
      </c>
    </row>
    <row r="5" spans="1:4" x14ac:dyDescent="0.45">
      <c r="A5" t="s">
        <v>135</v>
      </c>
      <c r="B5">
        <v>4796.34</v>
      </c>
      <c r="C5">
        <v>17.28</v>
      </c>
      <c r="D5" t="s">
        <v>172</v>
      </c>
    </row>
    <row r="6" spans="1:4" x14ac:dyDescent="0.45">
      <c r="A6" t="s">
        <v>136</v>
      </c>
      <c r="B6">
        <v>2644.35</v>
      </c>
      <c r="C6">
        <v>9.5299999999999994</v>
      </c>
      <c r="D6" t="s">
        <v>172</v>
      </c>
    </row>
    <row r="7" spans="1:4" x14ac:dyDescent="0.45">
      <c r="A7" t="s">
        <v>130</v>
      </c>
      <c r="B7">
        <v>2399.23</v>
      </c>
      <c r="C7">
        <v>8.65</v>
      </c>
      <c r="D7" t="s">
        <v>172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2"/>
  <sheetViews>
    <sheetView workbookViewId="0"/>
  </sheetViews>
  <sheetFormatPr defaultRowHeight="14.25" x14ac:dyDescent="0.45"/>
  <sheetData>
    <row r="1" spans="1:6" x14ac:dyDescent="0.45">
      <c r="A1" t="s">
        <v>179</v>
      </c>
      <c r="B1" t="s">
        <v>2</v>
      </c>
      <c r="C1" t="s">
        <v>155</v>
      </c>
      <c r="D1" t="s">
        <v>156</v>
      </c>
      <c r="E1" t="s">
        <v>157</v>
      </c>
      <c r="F1" t="s">
        <v>41</v>
      </c>
    </row>
    <row r="2" spans="1:6" x14ac:dyDescent="0.45">
      <c r="A2" t="s">
        <v>180</v>
      </c>
      <c r="B2" t="s">
        <v>10</v>
      </c>
      <c r="C2">
        <v>6</v>
      </c>
      <c r="D2">
        <v>3530.84</v>
      </c>
      <c r="E2">
        <v>362.97</v>
      </c>
      <c r="F2">
        <v>0.97689999999999999</v>
      </c>
    </row>
    <row r="3" spans="1:6" x14ac:dyDescent="0.45">
      <c r="A3" t="s">
        <v>180</v>
      </c>
      <c r="B3" t="s">
        <v>16</v>
      </c>
      <c r="C3">
        <v>80</v>
      </c>
      <c r="D3">
        <v>811.6</v>
      </c>
      <c r="E3">
        <v>106.29</v>
      </c>
      <c r="F3">
        <v>0.72040000000000004</v>
      </c>
    </row>
    <row r="4" spans="1:6" x14ac:dyDescent="0.45">
      <c r="A4" t="s">
        <v>180</v>
      </c>
      <c r="B4" t="s">
        <v>16</v>
      </c>
      <c r="C4">
        <v>44</v>
      </c>
      <c r="D4">
        <v>446.38</v>
      </c>
      <c r="E4">
        <v>58.46</v>
      </c>
      <c r="F4">
        <v>0.70799999999999996</v>
      </c>
    </row>
    <row r="5" spans="1:6" x14ac:dyDescent="0.45">
      <c r="A5" t="s">
        <v>180</v>
      </c>
      <c r="B5" t="s">
        <v>11</v>
      </c>
      <c r="C5">
        <v>31</v>
      </c>
      <c r="D5">
        <v>2647.09</v>
      </c>
      <c r="E5">
        <v>657.32</v>
      </c>
      <c r="F5">
        <v>0.59560000000000002</v>
      </c>
    </row>
    <row r="6" spans="1:6" x14ac:dyDescent="0.45">
      <c r="A6" t="s">
        <v>180</v>
      </c>
      <c r="B6" t="s">
        <v>17</v>
      </c>
      <c r="C6">
        <v>2</v>
      </c>
      <c r="D6">
        <v>24.99</v>
      </c>
      <c r="E6">
        <v>13.27</v>
      </c>
      <c r="F6">
        <v>0.67549999999999999</v>
      </c>
    </row>
    <row r="7" spans="1:6" x14ac:dyDescent="0.45">
      <c r="A7" t="s">
        <v>180</v>
      </c>
      <c r="B7" t="s">
        <v>17</v>
      </c>
      <c r="C7">
        <v>69.209999999999994</v>
      </c>
      <c r="D7">
        <v>864.8</v>
      </c>
      <c r="E7">
        <v>475.4</v>
      </c>
      <c r="F7">
        <v>0.86950000000000005</v>
      </c>
    </row>
    <row r="8" spans="1:6" x14ac:dyDescent="0.45">
      <c r="A8" t="s">
        <v>180</v>
      </c>
      <c r="B8" t="s">
        <v>14</v>
      </c>
      <c r="C8">
        <v>0</v>
      </c>
      <c r="D8">
        <v>0</v>
      </c>
      <c r="E8">
        <v>0</v>
      </c>
      <c r="F8">
        <v>0.80130000000000001</v>
      </c>
    </row>
    <row r="9" spans="1:6" x14ac:dyDescent="0.45">
      <c r="A9" t="s">
        <v>181</v>
      </c>
      <c r="B9" t="s">
        <v>10</v>
      </c>
      <c r="C9">
        <v>6</v>
      </c>
      <c r="D9">
        <v>3530.84</v>
      </c>
      <c r="E9">
        <v>362.97</v>
      </c>
      <c r="F9">
        <v>0.97689999999999999</v>
      </c>
    </row>
    <row r="10" spans="1:6" x14ac:dyDescent="0.45">
      <c r="A10" t="s">
        <v>181</v>
      </c>
      <c r="B10" t="s">
        <v>16</v>
      </c>
      <c r="C10">
        <v>80</v>
      </c>
      <c r="D10">
        <v>811.6</v>
      </c>
      <c r="E10">
        <v>106.29</v>
      </c>
      <c r="F10">
        <v>0.44800000000000001</v>
      </c>
    </row>
    <row r="11" spans="1:6" x14ac:dyDescent="0.45">
      <c r="A11" t="s">
        <v>181</v>
      </c>
      <c r="B11" t="s">
        <v>16</v>
      </c>
      <c r="C11">
        <v>44</v>
      </c>
      <c r="D11">
        <v>446.38</v>
      </c>
      <c r="E11">
        <v>58.46</v>
      </c>
      <c r="F11">
        <v>0.43559999999999999</v>
      </c>
    </row>
    <row r="12" spans="1:6" x14ac:dyDescent="0.45">
      <c r="A12" t="s">
        <v>181</v>
      </c>
      <c r="B12" t="s">
        <v>11</v>
      </c>
      <c r="C12">
        <v>31</v>
      </c>
      <c r="D12">
        <v>2647.09</v>
      </c>
      <c r="E12">
        <v>657.32</v>
      </c>
      <c r="F12">
        <v>0.38700000000000001</v>
      </c>
    </row>
    <row r="13" spans="1:6" x14ac:dyDescent="0.45">
      <c r="A13" t="s">
        <v>181</v>
      </c>
      <c r="B13" t="s">
        <v>17</v>
      </c>
      <c r="C13">
        <v>2</v>
      </c>
      <c r="D13">
        <v>24.99</v>
      </c>
      <c r="E13">
        <v>13.27</v>
      </c>
      <c r="F13">
        <v>0.39610000000000001</v>
      </c>
    </row>
    <row r="14" spans="1:6" x14ac:dyDescent="0.45">
      <c r="A14" t="s">
        <v>181</v>
      </c>
      <c r="B14" t="s">
        <v>17</v>
      </c>
      <c r="C14">
        <v>69.209999999999994</v>
      </c>
      <c r="D14">
        <v>864.8</v>
      </c>
      <c r="E14">
        <v>475.4</v>
      </c>
      <c r="F14">
        <v>0.60370000000000001</v>
      </c>
    </row>
    <row r="15" spans="1:6" x14ac:dyDescent="0.45">
      <c r="A15" t="s">
        <v>181</v>
      </c>
      <c r="B15" t="s">
        <v>14</v>
      </c>
      <c r="C15">
        <v>0</v>
      </c>
      <c r="D15">
        <v>0</v>
      </c>
      <c r="E15">
        <v>0</v>
      </c>
      <c r="F15">
        <v>0.6069</v>
      </c>
    </row>
    <row r="16" spans="1:6" x14ac:dyDescent="0.45">
      <c r="A16" t="s">
        <v>182</v>
      </c>
      <c r="B16" t="s">
        <v>10</v>
      </c>
      <c r="C16">
        <v>6</v>
      </c>
      <c r="D16">
        <v>3530.84</v>
      </c>
      <c r="E16">
        <v>362.97</v>
      </c>
      <c r="F16">
        <v>0.81540000000000001</v>
      </c>
    </row>
    <row r="17" spans="1:6" x14ac:dyDescent="0.45">
      <c r="A17" t="s">
        <v>182</v>
      </c>
      <c r="B17" t="s">
        <v>16</v>
      </c>
      <c r="C17">
        <v>80</v>
      </c>
      <c r="D17">
        <v>811.6</v>
      </c>
      <c r="E17">
        <v>106.29</v>
      </c>
      <c r="F17">
        <v>0.48830000000000001</v>
      </c>
    </row>
    <row r="18" spans="1:6" x14ac:dyDescent="0.45">
      <c r="A18" t="s">
        <v>182</v>
      </c>
      <c r="B18" t="s">
        <v>16</v>
      </c>
      <c r="C18">
        <v>44</v>
      </c>
      <c r="D18">
        <v>446.38</v>
      </c>
      <c r="E18">
        <v>58.46</v>
      </c>
      <c r="F18">
        <v>0.4511</v>
      </c>
    </row>
    <row r="19" spans="1:6" x14ac:dyDescent="0.45">
      <c r="A19" t="s">
        <v>182</v>
      </c>
      <c r="B19" t="s">
        <v>11</v>
      </c>
      <c r="C19">
        <v>31</v>
      </c>
      <c r="D19">
        <v>2647.09</v>
      </c>
      <c r="E19">
        <v>657.32</v>
      </c>
      <c r="F19">
        <v>0.48970000000000002</v>
      </c>
    </row>
    <row r="20" spans="1:6" x14ac:dyDescent="0.45">
      <c r="A20" t="s">
        <v>182</v>
      </c>
      <c r="B20" t="s">
        <v>17</v>
      </c>
      <c r="C20">
        <v>2</v>
      </c>
      <c r="D20">
        <v>24.99</v>
      </c>
      <c r="E20">
        <v>13.27</v>
      </c>
      <c r="F20">
        <v>0.39610000000000001</v>
      </c>
    </row>
    <row r="21" spans="1:6" x14ac:dyDescent="0.45">
      <c r="A21" t="s">
        <v>182</v>
      </c>
      <c r="B21" t="s">
        <v>17</v>
      </c>
      <c r="C21">
        <v>69.209999999999994</v>
      </c>
      <c r="D21">
        <v>864.8</v>
      </c>
      <c r="E21">
        <v>475.4</v>
      </c>
      <c r="F21">
        <v>0.96609999999999996</v>
      </c>
    </row>
    <row r="22" spans="1:6" x14ac:dyDescent="0.45">
      <c r="A22" t="s">
        <v>182</v>
      </c>
      <c r="B22" t="s">
        <v>14</v>
      </c>
      <c r="C22">
        <v>0</v>
      </c>
      <c r="D22">
        <v>0</v>
      </c>
      <c r="E22">
        <v>0</v>
      </c>
      <c r="F22">
        <v>0.74750000000000005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8"/>
  <sheetViews>
    <sheetView workbookViewId="0"/>
  </sheetViews>
  <sheetFormatPr defaultRowHeight="14.25" x14ac:dyDescent="0.45"/>
  <sheetData>
    <row r="1" spans="1:5" x14ac:dyDescent="0.45">
      <c r="A1" t="s">
        <v>2</v>
      </c>
      <c r="B1" t="s">
        <v>3</v>
      </c>
      <c r="C1" t="s">
        <v>168</v>
      </c>
      <c r="D1" t="s">
        <v>167</v>
      </c>
      <c r="E1" t="s">
        <v>169</v>
      </c>
    </row>
    <row r="2" spans="1:5" x14ac:dyDescent="0.45">
      <c r="A2" t="s">
        <v>10</v>
      </c>
      <c r="B2" t="s">
        <v>183</v>
      </c>
      <c r="C2">
        <v>2375.89</v>
      </c>
      <c r="D2" t="s">
        <v>172</v>
      </c>
      <c r="E2" t="s">
        <v>174</v>
      </c>
    </row>
    <row r="3" spans="1:5" x14ac:dyDescent="0.45">
      <c r="A3" t="s">
        <v>14</v>
      </c>
      <c r="B3" t="s">
        <v>183</v>
      </c>
      <c r="C3">
        <v>1942.9</v>
      </c>
      <c r="D3" t="s">
        <v>172</v>
      </c>
      <c r="E3" t="s">
        <v>174</v>
      </c>
    </row>
    <row r="4" spans="1:5" x14ac:dyDescent="0.45">
      <c r="A4" t="s">
        <v>12</v>
      </c>
      <c r="B4" t="s">
        <v>183</v>
      </c>
      <c r="C4">
        <v>1743.06</v>
      </c>
      <c r="D4" t="s">
        <v>172</v>
      </c>
      <c r="E4" t="s">
        <v>174</v>
      </c>
    </row>
    <row r="5" spans="1:5" x14ac:dyDescent="0.45">
      <c r="A5" t="s">
        <v>15</v>
      </c>
      <c r="B5" t="s">
        <v>183</v>
      </c>
      <c r="C5">
        <v>5334.64</v>
      </c>
      <c r="D5" t="s">
        <v>173</v>
      </c>
      <c r="E5" t="s">
        <v>176</v>
      </c>
    </row>
    <row r="6" spans="1:5" x14ac:dyDescent="0.45">
      <c r="A6" t="s">
        <v>11</v>
      </c>
      <c r="B6" t="s">
        <v>183</v>
      </c>
      <c r="C6">
        <v>4671.28</v>
      </c>
      <c r="D6" t="s">
        <v>173</v>
      </c>
      <c r="E6" t="s">
        <v>176</v>
      </c>
    </row>
    <row r="7" spans="1:5" x14ac:dyDescent="0.45">
      <c r="A7" t="s">
        <v>17</v>
      </c>
      <c r="B7" t="s">
        <v>183</v>
      </c>
      <c r="C7">
        <v>4174.46</v>
      </c>
      <c r="D7" t="s">
        <v>173</v>
      </c>
      <c r="E7" t="s">
        <v>176</v>
      </c>
    </row>
    <row r="8" spans="1:5" x14ac:dyDescent="0.45">
      <c r="A8" t="s">
        <v>13</v>
      </c>
      <c r="B8" t="s">
        <v>183</v>
      </c>
      <c r="C8">
        <v>3921.88</v>
      </c>
      <c r="D8" t="s">
        <v>173</v>
      </c>
      <c r="E8" t="s">
        <v>176</v>
      </c>
    </row>
    <row r="9" spans="1:5" x14ac:dyDescent="0.45">
      <c r="A9" t="s">
        <v>70</v>
      </c>
      <c r="B9" t="s">
        <v>18</v>
      </c>
      <c r="C9">
        <v>1465.5</v>
      </c>
      <c r="D9" t="s">
        <v>173</v>
      </c>
      <c r="E9" t="s">
        <v>141</v>
      </c>
    </row>
    <row r="10" spans="1:5" x14ac:dyDescent="0.45">
      <c r="A10" t="s">
        <v>73</v>
      </c>
      <c r="B10" t="s">
        <v>18</v>
      </c>
      <c r="C10">
        <v>1385.01</v>
      </c>
      <c r="D10" t="s">
        <v>173</v>
      </c>
      <c r="E10" t="s">
        <v>141</v>
      </c>
    </row>
    <row r="11" spans="1:5" x14ac:dyDescent="0.45">
      <c r="A11" t="s">
        <v>75</v>
      </c>
      <c r="B11" t="s">
        <v>18</v>
      </c>
      <c r="C11">
        <v>1379.46</v>
      </c>
      <c r="D11" t="s">
        <v>173</v>
      </c>
      <c r="E11" t="s">
        <v>141</v>
      </c>
    </row>
    <row r="12" spans="1:5" x14ac:dyDescent="0.45">
      <c r="A12" t="s">
        <v>78</v>
      </c>
      <c r="B12" t="s">
        <v>18</v>
      </c>
      <c r="C12">
        <v>1354.48</v>
      </c>
      <c r="D12" t="s">
        <v>173</v>
      </c>
      <c r="E12" t="s">
        <v>141</v>
      </c>
    </row>
    <row r="13" spans="1:5" x14ac:dyDescent="0.45">
      <c r="A13" t="s">
        <v>51</v>
      </c>
      <c r="B13" t="s">
        <v>18</v>
      </c>
      <c r="C13">
        <v>1332.27</v>
      </c>
      <c r="D13" t="s">
        <v>173</v>
      </c>
      <c r="E13" t="s">
        <v>140</v>
      </c>
    </row>
    <row r="14" spans="1:5" x14ac:dyDescent="0.45">
      <c r="A14" t="s">
        <v>53</v>
      </c>
      <c r="B14" t="s">
        <v>18</v>
      </c>
      <c r="C14">
        <v>1312.84</v>
      </c>
      <c r="D14" t="s">
        <v>173</v>
      </c>
      <c r="E14" t="s">
        <v>140</v>
      </c>
    </row>
    <row r="15" spans="1:5" x14ac:dyDescent="0.45">
      <c r="A15" t="s">
        <v>62</v>
      </c>
      <c r="B15" t="s">
        <v>18</v>
      </c>
      <c r="C15">
        <v>1232.3499999999999</v>
      </c>
      <c r="D15" t="s">
        <v>173</v>
      </c>
      <c r="E15" t="s">
        <v>141</v>
      </c>
    </row>
    <row r="16" spans="1:5" x14ac:dyDescent="0.45">
      <c r="A16" t="s">
        <v>72</v>
      </c>
      <c r="B16" t="s">
        <v>18</v>
      </c>
      <c r="C16">
        <v>1229.58</v>
      </c>
      <c r="D16" t="s">
        <v>173</v>
      </c>
      <c r="E16" t="s">
        <v>141</v>
      </c>
    </row>
    <row r="17" spans="1:5" x14ac:dyDescent="0.45">
      <c r="A17" t="s">
        <v>68</v>
      </c>
      <c r="B17" t="s">
        <v>18</v>
      </c>
      <c r="C17">
        <v>1224.03</v>
      </c>
      <c r="D17" t="s">
        <v>173</v>
      </c>
      <c r="E17" t="s">
        <v>141</v>
      </c>
    </row>
    <row r="18" spans="1:5" x14ac:dyDescent="0.45">
      <c r="A18" t="s">
        <v>80</v>
      </c>
      <c r="B18" t="s">
        <v>18</v>
      </c>
      <c r="C18">
        <v>1190.72</v>
      </c>
      <c r="D18" t="s">
        <v>173</v>
      </c>
      <c r="E18" t="s">
        <v>141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2"/>
  <sheetViews>
    <sheetView workbookViewId="0"/>
  </sheetViews>
  <sheetFormatPr defaultRowHeight="14.25" x14ac:dyDescent="0.45"/>
  <sheetData>
    <row r="1" spans="1:3" x14ac:dyDescent="0.45">
      <c r="A1" t="s">
        <v>184</v>
      </c>
      <c r="B1" t="s">
        <v>185</v>
      </c>
      <c r="C1" t="s">
        <v>186</v>
      </c>
    </row>
    <row r="2" spans="1:3" x14ac:dyDescent="0.45">
      <c r="A2" t="s">
        <v>137</v>
      </c>
      <c r="B2">
        <v>2</v>
      </c>
      <c r="C2" t="s">
        <v>187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85"/>
  <sheetViews>
    <sheetView workbookViewId="0"/>
  </sheetViews>
  <sheetFormatPr defaultRowHeight="14.25" x14ac:dyDescent="0.45"/>
  <sheetData>
    <row r="1" spans="1:9" x14ac:dyDescent="0.45">
      <c r="A1" t="s">
        <v>2</v>
      </c>
      <c r="B1" t="s">
        <v>42</v>
      </c>
      <c r="C1" t="s">
        <v>188</v>
      </c>
      <c r="D1" t="s">
        <v>41</v>
      </c>
      <c r="E1" t="s">
        <v>39</v>
      </c>
      <c r="F1" t="s">
        <v>45</v>
      </c>
      <c r="G1" t="s">
        <v>47</v>
      </c>
      <c r="H1" t="s">
        <v>49</v>
      </c>
      <c r="I1" t="s">
        <v>138</v>
      </c>
    </row>
    <row r="2" spans="1:9" x14ac:dyDescent="0.45">
      <c r="A2" t="s">
        <v>50</v>
      </c>
      <c r="B2" t="s">
        <v>18</v>
      </c>
      <c r="C2">
        <v>90.52</v>
      </c>
      <c r="D2">
        <v>0.76290000000000002</v>
      </c>
      <c r="E2">
        <v>0.85589999999999999</v>
      </c>
      <c r="F2">
        <v>1</v>
      </c>
      <c r="G2">
        <v>1</v>
      </c>
      <c r="H2">
        <v>0.37430000000000002</v>
      </c>
      <c r="I2" t="s">
        <v>189</v>
      </c>
    </row>
    <row r="3" spans="1:9" x14ac:dyDescent="0.45">
      <c r="A3" t="s">
        <v>51</v>
      </c>
      <c r="B3" t="s">
        <v>18</v>
      </c>
      <c r="C3">
        <v>90.48</v>
      </c>
      <c r="D3">
        <v>0.76190000000000002</v>
      </c>
      <c r="E3">
        <v>0.8619</v>
      </c>
      <c r="F3">
        <v>1</v>
      </c>
      <c r="G3">
        <v>1</v>
      </c>
      <c r="H3">
        <v>0.35570000000000002</v>
      </c>
      <c r="I3" t="s">
        <v>189</v>
      </c>
    </row>
    <row r="4" spans="1:9" x14ac:dyDescent="0.45">
      <c r="A4" t="s">
        <v>14</v>
      </c>
      <c r="B4" t="s">
        <v>18</v>
      </c>
      <c r="C4">
        <v>90.27</v>
      </c>
      <c r="D4">
        <v>0.79990000000000006</v>
      </c>
      <c r="E4">
        <v>0.75639999999999996</v>
      </c>
      <c r="F4">
        <v>0.91349999999999998</v>
      </c>
      <c r="G4">
        <v>1</v>
      </c>
      <c r="H4">
        <v>0.37330000000000002</v>
      </c>
      <c r="I4" t="s">
        <v>190</v>
      </c>
    </row>
    <row r="5" spans="1:9" x14ac:dyDescent="0.45">
      <c r="A5" t="s">
        <v>52</v>
      </c>
      <c r="B5" t="s">
        <v>18</v>
      </c>
      <c r="C5">
        <v>89.81</v>
      </c>
      <c r="D5">
        <v>0.74529999999999996</v>
      </c>
      <c r="E5">
        <v>0.82150000000000001</v>
      </c>
      <c r="F5">
        <v>1</v>
      </c>
      <c r="G5">
        <v>1</v>
      </c>
      <c r="H5">
        <v>0.32540000000000002</v>
      </c>
      <c r="I5" t="s">
        <v>191</v>
      </c>
    </row>
    <row r="6" spans="1:9" x14ac:dyDescent="0.45">
      <c r="A6" t="s">
        <v>53</v>
      </c>
      <c r="B6" t="s">
        <v>18</v>
      </c>
      <c r="C6">
        <v>89.81</v>
      </c>
      <c r="D6">
        <v>0.74529999999999996</v>
      </c>
      <c r="E6">
        <v>0.82479999999999998</v>
      </c>
      <c r="F6">
        <v>1</v>
      </c>
      <c r="G6">
        <v>1</v>
      </c>
      <c r="H6">
        <v>0.31909999999999999</v>
      </c>
      <c r="I6" t="s">
        <v>191</v>
      </c>
    </row>
    <row r="7" spans="1:9" x14ac:dyDescent="0.45">
      <c r="A7" t="s">
        <v>54</v>
      </c>
      <c r="B7" t="s">
        <v>18</v>
      </c>
      <c r="C7">
        <v>89.5</v>
      </c>
      <c r="D7">
        <v>0.73740000000000006</v>
      </c>
      <c r="E7">
        <v>0.78129999999999999</v>
      </c>
      <c r="F7">
        <v>1</v>
      </c>
      <c r="G7">
        <v>1</v>
      </c>
      <c r="H7">
        <v>0.35370000000000001</v>
      </c>
      <c r="I7" t="s">
        <v>192</v>
      </c>
    </row>
    <row r="8" spans="1:9" x14ac:dyDescent="0.45">
      <c r="A8" t="s">
        <v>55</v>
      </c>
      <c r="B8" t="s">
        <v>18</v>
      </c>
      <c r="C8">
        <v>89.18</v>
      </c>
      <c r="D8">
        <v>0.72960000000000003</v>
      </c>
      <c r="E8">
        <v>0.77880000000000005</v>
      </c>
      <c r="F8">
        <v>1</v>
      </c>
      <c r="G8">
        <v>1</v>
      </c>
      <c r="H8">
        <v>0.30649999999999999</v>
      </c>
      <c r="I8" t="s">
        <v>192</v>
      </c>
    </row>
    <row r="9" spans="1:9" x14ac:dyDescent="0.45">
      <c r="A9" t="s">
        <v>56</v>
      </c>
      <c r="B9" t="s">
        <v>18</v>
      </c>
      <c r="C9">
        <v>89.07</v>
      </c>
      <c r="D9">
        <v>0.7268</v>
      </c>
      <c r="E9">
        <v>0.73729999999999996</v>
      </c>
      <c r="F9">
        <v>1</v>
      </c>
      <c r="G9">
        <v>1</v>
      </c>
      <c r="H9">
        <v>0.37090000000000001</v>
      </c>
      <c r="I9" t="s">
        <v>192</v>
      </c>
    </row>
    <row r="10" spans="1:9" x14ac:dyDescent="0.45">
      <c r="A10" t="s">
        <v>57</v>
      </c>
      <c r="B10" t="s">
        <v>18</v>
      </c>
      <c r="C10">
        <v>88.91</v>
      </c>
      <c r="D10">
        <v>0.7228</v>
      </c>
      <c r="E10">
        <v>0.72460000000000002</v>
      </c>
      <c r="F10">
        <v>1</v>
      </c>
      <c r="G10">
        <v>1</v>
      </c>
      <c r="H10">
        <v>0.36940000000000001</v>
      </c>
      <c r="I10" t="s">
        <v>192</v>
      </c>
    </row>
    <row r="11" spans="1:9" x14ac:dyDescent="0.45">
      <c r="A11" t="s">
        <v>58</v>
      </c>
      <c r="B11" t="s">
        <v>18</v>
      </c>
      <c r="C11">
        <v>88.82</v>
      </c>
      <c r="D11">
        <v>0.72060000000000002</v>
      </c>
      <c r="E11">
        <v>0.70420000000000005</v>
      </c>
      <c r="F11">
        <v>1</v>
      </c>
      <c r="G11">
        <v>1</v>
      </c>
      <c r="H11">
        <v>0.39589999999999997</v>
      </c>
      <c r="I11" t="s">
        <v>192</v>
      </c>
    </row>
    <row r="12" spans="1:9" x14ac:dyDescent="0.45">
      <c r="A12" t="s">
        <v>59</v>
      </c>
      <c r="B12" t="s">
        <v>18</v>
      </c>
      <c r="C12">
        <v>88.75</v>
      </c>
      <c r="D12">
        <v>0.71870000000000001</v>
      </c>
      <c r="E12">
        <v>0.71509999999999996</v>
      </c>
      <c r="F12">
        <v>1</v>
      </c>
      <c r="G12">
        <v>1</v>
      </c>
      <c r="H12">
        <v>0.36130000000000001</v>
      </c>
      <c r="I12" t="s">
        <v>192</v>
      </c>
    </row>
    <row r="13" spans="1:9" x14ac:dyDescent="0.45">
      <c r="A13" t="s">
        <v>60</v>
      </c>
      <c r="B13" t="s">
        <v>18</v>
      </c>
      <c r="C13">
        <v>88.68</v>
      </c>
      <c r="D13">
        <v>0.71699999999999997</v>
      </c>
      <c r="E13">
        <v>0.70720000000000005</v>
      </c>
      <c r="F13">
        <v>1</v>
      </c>
      <c r="G13">
        <v>1</v>
      </c>
      <c r="H13">
        <v>0.36580000000000001</v>
      </c>
      <c r="I13" t="s">
        <v>192</v>
      </c>
    </row>
    <row r="14" spans="1:9" x14ac:dyDescent="0.45">
      <c r="A14" t="s">
        <v>61</v>
      </c>
      <c r="B14" t="s">
        <v>18</v>
      </c>
      <c r="C14">
        <v>88.67</v>
      </c>
      <c r="D14">
        <v>0.7167</v>
      </c>
      <c r="E14">
        <v>0.70669999999999999</v>
      </c>
      <c r="F14">
        <v>1</v>
      </c>
      <c r="G14">
        <v>1</v>
      </c>
      <c r="H14">
        <v>0.3644</v>
      </c>
      <c r="I14" t="s">
        <v>192</v>
      </c>
    </row>
    <row r="15" spans="1:9" x14ac:dyDescent="0.45">
      <c r="A15" t="s">
        <v>62</v>
      </c>
      <c r="B15" t="s">
        <v>18</v>
      </c>
      <c r="C15">
        <v>88.63</v>
      </c>
      <c r="D15">
        <v>0.71579999999999999</v>
      </c>
      <c r="E15">
        <v>0.70809999999999995</v>
      </c>
      <c r="F15">
        <v>1</v>
      </c>
      <c r="G15">
        <v>1</v>
      </c>
      <c r="H15">
        <v>0.35580000000000001</v>
      </c>
      <c r="I15" t="s">
        <v>192</v>
      </c>
    </row>
    <row r="16" spans="1:9" x14ac:dyDescent="0.45">
      <c r="A16" t="s">
        <v>63</v>
      </c>
      <c r="B16" t="s">
        <v>18</v>
      </c>
      <c r="C16">
        <v>88.59</v>
      </c>
      <c r="D16">
        <v>0.71479999999999999</v>
      </c>
      <c r="E16">
        <v>0.71099999999999997</v>
      </c>
      <c r="F16">
        <v>1</v>
      </c>
      <c r="G16">
        <v>1</v>
      </c>
      <c r="H16">
        <v>0.34339999999999998</v>
      </c>
      <c r="I16" t="s">
        <v>192</v>
      </c>
    </row>
    <row r="17" spans="1:9" x14ac:dyDescent="0.45">
      <c r="A17" t="s">
        <v>64</v>
      </c>
      <c r="B17" t="s">
        <v>18</v>
      </c>
      <c r="C17">
        <v>88.52</v>
      </c>
      <c r="D17">
        <v>0.71309999999999996</v>
      </c>
      <c r="E17">
        <v>0.72189999999999999</v>
      </c>
      <c r="F17">
        <v>1</v>
      </c>
      <c r="G17">
        <v>1</v>
      </c>
      <c r="H17">
        <v>0.31</v>
      </c>
      <c r="I17" t="s">
        <v>192</v>
      </c>
    </row>
    <row r="18" spans="1:9" x14ac:dyDescent="0.45">
      <c r="A18" t="s">
        <v>65</v>
      </c>
      <c r="B18" t="s">
        <v>18</v>
      </c>
      <c r="C18">
        <v>88.51</v>
      </c>
      <c r="D18">
        <v>0.7127</v>
      </c>
      <c r="E18">
        <v>0.71040000000000003</v>
      </c>
      <c r="F18">
        <v>1</v>
      </c>
      <c r="G18">
        <v>1</v>
      </c>
      <c r="H18">
        <v>0.33079999999999998</v>
      </c>
      <c r="I18" t="s">
        <v>192</v>
      </c>
    </row>
    <row r="19" spans="1:9" x14ac:dyDescent="0.45">
      <c r="A19" t="s">
        <v>66</v>
      </c>
      <c r="B19" t="s">
        <v>18</v>
      </c>
      <c r="C19">
        <v>88.43</v>
      </c>
      <c r="D19">
        <v>0.7107</v>
      </c>
      <c r="E19">
        <v>0.70299999999999996</v>
      </c>
      <c r="F19">
        <v>1</v>
      </c>
      <c r="G19">
        <v>1</v>
      </c>
      <c r="H19">
        <v>0.3322</v>
      </c>
      <c r="I19" t="s">
        <v>192</v>
      </c>
    </row>
    <row r="20" spans="1:9" x14ac:dyDescent="0.45">
      <c r="A20" t="s">
        <v>67</v>
      </c>
      <c r="B20" t="s">
        <v>18</v>
      </c>
      <c r="C20">
        <v>88.43</v>
      </c>
      <c r="D20">
        <v>0.7107</v>
      </c>
      <c r="E20">
        <v>0.70479999999999998</v>
      </c>
      <c r="F20">
        <v>1</v>
      </c>
      <c r="G20">
        <v>1</v>
      </c>
      <c r="H20">
        <v>0.32869999999999999</v>
      </c>
      <c r="I20" t="s">
        <v>192</v>
      </c>
    </row>
    <row r="21" spans="1:9" x14ac:dyDescent="0.45">
      <c r="A21" t="s">
        <v>68</v>
      </c>
      <c r="B21" t="s">
        <v>18</v>
      </c>
      <c r="C21">
        <v>88.37</v>
      </c>
      <c r="D21">
        <v>0.70930000000000004</v>
      </c>
      <c r="E21">
        <v>0.70660000000000001</v>
      </c>
      <c r="F21">
        <v>1</v>
      </c>
      <c r="G21">
        <v>1</v>
      </c>
      <c r="H21">
        <v>0.3155</v>
      </c>
      <c r="I21" t="s">
        <v>192</v>
      </c>
    </row>
    <row r="22" spans="1:9" x14ac:dyDescent="0.45">
      <c r="A22" t="s">
        <v>70</v>
      </c>
      <c r="B22" t="s">
        <v>18</v>
      </c>
      <c r="C22">
        <v>88.24</v>
      </c>
      <c r="D22">
        <v>0.70599999999999996</v>
      </c>
      <c r="E22">
        <v>0.73129999999999995</v>
      </c>
      <c r="F22">
        <v>1</v>
      </c>
      <c r="G22">
        <v>1</v>
      </c>
      <c r="H22">
        <v>0.24379999999999999</v>
      </c>
      <c r="I22" t="s">
        <v>192</v>
      </c>
    </row>
    <row r="23" spans="1:9" x14ac:dyDescent="0.45">
      <c r="A23" t="s">
        <v>73</v>
      </c>
      <c r="B23" t="s">
        <v>18</v>
      </c>
      <c r="C23">
        <v>88.01</v>
      </c>
      <c r="D23">
        <v>0.70020000000000004</v>
      </c>
      <c r="E23">
        <v>0.71540000000000004</v>
      </c>
      <c r="F23">
        <v>1</v>
      </c>
      <c r="G23">
        <v>1</v>
      </c>
      <c r="H23">
        <v>0.23730000000000001</v>
      </c>
      <c r="I23" t="s">
        <v>192</v>
      </c>
    </row>
    <row r="24" spans="1:9" x14ac:dyDescent="0.45">
      <c r="A24" t="s">
        <v>75</v>
      </c>
      <c r="B24" t="s">
        <v>18</v>
      </c>
      <c r="C24">
        <v>87.98</v>
      </c>
      <c r="D24">
        <v>0.6996</v>
      </c>
      <c r="E24">
        <v>0.70069999999999999</v>
      </c>
      <c r="F24">
        <v>1</v>
      </c>
      <c r="G24">
        <v>1</v>
      </c>
      <c r="H24">
        <v>0.26250000000000001</v>
      </c>
      <c r="I24" t="s">
        <v>192</v>
      </c>
    </row>
    <row r="25" spans="1:9" x14ac:dyDescent="0.45">
      <c r="A25" t="s">
        <v>16</v>
      </c>
      <c r="B25" t="s">
        <v>18</v>
      </c>
      <c r="C25">
        <v>87.57</v>
      </c>
      <c r="D25">
        <v>0.78139999999999998</v>
      </c>
      <c r="E25">
        <v>0.79</v>
      </c>
      <c r="F25">
        <v>0.81569999999999998</v>
      </c>
      <c r="G25">
        <v>1</v>
      </c>
      <c r="H25">
        <v>0.41339999999999999</v>
      </c>
      <c r="I25" t="s">
        <v>193</v>
      </c>
    </row>
    <row r="26" spans="1:9" x14ac:dyDescent="0.45">
      <c r="A26" t="s">
        <v>17</v>
      </c>
      <c r="B26" t="s">
        <v>18</v>
      </c>
      <c r="C26">
        <v>87.28</v>
      </c>
      <c r="D26">
        <v>0.7742</v>
      </c>
      <c r="E26">
        <v>0.77659999999999996</v>
      </c>
      <c r="F26">
        <v>0.81569999999999998</v>
      </c>
      <c r="G26">
        <v>1</v>
      </c>
      <c r="H26">
        <v>0.3926</v>
      </c>
      <c r="I26" t="s">
        <v>194</v>
      </c>
    </row>
    <row r="27" spans="1:9" x14ac:dyDescent="0.45">
      <c r="A27" t="s">
        <v>12</v>
      </c>
      <c r="B27" t="s">
        <v>126</v>
      </c>
      <c r="C27">
        <v>86.92</v>
      </c>
      <c r="D27">
        <v>0.8034</v>
      </c>
      <c r="E27">
        <v>0.82830000000000004</v>
      </c>
      <c r="F27">
        <v>0.73899999999999999</v>
      </c>
      <c r="G27">
        <v>1</v>
      </c>
      <c r="H27">
        <v>0.29389999999999999</v>
      </c>
      <c r="I27" t="s">
        <v>195</v>
      </c>
    </row>
    <row r="28" spans="1:9" x14ac:dyDescent="0.45">
      <c r="A28" t="s">
        <v>69</v>
      </c>
      <c r="B28" t="s">
        <v>18</v>
      </c>
      <c r="C28">
        <v>68.3</v>
      </c>
      <c r="D28">
        <v>0.70760000000000001</v>
      </c>
      <c r="E28">
        <v>0.69020000000000004</v>
      </c>
      <c r="F28">
        <v>1</v>
      </c>
      <c r="G28">
        <v>1</v>
      </c>
      <c r="H28">
        <v>0.33660000000000001</v>
      </c>
      <c r="I28" t="s">
        <v>192</v>
      </c>
    </row>
    <row r="29" spans="1:9" x14ac:dyDescent="0.45">
      <c r="A29" t="s">
        <v>72</v>
      </c>
      <c r="B29" t="s">
        <v>18</v>
      </c>
      <c r="C29">
        <v>68.22</v>
      </c>
      <c r="D29">
        <v>0.70540000000000003</v>
      </c>
      <c r="E29">
        <v>0.69630000000000003</v>
      </c>
      <c r="F29">
        <v>1</v>
      </c>
      <c r="G29">
        <v>1</v>
      </c>
      <c r="H29">
        <v>0.31030000000000002</v>
      </c>
      <c r="I29" t="s">
        <v>192</v>
      </c>
    </row>
    <row r="30" spans="1:9" x14ac:dyDescent="0.45">
      <c r="A30" t="s">
        <v>71</v>
      </c>
      <c r="B30" t="s">
        <v>18</v>
      </c>
      <c r="C30">
        <v>68.22</v>
      </c>
      <c r="D30">
        <v>0.70550000000000002</v>
      </c>
      <c r="E30">
        <v>0.67330000000000001</v>
      </c>
      <c r="F30">
        <v>1</v>
      </c>
      <c r="G30">
        <v>1</v>
      </c>
      <c r="H30">
        <v>0.35659999999999997</v>
      </c>
      <c r="I30" t="s">
        <v>192</v>
      </c>
    </row>
    <row r="31" spans="1:9" x14ac:dyDescent="0.45">
      <c r="A31" t="s">
        <v>74</v>
      </c>
      <c r="B31" t="s">
        <v>18</v>
      </c>
      <c r="C31">
        <v>67.989999999999995</v>
      </c>
      <c r="D31">
        <v>0.69979999999999998</v>
      </c>
      <c r="E31">
        <v>0.68769999999999998</v>
      </c>
      <c r="F31">
        <v>1</v>
      </c>
      <c r="G31">
        <v>1</v>
      </c>
      <c r="H31">
        <v>0.28989999999999999</v>
      </c>
      <c r="I31" t="s">
        <v>192</v>
      </c>
    </row>
    <row r="32" spans="1:9" x14ac:dyDescent="0.45">
      <c r="A32" t="s">
        <v>77</v>
      </c>
      <c r="B32" t="s">
        <v>18</v>
      </c>
      <c r="C32">
        <v>67.959999999999994</v>
      </c>
      <c r="D32">
        <v>0.69899999999999995</v>
      </c>
      <c r="E32">
        <v>0.65280000000000005</v>
      </c>
      <c r="F32">
        <v>1</v>
      </c>
      <c r="G32">
        <v>1</v>
      </c>
      <c r="H32">
        <v>0.3543</v>
      </c>
      <c r="I32" t="s">
        <v>192</v>
      </c>
    </row>
    <row r="33" spans="1:9" x14ac:dyDescent="0.45">
      <c r="A33" t="s">
        <v>76</v>
      </c>
      <c r="B33" t="s">
        <v>18</v>
      </c>
      <c r="C33">
        <v>67.959999999999994</v>
      </c>
      <c r="D33">
        <v>0.69910000000000005</v>
      </c>
      <c r="E33">
        <v>0.68020000000000003</v>
      </c>
      <c r="F33">
        <v>1</v>
      </c>
      <c r="G33">
        <v>1</v>
      </c>
      <c r="H33">
        <v>0.30059999999999998</v>
      </c>
      <c r="I33" t="s">
        <v>192</v>
      </c>
    </row>
    <row r="34" spans="1:9" x14ac:dyDescent="0.45">
      <c r="A34" t="s">
        <v>78</v>
      </c>
      <c r="B34" t="s">
        <v>18</v>
      </c>
      <c r="C34">
        <v>67.92</v>
      </c>
      <c r="D34">
        <v>0.69810000000000005</v>
      </c>
      <c r="E34">
        <v>0.6643</v>
      </c>
      <c r="F34">
        <v>1</v>
      </c>
      <c r="G34">
        <v>1</v>
      </c>
      <c r="H34">
        <v>0.32529999999999998</v>
      </c>
      <c r="I34" t="s">
        <v>192</v>
      </c>
    </row>
    <row r="35" spans="1:9" x14ac:dyDescent="0.45">
      <c r="A35" t="s">
        <v>79</v>
      </c>
      <c r="B35" t="s">
        <v>18</v>
      </c>
      <c r="C35">
        <v>67.83</v>
      </c>
      <c r="D35">
        <v>0.69579999999999997</v>
      </c>
      <c r="E35">
        <v>0.65690000000000004</v>
      </c>
      <c r="F35">
        <v>1</v>
      </c>
      <c r="G35">
        <v>1</v>
      </c>
      <c r="H35">
        <v>0.32479999999999998</v>
      </c>
      <c r="I35" t="s">
        <v>192</v>
      </c>
    </row>
    <row r="36" spans="1:9" x14ac:dyDescent="0.45">
      <c r="A36" t="s">
        <v>80</v>
      </c>
      <c r="B36" t="s">
        <v>18</v>
      </c>
      <c r="C36">
        <v>67.75</v>
      </c>
      <c r="D36">
        <v>0.69379999999999997</v>
      </c>
      <c r="E36">
        <v>0.68340000000000001</v>
      </c>
      <c r="F36">
        <v>1</v>
      </c>
      <c r="G36">
        <v>1</v>
      </c>
      <c r="H36">
        <v>0.25850000000000001</v>
      </c>
      <c r="I36" t="s">
        <v>192</v>
      </c>
    </row>
    <row r="37" spans="1:9" x14ac:dyDescent="0.45">
      <c r="A37" t="s">
        <v>81</v>
      </c>
      <c r="B37" t="s">
        <v>18</v>
      </c>
      <c r="C37">
        <v>67.739999999999995</v>
      </c>
      <c r="D37">
        <v>0.69359999999999999</v>
      </c>
      <c r="E37">
        <v>0.64490000000000003</v>
      </c>
      <c r="F37">
        <v>1</v>
      </c>
      <c r="G37">
        <v>1</v>
      </c>
      <c r="H37">
        <v>0.33450000000000002</v>
      </c>
      <c r="I37" t="s">
        <v>192</v>
      </c>
    </row>
    <row r="38" spans="1:9" x14ac:dyDescent="0.45">
      <c r="A38" t="s">
        <v>82</v>
      </c>
      <c r="B38" t="s">
        <v>18</v>
      </c>
      <c r="C38">
        <v>67.739999999999995</v>
      </c>
      <c r="D38">
        <v>0.69340000000000002</v>
      </c>
      <c r="E38">
        <v>0.65800000000000003</v>
      </c>
      <c r="F38">
        <v>1</v>
      </c>
      <c r="G38">
        <v>1</v>
      </c>
      <c r="H38">
        <v>0.30640000000000001</v>
      </c>
      <c r="I38" t="s">
        <v>192</v>
      </c>
    </row>
    <row r="39" spans="1:9" x14ac:dyDescent="0.45">
      <c r="A39" t="s">
        <v>83</v>
      </c>
      <c r="B39" t="s">
        <v>18</v>
      </c>
      <c r="C39">
        <v>67.69</v>
      </c>
      <c r="D39">
        <v>0.69220000000000004</v>
      </c>
      <c r="E39">
        <v>0.63260000000000005</v>
      </c>
      <c r="F39">
        <v>1</v>
      </c>
      <c r="G39">
        <v>1</v>
      </c>
      <c r="H39">
        <v>0.34920000000000001</v>
      </c>
      <c r="I39" t="s">
        <v>192</v>
      </c>
    </row>
    <row r="40" spans="1:9" x14ac:dyDescent="0.45">
      <c r="A40" t="s">
        <v>84</v>
      </c>
      <c r="B40" t="s">
        <v>18</v>
      </c>
      <c r="C40">
        <v>67.599999999999994</v>
      </c>
      <c r="D40">
        <v>0.69</v>
      </c>
      <c r="E40">
        <v>0.66700000000000004</v>
      </c>
      <c r="F40">
        <v>1</v>
      </c>
      <c r="G40">
        <v>1</v>
      </c>
      <c r="H40">
        <v>0.26569999999999999</v>
      </c>
      <c r="I40" t="s">
        <v>192</v>
      </c>
    </row>
    <row r="41" spans="1:9" x14ac:dyDescent="0.45">
      <c r="A41" t="s">
        <v>85</v>
      </c>
      <c r="B41" t="s">
        <v>18</v>
      </c>
      <c r="C41">
        <v>67.569999999999993</v>
      </c>
      <c r="D41">
        <v>0.68930000000000002</v>
      </c>
      <c r="E41">
        <v>0.64080000000000004</v>
      </c>
      <c r="F41">
        <v>1</v>
      </c>
      <c r="G41">
        <v>1</v>
      </c>
      <c r="H41">
        <v>0.31380000000000002</v>
      </c>
      <c r="I41" t="s">
        <v>192</v>
      </c>
    </row>
    <row r="42" spans="1:9" x14ac:dyDescent="0.45">
      <c r="A42" t="s">
        <v>86</v>
      </c>
      <c r="B42" t="s">
        <v>18</v>
      </c>
      <c r="C42">
        <v>67.489999999999995</v>
      </c>
      <c r="D42">
        <v>0.68730000000000002</v>
      </c>
      <c r="E42">
        <v>0.61909999999999998</v>
      </c>
      <c r="F42">
        <v>1</v>
      </c>
      <c r="G42">
        <v>1</v>
      </c>
      <c r="H42">
        <v>0.34399999999999997</v>
      </c>
      <c r="I42" t="s">
        <v>192</v>
      </c>
    </row>
    <row r="43" spans="1:9" x14ac:dyDescent="0.45">
      <c r="A43" t="s">
        <v>87</v>
      </c>
      <c r="B43" t="s">
        <v>18</v>
      </c>
      <c r="C43">
        <v>67.48</v>
      </c>
      <c r="D43">
        <v>0.68689999999999996</v>
      </c>
      <c r="E43">
        <v>0.63470000000000004</v>
      </c>
      <c r="F43">
        <v>1</v>
      </c>
      <c r="G43">
        <v>1</v>
      </c>
      <c r="H43">
        <v>0.31009999999999999</v>
      </c>
      <c r="I43" t="s">
        <v>192</v>
      </c>
    </row>
    <row r="44" spans="1:9" x14ac:dyDescent="0.45">
      <c r="A44" t="s">
        <v>89</v>
      </c>
      <c r="B44" t="s">
        <v>18</v>
      </c>
      <c r="C44">
        <v>67.459999999999994</v>
      </c>
      <c r="D44">
        <v>0.68640000000000001</v>
      </c>
      <c r="E44">
        <v>0.62570000000000003</v>
      </c>
      <c r="F44">
        <v>1</v>
      </c>
      <c r="G44">
        <v>1</v>
      </c>
      <c r="H44">
        <v>0.32479999999999998</v>
      </c>
      <c r="I44" t="s">
        <v>192</v>
      </c>
    </row>
    <row r="45" spans="1:9" x14ac:dyDescent="0.45">
      <c r="A45" t="s">
        <v>88</v>
      </c>
      <c r="B45" t="s">
        <v>18</v>
      </c>
      <c r="C45">
        <v>67.459999999999994</v>
      </c>
      <c r="D45">
        <v>0.6865</v>
      </c>
      <c r="E45">
        <v>0.62129999999999996</v>
      </c>
      <c r="F45">
        <v>1</v>
      </c>
      <c r="G45">
        <v>1</v>
      </c>
      <c r="H45">
        <v>0.3342</v>
      </c>
      <c r="I45" t="s">
        <v>192</v>
      </c>
    </row>
    <row r="46" spans="1:9" x14ac:dyDescent="0.45">
      <c r="A46" t="s">
        <v>13</v>
      </c>
      <c r="B46" t="s">
        <v>18</v>
      </c>
      <c r="C46">
        <v>65.36</v>
      </c>
      <c r="D46">
        <v>0.76449999999999996</v>
      </c>
      <c r="E46">
        <v>0.68540000000000001</v>
      </c>
      <c r="F46">
        <v>0.73899999999999999</v>
      </c>
      <c r="G46">
        <v>1</v>
      </c>
      <c r="H46">
        <v>0.3201</v>
      </c>
      <c r="I46" t="s">
        <v>196</v>
      </c>
    </row>
    <row r="47" spans="1:9" x14ac:dyDescent="0.45">
      <c r="A47" t="s">
        <v>90</v>
      </c>
      <c r="B47" t="s">
        <v>127</v>
      </c>
      <c r="C47">
        <v>43.77</v>
      </c>
      <c r="D47">
        <v>0.46920000000000001</v>
      </c>
      <c r="E47">
        <v>0.33750000000000002</v>
      </c>
      <c r="F47">
        <v>1</v>
      </c>
      <c r="G47">
        <v>0.25</v>
      </c>
      <c r="H47">
        <v>0.45319999999999999</v>
      </c>
      <c r="I47" t="s">
        <v>197</v>
      </c>
    </row>
    <row r="48" spans="1:9" x14ac:dyDescent="0.45">
      <c r="A48" t="s">
        <v>91</v>
      </c>
      <c r="B48" t="s">
        <v>127</v>
      </c>
      <c r="C48">
        <v>43.32</v>
      </c>
      <c r="D48">
        <v>0.45800000000000002</v>
      </c>
      <c r="E48">
        <v>0.26840000000000003</v>
      </c>
      <c r="F48">
        <v>1</v>
      </c>
      <c r="G48">
        <v>0.25</v>
      </c>
      <c r="H48">
        <v>0.51629999999999998</v>
      </c>
      <c r="I48" t="s">
        <v>198</v>
      </c>
    </row>
    <row r="49" spans="1:9" x14ac:dyDescent="0.45">
      <c r="A49" t="s">
        <v>92</v>
      </c>
      <c r="B49" t="s">
        <v>127</v>
      </c>
      <c r="C49">
        <v>43.2</v>
      </c>
      <c r="D49">
        <v>0.45490000000000003</v>
      </c>
      <c r="E49">
        <v>0.33439999999999998</v>
      </c>
      <c r="F49">
        <v>1</v>
      </c>
      <c r="G49">
        <v>0.25</v>
      </c>
      <c r="H49">
        <v>0.3639</v>
      </c>
      <c r="I49" t="s">
        <v>199</v>
      </c>
    </row>
    <row r="50" spans="1:9" x14ac:dyDescent="0.45">
      <c r="A50" t="s">
        <v>93</v>
      </c>
      <c r="B50" t="s">
        <v>127</v>
      </c>
      <c r="C50">
        <v>43.1</v>
      </c>
      <c r="D50">
        <v>0.4526</v>
      </c>
      <c r="E50">
        <v>0.33779999999999999</v>
      </c>
      <c r="F50">
        <v>1</v>
      </c>
      <c r="G50">
        <v>0.25</v>
      </c>
      <c r="H50">
        <v>0.34179999999999999</v>
      </c>
      <c r="I50" t="s">
        <v>199</v>
      </c>
    </row>
    <row r="51" spans="1:9" x14ac:dyDescent="0.45">
      <c r="A51" t="s">
        <v>94</v>
      </c>
      <c r="B51" t="s">
        <v>127</v>
      </c>
      <c r="C51">
        <v>42.99</v>
      </c>
      <c r="D51">
        <v>0.44969999999999999</v>
      </c>
      <c r="E51">
        <v>0.26679999999999998</v>
      </c>
      <c r="F51">
        <v>1</v>
      </c>
      <c r="G51">
        <v>0.25</v>
      </c>
      <c r="H51">
        <v>0.46460000000000001</v>
      </c>
      <c r="I51" t="s">
        <v>198</v>
      </c>
    </row>
    <row r="52" spans="1:9" x14ac:dyDescent="0.45">
      <c r="A52" t="s">
        <v>95</v>
      </c>
      <c r="B52" t="s">
        <v>127</v>
      </c>
      <c r="C52">
        <v>42.92</v>
      </c>
      <c r="D52">
        <v>0.44790000000000002</v>
      </c>
      <c r="E52">
        <v>0.3115</v>
      </c>
      <c r="F52">
        <v>1</v>
      </c>
      <c r="G52">
        <v>0.25</v>
      </c>
      <c r="H52">
        <v>0.36330000000000001</v>
      </c>
      <c r="I52" t="s">
        <v>199</v>
      </c>
    </row>
    <row r="53" spans="1:9" x14ac:dyDescent="0.45">
      <c r="A53" t="s">
        <v>96</v>
      </c>
      <c r="B53" t="s">
        <v>127</v>
      </c>
      <c r="C53">
        <v>42.8</v>
      </c>
      <c r="D53">
        <v>0.44500000000000001</v>
      </c>
      <c r="E53">
        <v>0.22059999999999999</v>
      </c>
      <c r="F53">
        <v>1</v>
      </c>
      <c r="G53">
        <v>0.25</v>
      </c>
      <c r="H53">
        <v>0.5252</v>
      </c>
      <c r="I53" t="s">
        <v>198</v>
      </c>
    </row>
    <row r="54" spans="1:9" x14ac:dyDescent="0.45">
      <c r="A54" t="s">
        <v>97</v>
      </c>
      <c r="B54" t="s">
        <v>127</v>
      </c>
      <c r="C54">
        <v>42.77</v>
      </c>
      <c r="D54">
        <v>0.44429999999999997</v>
      </c>
      <c r="E54">
        <v>0.3135</v>
      </c>
      <c r="F54">
        <v>1</v>
      </c>
      <c r="G54">
        <v>0.25</v>
      </c>
      <c r="H54">
        <v>0.33529999999999999</v>
      </c>
      <c r="I54" t="s">
        <v>199</v>
      </c>
    </row>
    <row r="55" spans="1:9" x14ac:dyDescent="0.45">
      <c r="A55" t="s">
        <v>98</v>
      </c>
      <c r="B55" t="s">
        <v>127</v>
      </c>
      <c r="C55">
        <v>42.58</v>
      </c>
      <c r="D55">
        <v>0.43959999999999999</v>
      </c>
      <c r="E55">
        <v>0.30630000000000002</v>
      </c>
      <c r="F55">
        <v>1</v>
      </c>
      <c r="G55">
        <v>0.25</v>
      </c>
      <c r="H55">
        <v>0.31830000000000003</v>
      </c>
      <c r="I55" t="s">
        <v>199</v>
      </c>
    </row>
    <row r="56" spans="1:9" x14ac:dyDescent="0.45">
      <c r="A56" t="s">
        <v>99</v>
      </c>
      <c r="B56" t="s">
        <v>127</v>
      </c>
      <c r="C56">
        <v>42.57</v>
      </c>
      <c r="D56">
        <v>0.43930000000000002</v>
      </c>
      <c r="E56">
        <v>0.27679999999999999</v>
      </c>
      <c r="F56">
        <v>1</v>
      </c>
      <c r="G56">
        <v>0.25</v>
      </c>
      <c r="H56">
        <v>0.375</v>
      </c>
      <c r="I56" t="s">
        <v>200</v>
      </c>
    </row>
    <row r="57" spans="1:9" x14ac:dyDescent="0.45">
      <c r="A57" t="s">
        <v>100</v>
      </c>
      <c r="B57" t="s">
        <v>127</v>
      </c>
      <c r="C57">
        <v>42.45</v>
      </c>
      <c r="D57">
        <v>0.43630000000000002</v>
      </c>
      <c r="E57">
        <v>0.28970000000000001</v>
      </c>
      <c r="F57">
        <v>1</v>
      </c>
      <c r="G57">
        <v>0.25</v>
      </c>
      <c r="H57">
        <v>0.32940000000000003</v>
      </c>
      <c r="I57" t="s">
        <v>200</v>
      </c>
    </row>
    <row r="58" spans="1:9" x14ac:dyDescent="0.45">
      <c r="A58" t="s">
        <v>101</v>
      </c>
      <c r="B58" t="s">
        <v>127</v>
      </c>
      <c r="C58">
        <v>42.38</v>
      </c>
      <c r="D58">
        <v>0.43459999999999999</v>
      </c>
      <c r="E58">
        <v>0.26989999999999997</v>
      </c>
      <c r="F58">
        <v>1</v>
      </c>
      <c r="G58">
        <v>0.25</v>
      </c>
      <c r="H58">
        <v>0.35770000000000002</v>
      </c>
      <c r="I58" t="s">
        <v>200</v>
      </c>
    </row>
    <row r="59" spans="1:9" x14ac:dyDescent="0.45">
      <c r="A59" t="s">
        <v>102</v>
      </c>
      <c r="B59" t="s">
        <v>127</v>
      </c>
      <c r="C59">
        <v>42.28</v>
      </c>
      <c r="D59">
        <v>0.43190000000000001</v>
      </c>
      <c r="E59">
        <v>0.26790000000000003</v>
      </c>
      <c r="F59">
        <v>1</v>
      </c>
      <c r="G59">
        <v>0.25</v>
      </c>
      <c r="H59">
        <v>0.34339999999999998</v>
      </c>
      <c r="I59" t="s">
        <v>200</v>
      </c>
    </row>
    <row r="60" spans="1:9" x14ac:dyDescent="0.45">
      <c r="A60" t="s">
        <v>103</v>
      </c>
      <c r="B60" t="s">
        <v>127</v>
      </c>
      <c r="C60">
        <v>42.25</v>
      </c>
      <c r="D60">
        <v>0.43120000000000003</v>
      </c>
      <c r="E60">
        <v>0.27460000000000001</v>
      </c>
      <c r="F60">
        <v>1</v>
      </c>
      <c r="G60">
        <v>0.25</v>
      </c>
      <c r="H60">
        <v>0.32519999999999999</v>
      </c>
      <c r="I60" t="s">
        <v>200</v>
      </c>
    </row>
    <row r="61" spans="1:9" x14ac:dyDescent="0.45">
      <c r="A61" t="s">
        <v>104</v>
      </c>
      <c r="B61" t="s">
        <v>127</v>
      </c>
      <c r="C61">
        <v>41.93</v>
      </c>
      <c r="D61">
        <v>0.42320000000000002</v>
      </c>
      <c r="E61">
        <v>0.2382</v>
      </c>
      <c r="F61">
        <v>1</v>
      </c>
      <c r="G61">
        <v>0.25</v>
      </c>
      <c r="H61">
        <v>0.34510000000000002</v>
      </c>
      <c r="I61" t="s">
        <v>200</v>
      </c>
    </row>
    <row r="62" spans="1:9" x14ac:dyDescent="0.45">
      <c r="A62" t="s">
        <v>105</v>
      </c>
      <c r="B62" t="s">
        <v>127</v>
      </c>
      <c r="C62">
        <v>41.9</v>
      </c>
      <c r="D62">
        <v>0.42249999999999999</v>
      </c>
      <c r="E62">
        <v>0.21740000000000001</v>
      </c>
      <c r="F62">
        <v>1</v>
      </c>
      <c r="G62">
        <v>0.25</v>
      </c>
      <c r="H62">
        <v>0.38179999999999997</v>
      </c>
      <c r="I62" t="s">
        <v>200</v>
      </c>
    </row>
    <row r="63" spans="1:9" x14ac:dyDescent="0.45">
      <c r="A63" t="s">
        <v>106</v>
      </c>
      <c r="B63" t="s">
        <v>127</v>
      </c>
      <c r="C63">
        <v>41.88</v>
      </c>
      <c r="D63">
        <v>0.42209999999999998</v>
      </c>
      <c r="E63">
        <v>0.22689999999999999</v>
      </c>
      <c r="F63">
        <v>1</v>
      </c>
      <c r="G63">
        <v>0.25</v>
      </c>
      <c r="H63">
        <v>0.36049999999999999</v>
      </c>
      <c r="I63" t="s">
        <v>200</v>
      </c>
    </row>
    <row r="64" spans="1:9" x14ac:dyDescent="0.45">
      <c r="A64" t="s">
        <v>107</v>
      </c>
      <c r="B64" t="s">
        <v>127</v>
      </c>
      <c r="C64">
        <v>41.84</v>
      </c>
      <c r="D64">
        <v>0.42109999999999997</v>
      </c>
      <c r="E64">
        <v>0.22420000000000001</v>
      </c>
      <c r="F64">
        <v>1</v>
      </c>
      <c r="G64">
        <v>0.25</v>
      </c>
      <c r="H64">
        <v>0.3589</v>
      </c>
      <c r="I64" t="s">
        <v>200</v>
      </c>
    </row>
    <row r="65" spans="1:9" x14ac:dyDescent="0.45">
      <c r="A65" t="s">
        <v>108</v>
      </c>
      <c r="B65" t="s">
        <v>127</v>
      </c>
      <c r="C65">
        <v>41.77</v>
      </c>
      <c r="D65">
        <v>0.41920000000000002</v>
      </c>
      <c r="E65">
        <v>0.218</v>
      </c>
      <c r="F65">
        <v>1</v>
      </c>
      <c r="G65">
        <v>0.25</v>
      </c>
      <c r="H65">
        <v>0.35870000000000002</v>
      </c>
      <c r="I65" t="s">
        <v>200</v>
      </c>
    </row>
    <row r="66" spans="1:9" x14ac:dyDescent="0.45">
      <c r="A66" t="s">
        <v>109</v>
      </c>
      <c r="B66" t="s">
        <v>127</v>
      </c>
      <c r="C66">
        <v>41.71</v>
      </c>
      <c r="D66">
        <v>0.4178</v>
      </c>
      <c r="E66">
        <v>0.21729999999999999</v>
      </c>
      <c r="F66">
        <v>1</v>
      </c>
      <c r="G66">
        <v>0.25</v>
      </c>
      <c r="H66">
        <v>0.35089999999999999</v>
      </c>
      <c r="I66" t="s">
        <v>200</v>
      </c>
    </row>
    <row r="67" spans="1:9" x14ac:dyDescent="0.45">
      <c r="A67" t="s">
        <v>110</v>
      </c>
      <c r="B67" t="s">
        <v>127</v>
      </c>
      <c r="C67">
        <v>41.65</v>
      </c>
      <c r="D67">
        <v>0.4163</v>
      </c>
      <c r="E67">
        <v>0.21260000000000001</v>
      </c>
      <c r="F67">
        <v>1</v>
      </c>
      <c r="G67">
        <v>0.25</v>
      </c>
      <c r="H67">
        <v>0.35</v>
      </c>
      <c r="I67" t="s">
        <v>200</v>
      </c>
    </row>
    <row r="68" spans="1:9" x14ac:dyDescent="0.45">
      <c r="A68" t="s">
        <v>111</v>
      </c>
      <c r="B68" t="s">
        <v>127</v>
      </c>
      <c r="C68">
        <v>41.65</v>
      </c>
      <c r="D68">
        <v>0.41620000000000001</v>
      </c>
      <c r="E68">
        <v>0.19689999999999999</v>
      </c>
      <c r="F68">
        <v>1</v>
      </c>
      <c r="G68">
        <v>0.25</v>
      </c>
      <c r="H68">
        <v>0.38100000000000001</v>
      </c>
      <c r="I68" t="s">
        <v>200</v>
      </c>
    </row>
    <row r="69" spans="1:9" x14ac:dyDescent="0.45">
      <c r="A69" t="s">
        <v>112</v>
      </c>
      <c r="B69" t="s">
        <v>127</v>
      </c>
      <c r="C69">
        <v>41.6</v>
      </c>
      <c r="D69">
        <v>0.41489999999999999</v>
      </c>
      <c r="E69">
        <v>0.2084</v>
      </c>
      <c r="F69">
        <v>1</v>
      </c>
      <c r="G69">
        <v>0.25</v>
      </c>
      <c r="H69">
        <v>0.34899999999999998</v>
      </c>
      <c r="I69" t="s">
        <v>200</v>
      </c>
    </row>
    <row r="70" spans="1:9" x14ac:dyDescent="0.45">
      <c r="A70" t="s">
        <v>113</v>
      </c>
      <c r="B70" t="s">
        <v>127</v>
      </c>
      <c r="C70">
        <v>41.51</v>
      </c>
      <c r="D70">
        <v>0.4128</v>
      </c>
      <c r="E70">
        <v>0.21110000000000001</v>
      </c>
      <c r="F70">
        <v>1</v>
      </c>
      <c r="G70">
        <v>0.25</v>
      </c>
      <c r="H70">
        <v>0.32990000000000003</v>
      </c>
      <c r="I70" t="s">
        <v>200</v>
      </c>
    </row>
    <row r="71" spans="1:9" x14ac:dyDescent="0.45">
      <c r="A71" t="s">
        <v>114</v>
      </c>
      <c r="B71" t="s">
        <v>127</v>
      </c>
      <c r="C71">
        <v>41.46</v>
      </c>
      <c r="D71">
        <v>0.41160000000000002</v>
      </c>
      <c r="E71">
        <v>0.19500000000000001</v>
      </c>
      <c r="F71">
        <v>1</v>
      </c>
      <c r="G71">
        <v>0.25</v>
      </c>
      <c r="H71">
        <v>0.35389999999999999</v>
      </c>
      <c r="I71" t="s">
        <v>200</v>
      </c>
    </row>
    <row r="72" spans="1:9" x14ac:dyDescent="0.45">
      <c r="A72" t="s">
        <v>115</v>
      </c>
      <c r="B72" t="s">
        <v>127</v>
      </c>
      <c r="C72">
        <v>41.4</v>
      </c>
      <c r="D72">
        <v>0.41</v>
      </c>
      <c r="E72">
        <v>0.20100000000000001</v>
      </c>
      <c r="F72">
        <v>1</v>
      </c>
      <c r="G72">
        <v>0.25</v>
      </c>
      <c r="H72">
        <v>0.33139999999999997</v>
      </c>
      <c r="I72" t="s">
        <v>200</v>
      </c>
    </row>
    <row r="73" spans="1:9" x14ac:dyDescent="0.45">
      <c r="A73" t="s">
        <v>116</v>
      </c>
      <c r="B73" t="s">
        <v>127</v>
      </c>
      <c r="C73">
        <v>41.37</v>
      </c>
      <c r="D73">
        <v>0.40920000000000001</v>
      </c>
      <c r="E73">
        <v>0.20180000000000001</v>
      </c>
      <c r="F73">
        <v>1</v>
      </c>
      <c r="G73">
        <v>0.25</v>
      </c>
      <c r="H73">
        <v>0.3241</v>
      </c>
      <c r="I73" t="s">
        <v>200</v>
      </c>
    </row>
    <row r="74" spans="1:9" x14ac:dyDescent="0.45">
      <c r="A74" t="s">
        <v>117</v>
      </c>
      <c r="B74" t="s">
        <v>127</v>
      </c>
      <c r="C74">
        <v>41.31</v>
      </c>
      <c r="D74">
        <v>0.40770000000000001</v>
      </c>
      <c r="E74">
        <v>0.23250000000000001</v>
      </c>
      <c r="F74">
        <v>1</v>
      </c>
      <c r="G74">
        <v>0.25</v>
      </c>
      <c r="H74">
        <v>0.253</v>
      </c>
      <c r="I74" t="s">
        <v>200</v>
      </c>
    </row>
    <row r="75" spans="1:9" x14ac:dyDescent="0.45">
      <c r="A75" t="s">
        <v>118</v>
      </c>
      <c r="B75" t="s">
        <v>127</v>
      </c>
      <c r="C75">
        <v>41.29</v>
      </c>
      <c r="D75">
        <v>0.4073</v>
      </c>
      <c r="E75">
        <v>0.15720000000000001</v>
      </c>
      <c r="F75">
        <v>1</v>
      </c>
      <c r="G75">
        <v>0.25</v>
      </c>
      <c r="H75">
        <v>0.4012</v>
      </c>
      <c r="I75" t="s">
        <v>198</v>
      </c>
    </row>
    <row r="76" spans="1:9" x14ac:dyDescent="0.45">
      <c r="A76" t="s">
        <v>119</v>
      </c>
      <c r="B76" t="s">
        <v>127</v>
      </c>
      <c r="C76">
        <v>41.24</v>
      </c>
      <c r="D76">
        <v>0.40589999999999998</v>
      </c>
      <c r="E76">
        <v>0.18229999999999999</v>
      </c>
      <c r="F76">
        <v>1</v>
      </c>
      <c r="G76">
        <v>0.25</v>
      </c>
      <c r="H76">
        <v>0.34160000000000001</v>
      </c>
      <c r="I76" t="s">
        <v>200</v>
      </c>
    </row>
    <row r="77" spans="1:9" x14ac:dyDescent="0.45">
      <c r="A77" t="s">
        <v>120</v>
      </c>
      <c r="B77" t="s">
        <v>127</v>
      </c>
      <c r="C77">
        <v>41.09</v>
      </c>
      <c r="D77">
        <v>0.40229999999999999</v>
      </c>
      <c r="E77">
        <v>0.15570000000000001</v>
      </c>
      <c r="F77">
        <v>1</v>
      </c>
      <c r="G77">
        <v>0.25</v>
      </c>
      <c r="H77">
        <v>0.3705</v>
      </c>
      <c r="I77" t="s">
        <v>200</v>
      </c>
    </row>
    <row r="78" spans="1:9" x14ac:dyDescent="0.45">
      <c r="A78" t="s">
        <v>121</v>
      </c>
      <c r="B78" t="s">
        <v>127</v>
      </c>
      <c r="C78">
        <v>41.08</v>
      </c>
      <c r="D78">
        <v>0.40200000000000002</v>
      </c>
      <c r="E78">
        <v>0.1651</v>
      </c>
      <c r="F78">
        <v>1</v>
      </c>
      <c r="G78">
        <v>0.25</v>
      </c>
      <c r="H78">
        <v>0.35010000000000002</v>
      </c>
      <c r="I78" t="s">
        <v>200</v>
      </c>
    </row>
    <row r="79" spans="1:9" x14ac:dyDescent="0.45">
      <c r="A79" t="s">
        <v>122</v>
      </c>
      <c r="B79" t="s">
        <v>127</v>
      </c>
      <c r="C79">
        <v>41.07</v>
      </c>
      <c r="D79">
        <v>0.40179999999999999</v>
      </c>
      <c r="E79">
        <v>0.18</v>
      </c>
      <c r="F79">
        <v>1</v>
      </c>
      <c r="G79">
        <v>0.25</v>
      </c>
      <c r="H79">
        <v>0.31850000000000001</v>
      </c>
      <c r="I79" t="s">
        <v>200</v>
      </c>
    </row>
    <row r="80" spans="1:9" x14ac:dyDescent="0.45">
      <c r="A80" t="s">
        <v>123</v>
      </c>
      <c r="B80" t="s">
        <v>128</v>
      </c>
      <c r="C80">
        <v>40.82</v>
      </c>
      <c r="D80">
        <v>0.39560000000000001</v>
      </c>
      <c r="E80">
        <v>0.14130000000000001</v>
      </c>
      <c r="F80">
        <v>1</v>
      </c>
      <c r="G80">
        <v>0.25</v>
      </c>
      <c r="H80">
        <v>0.3548</v>
      </c>
      <c r="I80" t="s">
        <v>200</v>
      </c>
    </row>
    <row r="81" spans="1:9" x14ac:dyDescent="0.45">
      <c r="A81" t="s">
        <v>124</v>
      </c>
      <c r="B81" t="s">
        <v>128</v>
      </c>
      <c r="C81">
        <v>40.79</v>
      </c>
      <c r="D81">
        <v>0.3947</v>
      </c>
      <c r="E81">
        <v>0.14560000000000001</v>
      </c>
      <c r="F81">
        <v>1</v>
      </c>
      <c r="G81">
        <v>0.25</v>
      </c>
      <c r="H81">
        <v>0.34039999999999998</v>
      </c>
      <c r="I81" t="s">
        <v>200</v>
      </c>
    </row>
    <row r="82" spans="1:9" x14ac:dyDescent="0.45">
      <c r="A82" t="s">
        <v>125</v>
      </c>
      <c r="B82" t="s">
        <v>128</v>
      </c>
      <c r="C82">
        <v>40.75</v>
      </c>
      <c r="D82">
        <v>0.39369999999999999</v>
      </c>
      <c r="E82">
        <v>0.14729999999999999</v>
      </c>
      <c r="F82">
        <v>1</v>
      </c>
      <c r="G82">
        <v>0.25</v>
      </c>
      <c r="H82">
        <v>0.3301</v>
      </c>
      <c r="I82" t="s">
        <v>200</v>
      </c>
    </row>
    <row r="83" spans="1:9" x14ac:dyDescent="0.45">
      <c r="A83" t="s">
        <v>10</v>
      </c>
      <c r="B83" t="s">
        <v>127</v>
      </c>
      <c r="C83">
        <v>40.03</v>
      </c>
      <c r="D83">
        <v>0.4234</v>
      </c>
      <c r="E83">
        <v>0.2883</v>
      </c>
      <c r="F83">
        <v>0.90469999999999995</v>
      </c>
      <c r="G83">
        <v>0.25</v>
      </c>
      <c r="H83">
        <v>0.34110000000000001</v>
      </c>
      <c r="I83" t="s">
        <v>201</v>
      </c>
    </row>
    <row r="84" spans="1:9" x14ac:dyDescent="0.45">
      <c r="A84" t="s">
        <v>15</v>
      </c>
      <c r="B84" t="s">
        <v>127</v>
      </c>
      <c r="C84">
        <v>38.520000000000003</v>
      </c>
      <c r="D84">
        <v>0.43809999999999999</v>
      </c>
      <c r="E84">
        <v>0.26729999999999998</v>
      </c>
      <c r="F84">
        <v>0.79990000000000006</v>
      </c>
      <c r="G84">
        <v>0.25</v>
      </c>
      <c r="H84">
        <v>0.31950000000000001</v>
      </c>
      <c r="I84" t="s">
        <v>202</v>
      </c>
    </row>
    <row r="85" spans="1:9" x14ac:dyDescent="0.45">
      <c r="A85" t="s">
        <v>11</v>
      </c>
      <c r="B85" t="s">
        <v>127</v>
      </c>
      <c r="C85">
        <v>38.49</v>
      </c>
      <c r="D85">
        <v>0.42370000000000002</v>
      </c>
      <c r="E85">
        <v>0.21379999999999999</v>
      </c>
      <c r="F85">
        <v>0.82720000000000005</v>
      </c>
      <c r="G85">
        <v>0.25</v>
      </c>
      <c r="H85">
        <v>0.30299999999999999</v>
      </c>
      <c r="I85" t="s">
        <v>203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"/>
  <sheetViews>
    <sheetView workbookViewId="0"/>
  </sheetViews>
  <sheetFormatPr defaultRowHeight="14.25" x14ac:dyDescent="0.45"/>
  <sheetData>
    <row r="1" spans="1:3" x14ac:dyDescent="0.45">
      <c r="A1" t="s">
        <v>167</v>
      </c>
      <c r="B1" t="s">
        <v>204</v>
      </c>
      <c r="C1" t="s">
        <v>169</v>
      </c>
    </row>
    <row r="2" spans="1:3" x14ac:dyDescent="0.45">
      <c r="A2">
        <v>1</v>
      </c>
      <c r="B2" t="s">
        <v>205</v>
      </c>
      <c r="C2" t="s">
        <v>207</v>
      </c>
    </row>
    <row r="3" spans="1:3" x14ac:dyDescent="0.45">
      <c r="A3">
        <v>2</v>
      </c>
      <c r="B3" t="s">
        <v>206</v>
      </c>
      <c r="C3" t="s">
        <v>208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20"/>
  <sheetViews>
    <sheetView workbookViewId="0"/>
  </sheetViews>
  <sheetFormatPr defaultRowHeight="14.25" x14ac:dyDescent="0.45"/>
  <cols>
    <col min="1" max="1" width="28.33203125" customWidth="1"/>
    <col min="2" max="2" width="40.46484375" customWidth="1"/>
  </cols>
  <sheetData>
    <row r="1" spans="1:2" x14ac:dyDescent="0.45">
      <c r="A1" t="s">
        <v>209</v>
      </c>
      <c r="B1" t="s">
        <v>210</v>
      </c>
    </row>
    <row r="2" spans="1:2" x14ac:dyDescent="0.45">
      <c r="A2" t="s">
        <v>211</v>
      </c>
      <c r="B2">
        <v>0</v>
      </c>
    </row>
    <row r="3" spans="1:2" x14ac:dyDescent="0.45">
      <c r="A3" t="s">
        <v>212</v>
      </c>
      <c r="B3">
        <v>12000</v>
      </c>
    </row>
    <row r="4" spans="1:2" x14ac:dyDescent="0.45">
      <c r="A4" t="s">
        <v>213</v>
      </c>
      <c r="B4">
        <v>12000</v>
      </c>
    </row>
    <row r="5" spans="1:2" x14ac:dyDescent="0.45">
      <c r="A5" t="s">
        <v>214</v>
      </c>
      <c r="B5">
        <v>0</v>
      </c>
    </row>
    <row r="6" spans="1:2" x14ac:dyDescent="0.45">
      <c r="A6" t="s">
        <v>215</v>
      </c>
      <c r="B6">
        <v>27752.34</v>
      </c>
    </row>
    <row r="7" spans="1:2" x14ac:dyDescent="0.45">
      <c r="A7" t="s">
        <v>216</v>
      </c>
      <c r="B7">
        <v>27752.34</v>
      </c>
    </row>
    <row r="8" spans="1:2" x14ac:dyDescent="0.45">
      <c r="A8" t="s">
        <v>217</v>
      </c>
      <c r="B8">
        <v>0</v>
      </c>
    </row>
    <row r="9" spans="1:2" x14ac:dyDescent="0.45">
      <c r="A9" t="s">
        <v>218</v>
      </c>
      <c r="B9">
        <v>100</v>
      </c>
    </row>
    <row r="10" spans="1:2" x14ac:dyDescent="0.45">
      <c r="A10" t="s">
        <v>219</v>
      </c>
      <c r="B10">
        <v>0</v>
      </c>
    </row>
    <row r="11" spans="1:2" x14ac:dyDescent="0.45">
      <c r="A11" t="s">
        <v>220</v>
      </c>
      <c r="B11">
        <v>70</v>
      </c>
    </row>
    <row r="12" spans="1:2" x14ac:dyDescent="0.45">
      <c r="A12" t="s">
        <v>221</v>
      </c>
      <c r="B12">
        <v>19426.64</v>
      </c>
    </row>
    <row r="13" spans="1:2" x14ac:dyDescent="0.45">
      <c r="A13" t="s">
        <v>222</v>
      </c>
      <c r="B13">
        <v>8325.7000000000007</v>
      </c>
    </row>
    <row r="14" spans="1:2" x14ac:dyDescent="0.45">
      <c r="A14" t="s">
        <v>223</v>
      </c>
      <c r="B14">
        <v>8325.7000000000007</v>
      </c>
    </row>
    <row r="15" spans="1:2" x14ac:dyDescent="0.45">
      <c r="A15" t="s">
        <v>224</v>
      </c>
      <c r="B15">
        <v>0</v>
      </c>
    </row>
    <row r="16" spans="1:2" x14ac:dyDescent="0.45">
      <c r="A16" t="s">
        <v>150</v>
      </c>
      <c r="B16">
        <v>0</v>
      </c>
    </row>
    <row r="17" spans="1:2" x14ac:dyDescent="0.45">
      <c r="A17" t="s">
        <v>225</v>
      </c>
      <c r="B17">
        <v>12000</v>
      </c>
    </row>
    <row r="18" spans="1:2" x14ac:dyDescent="0.45">
      <c r="A18" t="s">
        <v>226</v>
      </c>
      <c r="B18">
        <v>8325.7000000000007</v>
      </c>
    </row>
    <row r="19" spans="1:2" x14ac:dyDescent="0.45">
      <c r="A19" t="s">
        <v>227</v>
      </c>
      <c r="B19" t="b">
        <v>1</v>
      </c>
    </row>
    <row r="20" spans="1:2" x14ac:dyDescent="0.45">
      <c r="A20" t="s">
        <v>149</v>
      </c>
      <c r="B20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TRANSACTIONS</vt:lpstr>
      <vt:lpstr>HOLDINGS</vt:lpstr>
      <vt:lpstr>DISPOSAL_LEDGER</vt:lpstr>
      <vt:lpstr>TAX_DASHBOARD</vt:lpstr>
      <vt:lpstr>INVENTORY</vt:lpstr>
      <vt:lpstr>MARKET_INTELLIGENCE</vt:lpstr>
      <vt:lpstr>BUY_RECOMMENDATIONS</vt:lpstr>
      <vt:lpstr>POSITION_SIZING</vt:lpstr>
      <vt:lpstr>SELL_OPTIMISER</vt:lpstr>
      <vt:lpstr>ACTIONS</vt:lpstr>
      <vt:lpstr>SECTOR_EXPOSURE</vt:lpstr>
      <vt:lpstr>STRATEGY_COMPARISON</vt:lpstr>
      <vt:lpstr>TRANSITIONS</vt:lpstr>
      <vt:lpstr>MACRO_REGIME</vt:lpstr>
      <vt:lpstr>OPPORTUNITY_LEDGER</vt:lpstr>
      <vt:lpstr>CONTEXTUAL_DECISIONS</vt:lpstr>
      <vt:lpstr>CAPITAL_SUMMARY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Husain Natha</cp:lastModifiedBy>
  <dcterms:created xsi:type="dcterms:W3CDTF">2026-06-08T18:30:16Z</dcterms:created>
  <dcterms:modified xsi:type="dcterms:W3CDTF">2026-06-08T18:45:46Z</dcterms:modified>
</cp:coreProperties>
</file>