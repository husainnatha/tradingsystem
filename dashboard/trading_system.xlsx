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usainnatha\tradingsystem\dashboard\"/>
    </mc:Choice>
  </mc:AlternateContent>
  <xr:revisionPtr revIDLastSave="0" documentId="13_ncr:1_{1C1874A1-4E56-4C53-AB2D-3F2C9A2A05BF}" xr6:coauthVersionLast="47" xr6:coauthVersionMax="47" xr10:uidLastSave="{00000000-0000-0000-0000-000000000000}"/>
  <bookViews>
    <workbookView xWindow="-98" yWindow="-98" windowWidth="21795" windowHeight="12975" firstSheet="2" activeTab="5" xr2:uid="{00000000-000D-0000-FFFF-FFFF00000000}"/>
  </bookViews>
  <sheets>
    <sheet name="CONTRIBUTIONS" sheetId="11" r:id="rId1"/>
    <sheet name="CASH_FLOW" sheetId="10" r:id="rId2"/>
    <sheet name="INPUT_TRANSACTIONS" sheetId="1" r:id="rId3"/>
    <sheet name="PORTFOLIO_HISTORY" sheetId="12" r:id="rId4"/>
    <sheet name="watchlist" sheetId="2" r:id="rId5"/>
    <sheet name="holdings" sheetId="6" r:id="rId6"/>
    <sheet name="Config" sheetId="8" r:id="rId7"/>
    <sheet name="market_data" sheetId="3" r:id="rId8"/>
    <sheet name="dd" sheetId="4" r:id="rId9"/>
    <sheet name="Notes" sheetId="5" r:id="rId10"/>
    <sheet name="metrics" sheetId="7" r:id="rId11"/>
    <sheet name="decision_engineering" sheetId="9"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E16" i="1"/>
  <c r="I13" i="1"/>
  <c r="I2" i="1"/>
  <c r="I3" i="1"/>
  <c r="I4" i="1"/>
  <c r="I5" i="1"/>
  <c r="I6" i="1"/>
  <c r="I7" i="1"/>
  <c r="I8" i="1"/>
  <c r="I9" i="1"/>
  <c r="I12" i="1"/>
  <c r="I11" i="1"/>
  <c r="I10" i="1"/>
  <c r="H2" i="6" l="1"/>
  <c r="C55" i="2" a="1"/>
  <c r="C55" i="2" s="1"/>
  <c r="D55" i="2" a="1"/>
  <c r="D55" i="2" s="1"/>
  <c r="E55" i="2" a="1"/>
  <c r="E55" i="2" s="1"/>
  <c r="F55" i="2" a="1"/>
  <c r="F55" i="2" s="1"/>
  <c r="G55" i="2" a="1"/>
  <c r="G55" i="2" s="1"/>
  <c r="H55" i="2" a="1"/>
  <c r="H55" i="2" s="1"/>
  <c r="I55" i="2" a="1"/>
  <c r="I55" i="2" s="1"/>
  <c r="J55" i="2" a="1"/>
  <c r="J55" i="2" s="1"/>
  <c r="K55" i="2" a="1"/>
  <c r="K55" i="2" s="1"/>
  <c r="L55" i="2" a="1"/>
  <c r="L55" i="2" s="1"/>
  <c r="M55" i="2" a="1"/>
  <c r="M55" i="2" s="1"/>
  <c r="N55" i="2" a="1"/>
  <c r="N55" i="2" s="1"/>
  <c r="O55" i="2" a="1"/>
  <c r="O55" i="2" s="1"/>
  <c r="P55" i="2" a="1"/>
  <c r="P55" i="2" s="1"/>
  <c r="Q55" i="2" a="1"/>
  <c r="Q55" i="2" s="1"/>
  <c r="R55" i="2" a="1"/>
  <c r="R55" i="2" s="1"/>
  <c r="S55" i="2" a="1"/>
  <c r="S55" i="2" s="1"/>
  <c r="T55" i="2" a="1"/>
  <c r="T55" i="2" s="1"/>
  <c r="U55" i="2" a="1"/>
  <c r="U55" i="2" s="1"/>
  <c r="V55" i="2" a="1"/>
  <c r="V55" i="2" s="1"/>
  <c r="C64" i="2" a="1"/>
  <c r="C64" i="2" s="1"/>
  <c r="D64" i="2" a="1"/>
  <c r="D64" i="2" s="1"/>
  <c r="E64" i="2" a="1"/>
  <c r="E64" i="2" s="1"/>
  <c r="F64" i="2" a="1"/>
  <c r="F64" i="2" s="1"/>
  <c r="G64" i="2" a="1"/>
  <c r="G64" i="2" s="1"/>
  <c r="H64" i="2" a="1"/>
  <c r="H64" i="2" s="1"/>
  <c r="I64" i="2" a="1"/>
  <c r="I64" i="2" s="1"/>
  <c r="J64" i="2" a="1"/>
  <c r="J64" i="2" s="1"/>
  <c r="K64" i="2" a="1"/>
  <c r="K64" i="2" s="1"/>
  <c r="L64" i="2" a="1"/>
  <c r="L64" i="2" s="1"/>
  <c r="M64" i="2" a="1"/>
  <c r="M64" i="2" s="1"/>
  <c r="N64" i="2" a="1"/>
  <c r="N64" i="2" s="1"/>
  <c r="O64" i="2" a="1"/>
  <c r="O64" i="2" s="1"/>
  <c r="P64" i="2" a="1"/>
  <c r="P64" i="2" s="1"/>
  <c r="Q64" i="2" a="1"/>
  <c r="Q64" i="2" s="1"/>
  <c r="R64" i="2" a="1"/>
  <c r="R64" i="2" s="1"/>
  <c r="S64" i="2" a="1"/>
  <c r="S64" i="2" s="1"/>
  <c r="T64" i="2" a="1"/>
  <c r="T64" i="2" s="1"/>
  <c r="U64" i="2" a="1"/>
  <c r="U64" i="2" s="1"/>
  <c r="V64" i="2" a="1"/>
  <c r="V64" i="2" s="1"/>
  <c r="C73" i="2" a="1"/>
  <c r="C73" i="2" s="1"/>
  <c r="D73" i="2" a="1"/>
  <c r="D73" i="2" s="1"/>
  <c r="E73" i="2" a="1"/>
  <c r="E73" i="2" s="1"/>
  <c r="F73" i="2" a="1"/>
  <c r="F73" i="2" s="1"/>
  <c r="G73" i="2" a="1"/>
  <c r="G73" i="2" s="1"/>
  <c r="H73" i="2" a="1"/>
  <c r="H73" i="2" s="1"/>
  <c r="I73" i="2" a="1"/>
  <c r="I73" i="2" s="1"/>
  <c r="J73" i="2" a="1"/>
  <c r="J73" i="2" s="1"/>
  <c r="K73" i="2" a="1"/>
  <c r="K73" i="2" s="1"/>
  <c r="L73" i="2" a="1"/>
  <c r="L73" i="2" s="1"/>
  <c r="M73" i="2" a="1"/>
  <c r="M73" i="2" s="1"/>
  <c r="N73" i="2" a="1"/>
  <c r="N73" i="2" s="1"/>
  <c r="O73" i="2" a="1"/>
  <c r="O73" i="2" s="1"/>
  <c r="P73" i="2" a="1"/>
  <c r="P73" i="2" s="1"/>
  <c r="Q73" i="2" a="1"/>
  <c r="Q73" i="2" s="1"/>
  <c r="R73" i="2" a="1"/>
  <c r="R73" i="2" s="1"/>
  <c r="S73" i="2" a="1"/>
  <c r="S73" i="2" s="1"/>
  <c r="T73" i="2" a="1"/>
  <c r="T73" i="2" s="1"/>
  <c r="U73" i="2" a="1"/>
  <c r="U73" i="2" s="1"/>
  <c r="V73" i="2" a="1"/>
  <c r="V73" i="2" s="1"/>
  <c r="C29" i="2" a="1"/>
  <c r="C29" i="2" s="1"/>
  <c r="D29" i="2" a="1"/>
  <c r="D29" i="2" s="1"/>
  <c r="E29" i="2" a="1"/>
  <c r="E29" i="2" s="1"/>
  <c r="F29" i="2" a="1"/>
  <c r="F29" i="2" s="1"/>
  <c r="G29" i="2" a="1"/>
  <c r="G29" i="2" s="1"/>
  <c r="H29" i="2" a="1"/>
  <c r="H29" i="2" s="1"/>
  <c r="I29" i="2" a="1"/>
  <c r="I29" i="2" s="1"/>
  <c r="J29" i="2" a="1"/>
  <c r="J29" i="2" s="1"/>
  <c r="K29" i="2" a="1"/>
  <c r="K29" i="2" s="1"/>
  <c r="L29" i="2" a="1"/>
  <c r="L29" i="2" s="1"/>
  <c r="M29" i="2" a="1"/>
  <c r="M29" i="2" s="1"/>
  <c r="N29" i="2" a="1"/>
  <c r="N29" i="2" s="1"/>
  <c r="O29" i="2" a="1"/>
  <c r="O29" i="2" s="1"/>
  <c r="P29" i="2" a="1"/>
  <c r="P29" i="2" s="1"/>
  <c r="Q29" i="2" a="1"/>
  <c r="Q29" i="2" s="1"/>
  <c r="R29" i="2" a="1"/>
  <c r="R29" i="2" s="1"/>
  <c r="S29" i="2" a="1"/>
  <c r="S29" i="2" s="1"/>
  <c r="T29" i="2" a="1"/>
  <c r="T29" i="2" s="1"/>
  <c r="U29" i="2" a="1"/>
  <c r="U29" i="2" s="1"/>
  <c r="V29" i="2" a="1"/>
  <c r="V29" i="2" s="1"/>
  <c r="C18" i="2" a="1"/>
  <c r="C18" i="2" s="1"/>
  <c r="D18" i="2" a="1"/>
  <c r="D18" i="2" s="1"/>
  <c r="E18" i="2" a="1"/>
  <c r="E18" i="2" s="1"/>
  <c r="F18" i="2" a="1"/>
  <c r="F18" i="2" s="1"/>
  <c r="G18" i="2" a="1"/>
  <c r="G18" i="2" s="1"/>
  <c r="H18" i="2" a="1"/>
  <c r="H18" i="2" s="1"/>
  <c r="I18" i="2" a="1"/>
  <c r="I18" i="2" s="1"/>
  <c r="J18" i="2" a="1"/>
  <c r="J18" i="2" s="1"/>
  <c r="K18" i="2" a="1"/>
  <c r="K18" i="2" s="1"/>
  <c r="L18" i="2" a="1"/>
  <c r="L18" i="2" s="1"/>
  <c r="M18" i="2" a="1"/>
  <c r="M18" i="2" s="1"/>
  <c r="N18" i="2" a="1"/>
  <c r="N18" i="2" s="1"/>
  <c r="O18" i="2" a="1"/>
  <c r="O18" i="2" s="1"/>
  <c r="P18" i="2" a="1"/>
  <c r="P18" i="2" s="1"/>
  <c r="Q18" i="2" a="1"/>
  <c r="Q18" i="2" s="1"/>
  <c r="R18" i="2" a="1"/>
  <c r="R18" i="2" s="1"/>
  <c r="S18" i="2" a="1"/>
  <c r="S18" i="2" s="1"/>
  <c r="T18" i="2" a="1"/>
  <c r="T18" i="2" s="1"/>
  <c r="U18" i="2" a="1"/>
  <c r="U18" i="2" s="1"/>
  <c r="V18" i="2" a="1"/>
  <c r="V18" i="2" s="1"/>
  <c r="C26" i="2" a="1"/>
  <c r="C26" i="2" s="1"/>
  <c r="D26" i="2" a="1"/>
  <c r="D26" i="2" s="1"/>
  <c r="E26" i="2" a="1"/>
  <c r="E26" i="2" s="1"/>
  <c r="F26" i="2" a="1"/>
  <c r="F26" i="2" s="1"/>
  <c r="G26" i="2" a="1"/>
  <c r="G26" i="2" s="1"/>
  <c r="H26" i="2" a="1"/>
  <c r="H26" i="2" s="1"/>
  <c r="I26" i="2" a="1"/>
  <c r="I26" i="2" s="1"/>
  <c r="J26" i="2" a="1"/>
  <c r="J26" i="2" s="1"/>
  <c r="K26" i="2" a="1"/>
  <c r="K26" i="2" s="1"/>
  <c r="L26" i="2" a="1"/>
  <c r="L26" i="2" s="1"/>
  <c r="M26" i="2" a="1"/>
  <c r="M26" i="2" s="1"/>
  <c r="N26" i="2" a="1"/>
  <c r="N26" i="2" s="1"/>
  <c r="O26" i="2" a="1"/>
  <c r="O26" i="2" s="1"/>
  <c r="P26" i="2" a="1"/>
  <c r="P26" i="2" s="1"/>
  <c r="Q26" i="2" a="1"/>
  <c r="Q26" i="2" s="1"/>
  <c r="R26" i="2" a="1"/>
  <c r="R26" i="2" s="1"/>
  <c r="S26" i="2" a="1"/>
  <c r="S26" i="2" s="1"/>
  <c r="T26" i="2" a="1"/>
  <c r="T26" i="2" s="1"/>
  <c r="U26" i="2" a="1"/>
  <c r="U26" i="2" s="1"/>
  <c r="V26" i="2" a="1"/>
  <c r="V26" i="2" s="1"/>
  <c r="C47" i="2" a="1"/>
  <c r="C47" i="2" s="1"/>
  <c r="D47" i="2" a="1"/>
  <c r="D47" i="2" s="1"/>
  <c r="E47" i="2" a="1"/>
  <c r="E47" i="2" s="1"/>
  <c r="F47" i="2" a="1"/>
  <c r="F47" i="2" s="1"/>
  <c r="G47" i="2" a="1"/>
  <c r="G47" i="2" s="1"/>
  <c r="H47" i="2" a="1"/>
  <c r="H47" i="2" s="1"/>
  <c r="I47" i="2" a="1"/>
  <c r="I47" i="2" s="1"/>
  <c r="J47" i="2" a="1"/>
  <c r="J47" i="2" s="1"/>
  <c r="K47" i="2" a="1"/>
  <c r="K47" i="2" s="1"/>
  <c r="L47" i="2" a="1"/>
  <c r="L47" i="2" s="1"/>
  <c r="M47" i="2" a="1"/>
  <c r="M47" i="2" s="1"/>
  <c r="N47" i="2" a="1"/>
  <c r="N47" i="2" s="1"/>
  <c r="O47" i="2" a="1"/>
  <c r="O47" i="2" s="1"/>
  <c r="P47" i="2" a="1"/>
  <c r="P47" i="2" s="1"/>
  <c r="Q47" i="2" a="1"/>
  <c r="Q47" i="2" s="1"/>
  <c r="R47" i="2" a="1"/>
  <c r="R47" i="2" s="1"/>
  <c r="S47" i="2" a="1"/>
  <c r="S47" i="2" s="1"/>
  <c r="T47" i="2" a="1"/>
  <c r="T47" i="2" s="1"/>
  <c r="U47" i="2" a="1"/>
  <c r="U47" i="2" s="1"/>
  <c r="V47" i="2" a="1"/>
  <c r="V47" i="2" s="1"/>
  <c r="K2" i="6" a="1"/>
  <c r="K2" i="6" s="1"/>
  <c r="K3" i="6" a="1"/>
  <c r="K3" i="6" s="1"/>
  <c r="K4" i="6" a="1"/>
  <c r="K4" i="6" s="1"/>
  <c r="K5" i="6" a="1"/>
  <c r="K5" i="6" s="1"/>
  <c r="K6" i="6" a="1"/>
  <c r="K6" i="6" s="1"/>
  <c r="K7" i="6" a="1"/>
  <c r="K7" i="6" s="1"/>
  <c r="K8" i="6" a="1"/>
  <c r="K8" i="6" s="1"/>
  <c r="K9" i="6" a="1"/>
  <c r="K9" i="6" s="1"/>
  <c r="K10" i="6" a="1"/>
  <c r="K10" i="6" s="1"/>
  <c r="B12" i="10"/>
  <c r="H85" i="2" a="1"/>
  <c r="H85" i="2" s="1"/>
  <c r="H13" i="2" a="1"/>
  <c r="H13" i="2" s="1"/>
  <c r="H42" i="2" a="1"/>
  <c r="H42" i="2" s="1"/>
  <c r="C13" i="10"/>
  <c r="C12" i="10"/>
  <c r="C9" i="10"/>
  <c r="D9" i="10"/>
  <c r="D7" i="10" s="1"/>
  <c r="H4" i="10"/>
  <c r="H7" i="10" s="1"/>
  <c r="C60" i="2" a="1"/>
  <c r="C60" i="2" s="1"/>
  <c r="D60" i="2" a="1"/>
  <c r="D60" i="2" s="1"/>
  <c r="E60" i="2" a="1"/>
  <c r="E60" i="2" s="1"/>
  <c r="F60" i="2" a="1"/>
  <c r="F60" i="2" s="1"/>
  <c r="G60" i="2" a="1"/>
  <c r="G60" i="2" s="1"/>
  <c r="H60" i="2" a="1"/>
  <c r="H60" i="2" s="1"/>
  <c r="I60" i="2" a="1"/>
  <c r="I60" i="2" s="1"/>
  <c r="J60" i="2" a="1"/>
  <c r="J60" i="2" s="1"/>
  <c r="K60" i="2" a="1"/>
  <c r="K60" i="2" s="1"/>
  <c r="L60" i="2" a="1"/>
  <c r="L60" i="2" s="1"/>
  <c r="M60" i="2" a="1"/>
  <c r="M60" i="2" s="1"/>
  <c r="N60" i="2" a="1"/>
  <c r="N60" i="2" s="1"/>
  <c r="O60" i="2" a="1"/>
  <c r="O60" i="2" s="1"/>
  <c r="P60" i="2" a="1"/>
  <c r="P60" i="2" s="1"/>
  <c r="Q60" i="2" a="1"/>
  <c r="Q60" i="2" s="1"/>
  <c r="R60" i="2" a="1"/>
  <c r="R60" i="2" s="1"/>
  <c r="S60" i="2" a="1"/>
  <c r="S60" i="2" s="1"/>
  <c r="T60" i="2" a="1"/>
  <c r="T60" i="2" s="1"/>
  <c r="U60" i="2" a="1"/>
  <c r="U60" i="2" s="1"/>
  <c r="V60" i="2" a="1"/>
  <c r="V60" i="2" s="1"/>
  <c r="C41" i="2" a="1"/>
  <c r="C41" i="2" s="1"/>
  <c r="D41" i="2" a="1"/>
  <c r="D41" i="2" s="1"/>
  <c r="E41" i="2" a="1"/>
  <c r="E41" i="2" s="1"/>
  <c r="F41" i="2" a="1"/>
  <c r="F41" i="2" s="1"/>
  <c r="G41" i="2" a="1"/>
  <c r="G41" i="2" s="1"/>
  <c r="H41" i="2" a="1"/>
  <c r="H41" i="2" s="1"/>
  <c r="I41" i="2" a="1"/>
  <c r="I41" i="2" s="1"/>
  <c r="J41" i="2" a="1"/>
  <c r="J41" i="2" s="1"/>
  <c r="K41" i="2" a="1"/>
  <c r="K41" i="2" s="1"/>
  <c r="L41" i="2" a="1"/>
  <c r="L41" i="2" s="1"/>
  <c r="M41" i="2" a="1"/>
  <c r="M41" i="2" s="1"/>
  <c r="N41" i="2" a="1"/>
  <c r="N41" i="2" s="1"/>
  <c r="O41" i="2" a="1"/>
  <c r="O41" i="2" s="1"/>
  <c r="P41" i="2" a="1"/>
  <c r="P41" i="2" s="1"/>
  <c r="Q41" i="2" a="1"/>
  <c r="Q41" i="2" s="1"/>
  <c r="R41" i="2" a="1"/>
  <c r="R41" i="2" s="1"/>
  <c r="S41" i="2" a="1"/>
  <c r="S41" i="2" s="1"/>
  <c r="T41" i="2" a="1"/>
  <c r="T41" i="2" s="1"/>
  <c r="U41" i="2" a="1"/>
  <c r="U41" i="2" s="1"/>
  <c r="V41" i="2" a="1"/>
  <c r="V41" i="2" s="1"/>
  <c r="C52" i="2" a="1"/>
  <c r="C52" i="2" s="1"/>
  <c r="D52" i="2" a="1"/>
  <c r="D52" i="2" s="1"/>
  <c r="E52" i="2" a="1"/>
  <c r="E52" i="2" s="1"/>
  <c r="F52" i="2" a="1"/>
  <c r="F52" i="2" s="1"/>
  <c r="G52" i="2" a="1"/>
  <c r="G52" i="2" s="1"/>
  <c r="H52" i="2" a="1"/>
  <c r="H52" i="2" s="1"/>
  <c r="I52" i="2" a="1"/>
  <c r="I52" i="2" s="1"/>
  <c r="J52" i="2" a="1"/>
  <c r="J52" i="2" s="1"/>
  <c r="K52" i="2" a="1"/>
  <c r="K52" i="2" s="1"/>
  <c r="L52" i="2" a="1"/>
  <c r="L52" i="2" s="1"/>
  <c r="M52" i="2" a="1"/>
  <c r="M52" i="2" s="1"/>
  <c r="N52" i="2" a="1"/>
  <c r="N52" i="2" s="1"/>
  <c r="O52" i="2" a="1"/>
  <c r="O52" i="2" s="1"/>
  <c r="P52" i="2" a="1"/>
  <c r="P52" i="2" s="1"/>
  <c r="Q52" i="2" a="1"/>
  <c r="Q52" i="2" s="1"/>
  <c r="R52" i="2" a="1"/>
  <c r="R52" i="2" s="1"/>
  <c r="S52" i="2" a="1"/>
  <c r="S52" i="2" s="1"/>
  <c r="T52" i="2" a="1"/>
  <c r="T52" i="2" s="1"/>
  <c r="U52" i="2" a="1"/>
  <c r="U52" i="2" s="1"/>
  <c r="V52" i="2" a="1"/>
  <c r="V52" i="2" s="1"/>
  <c r="C56" i="2" a="1"/>
  <c r="C56" i="2" s="1"/>
  <c r="D56" i="2" a="1"/>
  <c r="D56" i="2" s="1"/>
  <c r="E56" i="2" a="1"/>
  <c r="E56" i="2" s="1"/>
  <c r="F56" i="2" a="1"/>
  <c r="F56" i="2" s="1"/>
  <c r="G56" i="2" a="1"/>
  <c r="G56" i="2" s="1"/>
  <c r="H56" i="2" a="1"/>
  <c r="H56" i="2" s="1"/>
  <c r="I56" i="2" a="1"/>
  <c r="I56" i="2" s="1"/>
  <c r="J56" i="2" a="1"/>
  <c r="J56" i="2" s="1"/>
  <c r="K56" i="2" a="1"/>
  <c r="K56" i="2" s="1"/>
  <c r="L56" i="2" a="1"/>
  <c r="L56" i="2" s="1"/>
  <c r="M56" i="2" a="1"/>
  <c r="M56" i="2" s="1"/>
  <c r="N56" i="2" a="1"/>
  <c r="N56" i="2" s="1"/>
  <c r="O56" i="2" a="1"/>
  <c r="O56" i="2" s="1"/>
  <c r="P56" i="2" a="1"/>
  <c r="P56" i="2" s="1"/>
  <c r="Q56" i="2" a="1"/>
  <c r="Q56" i="2" s="1"/>
  <c r="R56" i="2" a="1"/>
  <c r="R56" i="2" s="1"/>
  <c r="S56" i="2" a="1"/>
  <c r="S56" i="2" s="1"/>
  <c r="T56" i="2" a="1"/>
  <c r="T56" i="2" s="1"/>
  <c r="U56" i="2" a="1"/>
  <c r="U56" i="2" s="1"/>
  <c r="V56" i="2" a="1"/>
  <c r="V56" i="2" s="1"/>
  <c r="C22" i="2" a="1"/>
  <c r="C22" i="2" s="1"/>
  <c r="D22" i="2" a="1"/>
  <c r="D22" i="2" s="1"/>
  <c r="E22" i="2" a="1"/>
  <c r="E22" i="2" s="1"/>
  <c r="F22" i="2" a="1"/>
  <c r="F22" i="2" s="1"/>
  <c r="G22" i="2" a="1"/>
  <c r="G22" i="2" s="1"/>
  <c r="H22" i="2" a="1"/>
  <c r="H22" i="2" s="1"/>
  <c r="I22" i="2" a="1"/>
  <c r="I22" i="2" s="1"/>
  <c r="J22" i="2" a="1"/>
  <c r="J22" i="2" s="1"/>
  <c r="K22" i="2" a="1"/>
  <c r="K22" i="2" s="1"/>
  <c r="L22" i="2" a="1"/>
  <c r="L22" i="2" s="1"/>
  <c r="M22" i="2" a="1"/>
  <c r="M22" i="2" s="1"/>
  <c r="N22" i="2" a="1"/>
  <c r="N22" i="2" s="1"/>
  <c r="O22" i="2" a="1"/>
  <c r="O22" i="2" s="1"/>
  <c r="P22" i="2" a="1"/>
  <c r="P22" i="2" s="1"/>
  <c r="Q22" i="2" a="1"/>
  <c r="Q22" i="2" s="1"/>
  <c r="R22" i="2" a="1"/>
  <c r="R22" i="2" s="1"/>
  <c r="S22" i="2" a="1"/>
  <c r="S22" i="2" s="1"/>
  <c r="T22" i="2" a="1"/>
  <c r="T22" i="2" s="1"/>
  <c r="U22" i="2" a="1"/>
  <c r="U22" i="2" s="1"/>
  <c r="V22" i="2" a="1"/>
  <c r="V22" i="2" s="1"/>
  <c r="C67" i="2" a="1"/>
  <c r="C67" i="2" s="1"/>
  <c r="D67" i="2" a="1"/>
  <c r="D67" i="2" s="1"/>
  <c r="E67" i="2" a="1"/>
  <c r="E67" i="2" s="1"/>
  <c r="F67" i="2" a="1"/>
  <c r="F67" i="2" s="1"/>
  <c r="G67" i="2" a="1"/>
  <c r="G67" i="2" s="1"/>
  <c r="H67" i="2" a="1"/>
  <c r="H67" i="2" s="1"/>
  <c r="I67" i="2" a="1"/>
  <c r="I67" i="2" s="1"/>
  <c r="J67" i="2" a="1"/>
  <c r="J67" i="2" s="1"/>
  <c r="K67" i="2" a="1"/>
  <c r="K67" i="2" s="1"/>
  <c r="L67" i="2" a="1"/>
  <c r="L67" i="2" s="1"/>
  <c r="M67" i="2" a="1"/>
  <c r="M67" i="2" s="1"/>
  <c r="N67" i="2" a="1"/>
  <c r="N67" i="2" s="1"/>
  <c r="O67" i="2" a="1"/>
  <c r="O67" i="2" s="1"/>
  <c r="P67" i="2" a="1"/>
  <c r="P67" i="2" s="1"/>
  <c r="Q67" i="2" a="1"/>
  <c r="Q67" i="2" s="1"/>
  <c r="R67" i="2" a="1"/>
  <c r="R67" i="2" s="1"/>
  <c r="S67" i="2" a="1"/>
  <c r="S67" i="2" s="1"/>
  <c r="T67" i="2" a="1"/>
  <c r="T67" i="2" s="1"/>
  <c r="U67" i="2" a="1"/>
  <c r="U67" i="2" s="1"/>
  <c r="V67" i="2" a="1"/>
  <c r="V67" i="2" s="1"/>
  <c r="C1" i="8" a="1"/>
  <c r="C1" i="8" s="1"/>
  <c r="A68" i="7"/>
  <c r="A107" i="7" a="1"/>
  <c r="A107" i="7" s="1"/>
  <c r="A123" i="7"/>
  <c r="A129" i="7"/>
  <c r="A135" i="7"/>
  <c r="A151" i="7"/>
  <c r="A155" i="7"/>
  <c r="A159" i="7" a="1"/>
  <c r="A159" i="7" s="1"/>
  <c r="A163" i="7" a="1"/>
  <c r="A163" i="7"/>
  <c r="A169" i="7" a="1"/>
  <c r="A169" i="7" s="1"/>
  <c r="A187" i="7"/>
  <c r="A191" i="7"/>
  <c r="A195" i="7" a="1"/>
  <c r="A195" i="7" s="1"/>
  <c r="A199" i="7" a="1"/>
  <c r="A199" i="7"/>
  <c r="H10" i="6"/>
  <c r="I10" i="6"/>
  <c r="H9" i="6"/>
  <c r="I9" i="6"/>
  <c r="H8" i="6"/>
  <c r="I8" i="6"/>
  <c r="H7" i="6"/>
  <c r="I7" i="6"/>
  <c r="H6" i="6"/>
  <c r="I6" i="6"/>
  <c r="H5" i="6"/>
  <c r="I5" i="6"/>
  <c r="H4" i="6"/>
  <c r="I4" i="6"/>
  <c r="H3" i="6"/>
  <c r="I3" i="6"/>
  <c r="I2" i="6"/>
  <c r="C72" i="2" a="1"/>
  <c r="C72" i="2" s="1"/>
  <c r="D72" i="2" a="1"/>
  <c r="D72" i="2" s="1"/>
  <c r="E72" i="2" a="1"/>
  <c r="E72" i="2" s="1"/>
  <c r="F72" i="2" a="1"/>
  <c r="F72" i="2" s="1"/>
  <c r="G72" i="2" a="1"/>
  <c r="G72" i="2" s="1"/>
  <c r="H72" i="2" a="1"/>
  <c r="H72" i="2" s="1"/>
  <c r="I72" i="2" a="1"/>
  <c r="I72" i="2" s="1"/>
  <c r="J72" i="2" a="1"/>
  <c r="J72" i="2" s="1"/>
  <c r="K72" i="2" a="1"/>
  <c r="K72" i="2" s="1"/>
  <c r="L72" i="2" a="1"/>
  <c r="L72" i="2" s="1"/>
  <c r="M72" i="2" a="1"/>
  <c r="M72" i="2" s="1"/>
  <c r="N72" i="2" a="1"/>
  <c r="N72" i="2" s="1"/>
  <c r="O72" i="2" a="1"/>
  <c r="O72" i="2" s="1"/>
  <c r="P72" i="2" a="1"/>
  <c r="P72" i="2" s="1"/>
  <c r="Q72" i="2" a="1"/>
  <c r="Q72" i="2" s="1"/>
  <c r="R72" i="2" a="1"/>
  <c r="R72" i="2" s="1"/>
  <c r="S72" i="2" a="1"/>
  <c r="S72" i="2" s="1"/>
  <c r="T72" i="2" a="1"/>
  <c r="T72" i="2" s="1"/>
  <c r="U72" i="2" a="1"/>
  <c r="U72" i="2" s="1"/>
  <c r="V72" i="2" a="1"/>
  <c r="V72" i="2" s="1"/>
  <c r="C71" i="2" a="1"/>
  <c r="C71" i="2" s="1"/>
  <c r="D71" i="2" a="1"/>
  <c r="D71" i="2" s="1"/>
  <c r="E71" i="2" a="1"/>
  <c r="E71" i="2" s="1"/>
  <c r="F71" i="2" a="1"/>
  <c r="F71" i="2" s="1"/>
  <c r="G71" i="2" a="1"/>
  <c r="G71" i="2" s="1"/>
  <c r="H71" i="2" a="1"/>
  <c r="H71" i="2" s="1"/>
  <c r="I71" i="2" a="1"/>
  <c r="I71" i="2" s="1"/>
  <c r="J71" i="2" a="1"/>
  <c r="J71" i="2" s="1"/>
  <c r="K71" i="2" a="1"/>
  <c r="K71" i="2" s="1"/>
  <c r="L71" i="2" a="1"/>
  <c r="L71" i="2" s="1"/>
  <c r="M71" i="2" a="1"/>
  <c r="M71" i="2" s="1"/>
  <c r="N71" i="2" a="1"/>
  <c r="N71" i="2" s="1"/>
  <c r="O71" i="2" a="1"/>
  <c r="O71" i="2" s="1"/>
  <c r="P71" i="2" a="1"/>
  <c r="P71" i="2" s="1"/>
  <c r="Q71" i="2" a="1"/>
  <c r="Q71" i="2" s="1"/>
  <c r="R71" i="2" a="1"/>
  <c r="R71" i="2" s="1"/>
  <c r="S71" i="2" a="1"/>
  <c r="S71" i="2" s="1"/>
  <c r="T71" i="2" a="1"/>
  <c r="T71" i="2" s="1"/>
  <c r="U71" i="2" a="1"/>
  <c r="U71" i="2" s="1"/>
  <c r="V71" i="2" a="1"/>
  <c r="V71" i="2" s="1"/>
  <c r="C30" i="2" a="1"/>
  <c r="C30" i="2" s="1"/>
  <c r="D30" i="2" a="1"/>
  <c r="D30" i="2" s="1"/>
  <c r="E30" i="2" a="1"/>
  <c r="E30" i="2" s="1"/>
  <c r="F30" i="2" a="1"/>
  <c r="F30" i="2" s="1"/>
  <c r="G30" i="2" a="1"/>
  <c r="G30" i="2" s="1"/>
  <c r="H30" i="2" a="1"/>
  <c r="H30" i="2" s="1"/>
  <c r="I30" i="2" a="1"/>
  <c r="I30" i="2" s="1"/>
  <c r="J30" i="2" a="1"/>
  <c r="J30" i="2" s="1"/>
  <c r="K30" i="2" a="1"/>
  <c r="K30" i="2" s="1"/>
  <c r="L30" i="2" a="1"/>
  <c r="L30" i="2" s="1"/>
  <c r="M30" i="2" a="1"/>
  <c r="M30" i="2" s="1"/>
  <c r="N30" i="2" a="1"/>
  <c r="N30" i="2" s="1"/>
  <c r="O30" i="2" a="1"/>
  <c r="O30" i="2" s="1"/>
  <c r="P30" i="2" a="1"/>
  <c r="P30" i="2" s="1"/>
  <c r="Q30" i="2" a="1"/>
  <c r="Q30" i="2" s="1"/>
  <c r="R30" i="2" a="1"/>
  <c r="R30" i="2" s="1"/>
  <c r="S30" i="2" a="1"/>
  <c r="S30" i="2" s="1"/>
  <c r="T30" i="2" a="1"/>
  <c r="T30" i="2" s="1"/>
  <c r="U30" i="2" a="1"/>
  <c r="U30" i="2" s="1"/>
  <c r="V30" i="2" a="1"/>
  <c r="V30" i="2" s="1"/>
  <c r="C92" i="2" a="1"/>
  <c r="C92" i="2" s="1"/>
  <c r="D92" i="2" a="1"/>
  <c r="D92" i="2" s="1"/>
  <c r="E92" i="2" a="1"/>
  <c r="E92" i="2" s="1"/>
  <c r="F92" i="2" a="1"/>
  <c r="F92" i="2" s="1"/>
  <c r="G92" i="2" a="1"/>
  <c r="G92" i="2" s="1"/>
  <c r="H92" i="2" a="1"/>
  <c r="H92" i="2" s="1"/>
  <c r="I92" i="2" a="1"/>
  <c r="I92" i="2" s="1"/>
  <c r="J92" i="2" a="1"/>
  <c r="J92" i="2" s="1"/>
  <c r="K92" i="2" a="1"/>
  <c r="K92" i="2" s="1"/>
  <c r="L92" i="2" a="1"/>
  <c r="L92" i="2" s="1"/>
  <c r="M92" i="2" a="1"/>
  <c r="M92" i="2" s="1"/>
  <c r="N92" i="2" a="1"/>
  <c r="N92" i="2" s="1"/>
  <c r="O92" i="2" a="1"/>
  <c r="O92" i="2" s="1"/>
  <c r="P92" i="2" a="1"/>
  <c r="P92" i="2" s="1"/>
  <c r="Q92" i="2" a="1"/>
  <c r="Q92" i="2" s="1"/>
  <c r="R92" i="2" a="1"/>
  <c r="R92" i="2" s="1"/>
  <c r="S92" i="2" a="1"/>
  <c r="S92" i="2" s="1"/>
  <c r="T92" i="2" a="1"/>
  <c r="T92" i="2" s="1"/>
  <c r="U92" i="2" a="1"/>
  <c r="U92" i="2" s="1"/>
  <c r="V92" i="2" a="1"/>
  <c r="V92" i="2" s="1"/>
  <c r="C94" i="2" a="1"/>
  <c r="C94" i="2" s="1"/>
  <c r="D94" i="2" a="1"/>
  <c r="D94" i="2" s="1"/>
  <c r="E94" i="2" a="1"/>
  <c r="E94" i="2" s="1"/>
  <c r="F94" i="2" a="1"/>
  <c r="F94" i="2" s="1"/>
  <c r="G94" i="2" a="1"/>
  <c r="G94" i="2" s="1"/>
  <c r="H94" i="2" a="1"/>
  <c r="H94" i="2" s="1"/>
  <c r="I94" i="2" a="1"/>
  <c r="I94" i="2" s="1"/>
  <c r="J94" i="2" a="1"/>
  <c r="J94" i="2" s="1"/>
  <c r="K94" i="2" a="1"/>
  <c r="K94" i="2" s="1"/>
  <c r="L94" i="2" a="1"/>
  <c r="L94" i="2" s="1"/>
  <c r="M94" i="2" a="1"/>
  <c r="M94" i="2" s="1"/>
  <c r="N94" i="2" a="1"/>
  <c r="N94" i="2" s="1"/>
  <c r="O94" i="2" a="1"/>
  <c r="O94" i="2" s="1"/>
  <c r="P94" i="2" a="1"/>
  <c r="P94" i="2" s="1"/>
  <c r="Q94" i="2" a="1"/>
  <c r="Q94" i="2" s="1"/>
  <c r="R94" i="2" a="1"/>
  <c r="R94" i="2" s="1"/>
  <c r="S94" i="2" a="1"/>
  <c r="S94" i="2" s="1"/>
  <c r="T94" i="2" a="1"/>
  <c r="T94" i="2" s="1"/>
  <c r="U94" i="2" a="1"/>
  <c r="U94" i="2" s="1"/>
  <c r="V94" i="2" a="1"/>
  <c r="V94" i="2" s="1"/>
  <c r="C62" i="2" a="1"/>
  <c r="C62" i="2" s="1"/>
  <c r="D62" i="2" a="1"/>
  <c r="D62" i="2" s="1"/>
  <c r="E62" i="2" a="1"/>
  <c r="E62" i="2" s="1"/>
  <c r="F62" i="2" a="1"/>
  <c r="F62" i="2" s="1"/>
  <c r="G62" i="2" a="1"/>
  <c r="G62" i="2" s="1"/>
  <c r="H62" i="2" a="1"/>
  <c r="H62" i="2" s="1"/>
  <c r="I62" i="2" a="1"/>
  <c r="I62" i="2" s="1"/>
  <c r="J62" i="2" a="1"/>
  <c r="J62" i="2" s="1"/>
  <c r="K62" i="2" a="1"/>
  <c r="K62" i="2" s="1"/>
  <c r="L62" i="2" a="1"/>
  <c r="L62" i="2" s="1"/>
  <c r="M62" i="2" a="1"/>
  <c r="M62" i="2" s="1"/>
  <c r="N62" i="2" a="1"/>
  <c r="N62" i="2" s="1"/>
  <c r="O62" i="2" a="1"/>
  <c r="O62" i="2" s="1"/>
  <c r="P62" i="2" a="1"/>
  <c r="P62" i="2" s="1"/>
  <c r="Q62" i="2" a="1"/>
  <c r="Q62" i="2" s="1"/>
  <c r="R62" i="2" a="1"/>
  <c r="R62" i="2" s="1"/>
  <c r="S62" i="2" a="1"/>
  <c r="S62" i="2" s="1"/>
  <c r="T62" i="2" a="1"/>
  <c r="T62" i="2" s="1"/>
  <c r="U62" i="2" a="1"/>
  <c r="U62" i="2" s="1"/>
  <c r="V62" i="2" a="1"/>
  <c r="V62" i="2" s="1"/>
  <c r="C89" i="2" a="1"/>
  <c r="C89" i="2" s="1"/>
  <c r="D89" i="2" a="1"/>
  <c r="D89" i="2" s="1"/>
  <c r="E89" i="2" a="1"/>
  <c r="E89" i="2" s="1"/>
  <c r="F89" i="2" a="1"/>
  <c r="F89" i="2" s="1"/>
  <c r="G89" i="2" a="1"/>
  <c r="G89" i="2" s="1"/>
  <c r="H89" i="2" a="1"/>
  <c r="H89" i="2" s="1"/>
  <c r="I89" i="2" a="1"/>
  <c r="I89" i="2" s="1"/>
  <c r="J89" i="2" a="1"/>
  <c r="J89" i="2" s="1"/>
  <c r="K89" i="2" a="1"/>
  <c r="K89" i="2" s="1"/>
  <c r="L89" i="2" a="1"/>
  <c r="L89" i="2" s="1"/>
  <c r="M89" i="2" a="1"/>
  <c r="M89" i="2" s="1"/>
  <c r="N89" i="2" a="1"/>
  <c r="N89" i="2" s="1"/>
  <c r="O89" i="2" a="1"/>
  <c r="O89" i="2" s="1"/>
  <c r="P89" i="2" a="1"/>
  <c r="P89" i="2" s="1"/>
  <c r="Q89" i="2" a="1"/>
  <c r="Q89" i="2" s="1"/>
  <c r="R89" i="2" a="1"/>
  <c r="R89" i="2" s="1"/>
  <c r="S89" i="2" a="1"/>
  <c r="S89" i="2" s="1"/>
  <c r="T89" i="2" a="1"/>
  <c r="T89" i="2" s="1"/>
  <c r="U89" i="2" a="1"/>
  <c r="U89" i="2" s="1"/>
  <c r="V89" i="2" a="1"/>
  <c r="V89" i="2" s="1"/>
  <c r="C82" i="2" a="1"/>
  <c r="C82" i="2" s="1"/>
  <c r="D82" i="2" a="1"/>
  <c r="D82" i="2" s="1"/>
  <c r="E82" i="2" a="1"/>
  <c r="E82" i="2" s="1"/>
  <c r="F82" i="2" a="1"/>
  <c r="F82" i="2" s="1"/>
  <c r="G82" i="2" a="1"/>
  <c r="G82" i="2" s="1"/>
  <c r="H82" i="2" a="1"/>
  <c r="H82" i="2" s="1"/>
  <c r="I82" i="2" a="1"/>
  <c r="I82" i="2" s="1"/>
  <c r="J82" i="2" a="1"/>
  <c r="J82" i="2" s="1"/>
  <c r="K82" i="2" a="1"/>
  <c r="K82" i="2" s="1"/>
  <c r="L82" i="2" a="1"/>
  <c r="L82" i="2" s="1"/>
  <c r="M82" i="2" a="1"/>
  <c r="M82" i="2" s="1"/>
  <c r="N82" i="2" a="1"/>
  <c r="N82" i="2" s="1"/>
  <c r="O82" i="2" a="1"/>
  <c r="O82" i="2" s="1"/>
  <c r="P82" i="2" a="1"/>
  <c r="P82" i="2" s="1"/>
  <c r="Q82" i="2" a="1"/>
  <c r="Q82" i="2" s="1"/>
  <c r="R82" i="2" a="1"/>
  <c r="R82" i="2" s="1"/>
  <c r="S82" i="2" a="1"/>
  <c r="S82" i="2" s="1"/>
  <c r="T82" i="2" a="1"/>
  <c r="T82" i="2" s="1"/>
  <c r="U82" i="2" a="1"/>
  <c r="U82" i="2" s="1"/>
  <c r="V82" i="2" a="1"/>
  <c r="V82" i="2" s="1"/>
  <c r="C19" i="2" a="1"/>
  <c r="C19" i="2" s="1"/>
  <c r="D19" i="2" a="1"/>
  <c r="D19" i="2" s="1"/>
  <c r="E19" i="2" a="1"/>
  <c r="E19" i="2" s="1"/>
  <c r="F19" i="2" a="1"/>
  <c r="F19" i="2" s="1"/>
  <c r="G19" i="2" a="1"/>
  <c r="G19" i="2" s="1"/>
  <c r="H19" i="2" a="1"/>
  <c r="H19" i="2" s="1"/>
  <c r="I19" i="2" a="1"/>
  <c r="I19" i="2" s="1"/>
  <c r="J19" i="2" a="1"/>
  <c r="J19" i="2" s="1"/>
  <c r="K19" i="2" a="1"/>
  <c r="K19" i="2" s="1"/>
  <c r="L19" i="2" a="1"/>
  <c r="L19" i="2" s="1"/>
  <c r="M19" i="2" a="1"/>
  <c r="M19" i="2" s="1"/>
  <c r="N19" i="2" a="1"/>
  <c r="N19" i="2" s="1"/>
  <c r="O19" i="2" a="1"/>
  <c r="O19" i="2" s="1"/>
  <c r="P19" i="2" a="1"/>
  <c r="P19" i="2" s="1"/>
  <c r="Q19" i="2" a="1"/>
  <c r="Q19" i="2" s="1"/>
  <c r="R19" i="2" a="1"/>
  <c r="R19" i="2" s="1"/>
  <c r="S19" i="2" a="1"/>
  <c r="S19" i="2" s="1"/>
  <c r="T19" i="2" a="1"/>
  <c r="T19" i="2" s="1"/>
  <c r="U19" i="2" a="1"/>
  <c r="U19" i="2" s="1"/>
  <c r="V19" i="2" a="1"/>
  <c r="V19" i="2" s="1"/>
  <c r="C43" i="2" a="1"/>
  <c r="C43" i="2" s="1"/>
  <c r="D43" i="2" a="1"/>
  <c r="D43" i="2" s="1"/>
  <c r="E43" i="2" a="1"/>
  <c r="E43" i="2" s="1"/>
  <c r="F43" i="2" a="1"/>
  <c r="F43" i="2" s="1"/>
  <c r="G43" i="2" a="1"/>
  <c r="G43" i="2" s="1"/>
  <c r="H43" i="2" a="1"/>
  <c r="H43" i="2" s="1"/>
  <c r="I43" i="2" a="1"/>
  <c r="I43" i="2" s="1"/>
  <c r="J43" i="2" a="1"/>
  <c r="J43" i="2" s="1"/>
  <c r="K43" i="2" a="1"/>
  <c r="K43" i="2" s="1"/>
  <c r="L43" i="2" a="1"/>
  <c r="L43" i="2" s="1"/>
  <c r="M43" i="2" a="1"/>
  <c r="M43" i="2" s="1"/>
  <c r="N43" i="2" a="1"/>
  <c r="N43" i="2" s="1"/>
  <c r="O43" i="2" a="1"/>
  <c r="O43" i="2" s="1"/>
  <c r="P43" i="2" a="1"/>
  <c r="P43" i="2" s="1"/>
  <c r="Q43" i="2" a="1"/>
  <c r="Q43" i="2" s="1"/>
  <c r="R43" i="2" a="1"/>
  <c r="R43" i="2" s="1"/>
  <c r="S43" i="2" a="1"/>
  <c r="S43" i="2" s="1"/>
  <c r="T43" i="2" a="1"/>
  <c r="T43" i="2" s="1"/>
  <c r="U43" i="2" a="1"/>
  <c r="U43" i="2" s="1"/>
  <c r="V43" i="2" a="1"/>
  <c r="V43" i="2" s="1"/>
  <c r="C59" i="2" a="1"/>
  <c r="C59" i="2" s="1"/>
  <c r="D59" i="2" a="1"/>
  <c r="D59" i="2" s="1"/>
  <c r="E59" i="2" a="1"/>
  <c r="E59" i="2" s="1"/>
  <c r="F59" i="2" a="1"/>
  <c r="F59" i="2" s="1"/>
  <c r="G59" i="2" a="1"/>
  <c r="G59" i="2" s="1"/>
  <c r="H59" i="2" a="1"/>
  <c r="H59" i="2" s="1"/>
  <c r="I59" i="2" a="1"/>
  <c r="I59" i="2" s="1"/>
  <c r="J59" i="2" a="1"/>
  <c r="J59" i="2" s="1"/>
  <c r="K59" i="2" a="1"/>
  <c r="K59" i="2" s="1"/>
  <c r="L59" i="2" a="1"/>
  <c r="L59" i="2" s="1"/>
  <c r="M59" i="2" a="1"/>
  <c r="M59" i="2" s="1"/>
  <c r="N59" i="2" a="1"/>
  <c r="N59" i="2" s="1"/>
  <c r="O59" i="2" a="1"/>
  <c r="O59" i="2" s="1"/>
  <c r="P59" i="2" a="1"/>
  <c r="P59" i="2" s="1"/>
  <c r="Q59" i="2" a="1"/>
  <c r="Q59" i="2" s="1"/>
  <c r="R59" i="2" a="1"/>
  <c r="R59" i="2" s="1"/>
  <c r="S59" i="2" a="1"/>
  <c r="S59" i="2" s="1"/>
  <c r="T59" i="2" a="1"/>
  <c r="T59" i="2" s="1"/>
  <c r="U59" i="2" a="1"/>
  <c r="U59" i="2" s="1"/>
  <c r="V59" i="2" a="1"/>
  <c r="V59" i="2" s="1"/>
  <c r="O7" i="2" a="1"/>
  <c r="O7" i="2" s="1"/>
  <c r="C42" i="2" a="1"/>
  <c r="C42" i="2" s="1"/>
  <c r="D42" i="2" a="1"/>
  <c r="D42" i="2" s="1"/>
  <c r="E42" i="2" a="1"/>
  <c r="E42" i="2" s="1"/>
  <c r="F42" i="2" a="1"/>
  <c r="F42" i="2" s="1"/>
  <c r="G42" i="2" a="1"/>
  <c r="G42" i="2" s="1"/>
  <c r="I42" i="2" a="1"/>
  <c r="I42" i="2" s="1"/>
  <c r="J42" i="2" a="1"/>
  <c r="J42" i="2" s="1"/>
  <c r="K42" i="2" a="1"/>
  <c r="K42" i="2" s="1"/>
  <c r="L42" i="2" a="1"/>
  <c r="L42" i="2" s="1"/>
  <c r="M42" i="2" a="1"/>
  <c r="M42" i="2" s="1"/>
  <c r="N42" i="2" a="1"/>
  <c r="N42" i="2" s="1"/>
  <c r="O42" i="2" a="1"/>
  <c r="O42" i="2" s="1"/>
  <c r="P42" i="2" a="1"/>
  <c r="P42" i="2" s="1"/>
  <c r="Q42" i="2" a="1"/>
  <c r="Q42" i="2" s="1"/>
  <c r="R42" i="2" a="1"/>
  <c r="R42" i="2" s="1"/>
  <c r="S42" i="2" a="1"/>
  <c r="S42" i="2" s="1"/>
  <c r="T42" i="2" a="1"/>
  <c r="T42" i="2" s="1"/>
  <c r="U42" i="2" a="1"/>
  <c r="U42" i="2" s="1"/>
  <c r="V42" i="2" a="1"/>
  <c r="V42" i="2" s="1"/>
  <c r="C13" i="2" a="1"/>
  <c r="C13" i="2" s="1"/>
  <c r="D13" i="2" a="1"/>
  <c r="D13" i="2" s="1"/>
  <c r="E13" i="2" a="1"/>
  <c r="E13" i="2" s="1"/>
  <c r="F13" i="2" a="1"/>
  <c r="F13" i="2" s="1"/>
  <c r="G13" i="2" a="1"/>
  <c r="G13" i="2" s="1"/>
  <c r="I13" i="2" a="1"/>
  <c r="I13" i="2" s="1"/>
  <c r="J13" i="2" a="1"/>
  <c r="J13" i="2" s="1"/>
  <c r="K13" i="2" a="1"/>
  <c r="K13" i="2" s="1"/>
  <c r="L13" i="2" a="1"/>
  <c r="L13" i="2" s="1"/>
  <c r="M13" i="2" a="1"/>
  <c r="M13" i="2" s="1"/>
  <c r="N13" i="2" a="1"/>
  <c r="N13" i="2" s="1"/>
  <c r="O13" i="2" a="1"/>
  <c r="O13" i="2" s="1"/>
  <c r="P13" i="2" a="1"/>
  <c r="P13" i="2" s="1"/>
  <c r="Q13" i="2" a="1"/>
  <c r="Q13" i="2" s="1"/>
  <c r="R13" i="2" a="1"/>
  <c r="R13" i="2" s="1"/>
  <c r="S13" i="2" a="1"/>
  <c r="S13" i="2" s="1"/>
  <c r="T13" i="2" a="1"/>
  <c r="T13" i="2" s="1"/>
  <c r="U13" i="2" a="1"/>
  <c r="U13" i="2" s="1"/>
  <c r="V13" i="2" a="1"/>
  <c r="V13" i="2" s="1"/>
  <c r="C84" i="2" a="1"/>
  <c r="C84" i="2" s="1"/>
  <c r="D84" i="2" a="1"/>
  <c r="D84" i="2" s="1"/>
  <c r="E84" i="2" a="1"/>
  <c r="E84" i="2" s="1"/>
  <c r="F84" i="2" a="1"/>
  <c r="F84" i="2" s="1"/>
  <c r="G84" i="2" a="1"/>
  <c r="G84" i="2" s="1"/>
  <c r="H84" i="2" a="1"/>
  <c r="H84" i="2" s="1"/>
  <c r="I84" i="2" a="1"/>
  <c r="I84" i="2" s="1"/>
  <c r="J84" i="2" a="1"/>
  <c r="J84" i="2" s="1"/>
  <c r="K84" i="2" a="1"/>
  <c r="K84" i="2" s="1"/>
  <c r="L84" i="2" a="1"/>
  <c r="L84" i="2" s="1"/>
  <c r="M84" i="2" a="1"/>
  <c r="M84" i="2" s="1"/>
  <c r="N84" i="2" a="1"/>
  <c r="N84" i="2" s="1"/>
  <c r="O84" i="2" a="1"/>
  <c r="O84" i="2" s="1"/>
  <c r="P84" i="2" a="1"/>
  <c r="P84" i="2" s="1"/>
  <c r="Q84" i="2" a="1"/>
  <c r="Q84" i="2" s="1"/>
  <c r="R84" i="2" a="1"/>
  <c r="R84" i="2" s="1"/>
  <c r="S84" i="2" a="1"/>
  <c r="S84" i="2" s="1"/>
  <c r="T84" i="2" a="1"/>
  <c r="T84" i="2" s="1"/>
  <c r="U84" i="2" a="1"/>
  <c r="U84" i="2" s="1"/>
  <c r="V84" i="2" a="1"/>
  <c r="V84" i="2" s="1"/>
  <c r="C78" i="2" a="1"/>
  <c r="C78" i="2" s="1"/>
  <c r="D78" i="2" a="1"/>
  <c r="D78" i="2" s="1"/>
  <c r="E78" i="2" a="1"/>
  <c r="E78" i="2" s="1"/>
  <c r="F78" i="2" a="1"/>
  <c r="F78" i="2" s="1"/>
  <c r="G78" i="2" a="1"/>
  <c r="G78" i="2" s="1"/>
  <c r="H78" i="2" a="1"/>
  <c r="H78" i="2" s="1"/>
  <c r="I78" i="2" a="1"/>
  <c r="I78" i="2" s="1"/>
  <c r="J78" i="2" a="1"/>
  <c r="J78" i="2" s="1"/>
  <c r="K78" i="2" a="1"/>
  <c r="K78" i="2" s="1"/>
  <c r="L78" i="2" a="1"/>
  <c r="L78" i="2" s="1"/>
  <c r="M78" i="2" a="1"/>
  <c r="M78" i="2" s="1"/>
  <c r="N78" i="2" a="1"/>
  <c r="N78" i="2" s="1"/>
  <c r="O78" i="2" a="1"/>
  <c r="O78" i="2" s="1"/>
  <c r="P78" i="2" a="1"/>
  <c r="P78" i="2" s="1"/>
  <c r="Q78" i="2" a="1"/>
  <c r="Q78" i="2" s="1"/>
  <c r="R78" i="2" a="1"/>
  <c r="R78" i="2" s="1"/>
  <c r="S78" i="2" a="1"/>
  <c r="S78" i="2" s="1"/>
  <c r="T78" i="2" a="1"/>
  <c r="T78" i="2" s="1"/>
  <c r="U78" i="2" a="1"/>
  <c r="U78" i="2" s="1"/>
  <c r="V78" i="2" a="1"/>
  <c r="V78" i="2" s="1"/>
  <c r="C69" i="2" a="1"/>
  <c r="C69" i="2" s="1"/>
  <c r="D69" i="2" a="1"/>
  <c r="D69" i="2" s="1"/>
  <c r="E69" i="2" a="1"/>
  <c r="E69" i="2" s="1"/>
  <c r="F69" i="2" a="1"/>
  <c r="F69" i="2" s="1"/>
  <c r="G69" i="2" a="1"/>
  <c r="G69" i="2" s="1"/>
  <c r="H69" i="2" a="1"/>
  <c r="H69" i="2" s="1"/>
  <c r="I69" i="2" a="1"/>
  <c r="I69" i="2" s="1"/>
  <c r="J69" i="2" a="1"/>
  <c r="J69" i="2" s="1"/>
  <c r="K69" i="2" a="1"/>
  <c r="K69" i="2" s="1"/>
  <c r="L69" i="2" a="1"/>
  <c r="L69" i="2" s="1"/>
  <c r="M69" i="2" a="1"/>
  <c r="M69" i="2" s="1"/>
  <c r="N69" i="2" a="1"/>
  <c r="N69" i="2" s="1"/>
  <c r="O69" i="2" a="1"/>
  <c r="O69" i="2" s="1"/>
  <c r="P69" i="2" a="1"/>
  <c r="P69" i="2" s="1"/>
  <c r="Q69" i="2" a="1"/>
  <c r="Q69" i="2" s="1"/>
  <c r="R69" i="2" a="1"/>
  <c r="R69" i="2" s="1"/>
  <c r="S69" i="2" a="1"/>
  <c r="S69" i="2" s="1"/>
  <c r="T69" i="2" a="1"/>
  <c r="T69" i="2" s="1"/>
  <c r="U69" i="2" a="1"/>
  <c r="U69" i="2" s="1"/>
  <c r="V69" i="2" a="1"/>
  <c r="V69" i="2" s="1"/>
  <c r="C85" i="2" a="1"/>
  <c r="C85" i="2" s="1"/>
  <c r="D85" i="2" a="1"/>
  <c r="D85" i="2" s="1"/>
  <c r="E85" i="2" a="1"/>
  <c r="E85" i="2" s="1"/>
  <c r="F85" i="2" a="1"/>
  <c r="F85" i="2" s="1"/>
  <c r="G85" i="2" a="1"/>
  <c r="G85" i="2" s="1"/>
  <c r="I85" i="2" a="1"/>
  <c r="I85" i="2" s="1"/>
  <c r="J85" i="2" a="1"/>
  <c r="J85" i="2" s="1"/>
  <c r="K85" i="2" a="1"/>
  <c r="K85" i="2" s="1"/>
  <c r="L85" i="2" a="1"/>
  <c r="L85" i="2" s="1"/>
  <c r="M85" i="2" a="1"/>
  <c r="M85" i="2" s="1"/>
  <c r="N85" i="2" a="1"/>
  <c r="N85" i="2" s="1"/>
  <c r="O85" i="2" a="1"/>
  <c r="O85" i="2" s="1"/>
  <c r="P85" i="2" a="1"/>
  <c r="P85" i="2" s="1"/>
  <c r="Q85" i="2" a="1"/>
  <c r="Q85" i="2" s="1"/>
  <c r="R85" i="2" a="1"/>
  <c r="R85" i="2" s="1"/>
  <c r="S85" i="2" a="1"/>
  <c r="S85" i="2" s="1"/>
  <c r="T85" i="2" a="1"/>
  <c r="T85" i="2" s="1"/>
  <c r="U85" i="2" a="1"/>
  <c r="U85" i="2" s="1"/>
  <c r="V85" i="2" a="1"/>
  <c r="V85" i="2" s="1"/>
  <c r="C79" i="2" a="1"/>
  <c r="C79" i="2" s="1"/>
  <c r="D79" i="2" a="1"/>
  <c r="D79" i="2" s="1"/>
  <c r="E79" i="2" a="1"/>
  <c r="E79" i="2" s="1"/>
  <c r="F79" i="2" a="1"/>
  <c r="F79" i="2" s="1"/>
  <c r="G79" i="2" a="1"/>
  <c r="G79" i="2" s="1"/>
  <c r="H79" i="2" a="1"/>
  <c r="H79" i="2" s="1"/>
  <c r="I79" i="2" a="1"/>
  <c r="I79" i="2" s="1"/>
  <c r="J79" i="2" a="1"/>
  <c r="J79" i="2" s="1"/>
  <c r="K79" i="2" a="1"/>
  <c r="K79" i="2" s="1"/>
  <c r="L79" i="2" a="1"/>
  <c r="L79" i="2" s="1"/>
  <c r="M79" i="2" a="1"/>
  <c r="M79" i="2" s="1"/>
  <c r="N79" i="2" a="1"/>
  <c r="N79" i="2" s="1"/>
  <c r="O79" i="2" a="1"/>
  <c r="O79" i="2" s="1"/>
  <c r="P79" i="2" a="1"/>
  <c r="P79" i="2" s="1"/>
  <c r="Q79" i="2" a="1"/>
  <c r="Q79" i="2" s="1"/>
  <c r="R79" i="2" a="1"/>
  <c r="R79" i="2" s="1"/>
  <c r="S79" i="2" a="1"/>
  <c r="S79" i="2" s="1"/>
  <c r="T79" i="2" a="1"/>
  <c r="T79" i="2" s="1"/>
  <c r="U79" i="2" a="1"/>
  <c r="U79" i="2" s="1"/>
  <c r="V79" i="2" a="1"/>
  <c r="V79" i="2" s="1"/>
  <c r="C20" i="2" a="1"/>
  <c r="C20" i="2" s="1"/>
  <c r="D20" i="2" a="1"/>
  <c r="D20" i="2" s="1"/>
  <c r="E20" i="2" a="1"/>
  <c r="E20" i="2" s="1"/>
  <c r="F20" i="2" a="1"/>
  <c r="F20" i="2" s="1"/>
  <c r="G20" i="2" a="1"/>
  <c r="G20" i="2" s="1"/>
  <c r="H20" i="2" a="1"/>
  <c r="H20" i="2" s="1"/>
  <c r="I20" i="2" a="1"/>
  <c r="I20" i="2" s="1"/>
  <c r="J20" i="2" a="1"/>
  <c r="J20" i="2" s="1"/>
  <c r="K20" i="2" a="1"/>
  <c r="K20" i="2" s="1"/>
  <c r="L20" i="2" a="1"/>
  <c r="L20" i="2" s="1"/>
  <c r="M20" i="2" a="1"/>
  <c r="M20" i="2" s="1"/>
  <c r="N20" i="2" a="1"/>
  <c r="N20" i="2" s="1"/>
  <c r="O20" i="2" a="1"/>
  <c r="O20" i="2" s="1"/>
  <c r="P20" i="2" a="1"/>
  <c r="P20" i="2" s="1"/>
  <c r="Q20" i="2" a="1"/>
  <c r="Q20" i="2" s="1"/>
  <c r="R20" i="2" a="1"/>
  <c r="R20" i="2" s="1"/>
  <c r="S20" i="2" a="1"/>
  <c r="S20" i="2" s="1"/>
  <c r="T20" i="2" a="1"/>
  <c r="T20" i="2" s="1"/>
  <c r="U20" i="2" a="1"/>
  <c r="U20" i="2" s="1"/>
  <c r="V20" i="2" a="1"/>
  <c r="V20" i="2" s="1"/>
  <c r="C32" i="2" a="1"/>
  <c r="C32" i="2" s="1"/>
  <c r="D32" i="2" a="1"/>
  <c r="D32" i="2" s="1"/>
  <c r="E32" i="2" a="1"/>
  <c r="E32" i="2" s="1"/>
  <c r="F32" i="2" a="1"/>
  <c r="F32" i="2" s="1"/>
  <c r="G32" i="2" a="1"/>
  <c r="G32" i="2" s="1"/>
  <c r="H32" i="2" a="1"/>
  <c r="H32" i="2" s="1"/>
  <c r="I32" i="2" a="1"/>
  <c r="I32" i="2" s="1"/>
  <c r="J32" i="2" a="1"/>
  <c r="J32" i="2" s="1"/>
  <c r="K32" i="2" a="1"/>
  <c r="K32" i="2" s="1"/>
  <c r="L32" i="2" a="1"/>
  <c r="L32" i="2" s="1"/>
  <c r="M32" i="2" a="1"/>
  <c r="M32" i="2" s="1"/>
  <c r="N32" i="2" a="1"/>
  <c r="N32" i="2" s="1"/>
  <c r="O32" i="2" a="1"/>
  <c r="O32" i="2" s="1"/>
  <c r="P32" i="2" a="1"/>
  <c r="P32" i="2" s="1"/>
  <c r="Q32" i="2" a="1"/>
  <c r="Q32" i="2" s="1"/>
  <c r="R32" i="2" a="1"/>
  <c r="R32" i="2" s="1"/>
  <c r="S32" i="2" a="1"/>
  <c r="S32" i="2" s="1"/>
  <c r="T32" i="2" a="1"/>
  <c r="T32" i="2" s="1"/>
  <c r="U32" i="2" a="1"/>
  <c r="U32" i="2" s="1"/>
  <c r="V32" i="2" a="1"/>
  <c r="V32" i="2" s="1"/>
  <c r="C93" i="2" a="1"/>
  <c r="C93" i="2" s="1"/>
  <c r="D93" i="2" a="1"/>
  <c r="D93" i="2" s="1"/>
  <c r="E93" i="2" a="1"/>
  <c r="E93" i="2" s="1"/>
  <c r="F93" i="2" a="1"/>
  <c r="F93" i="2" s="1"/>
  <c r="G93" i="2" a="1"/>
  <c r="G93" i="2" s="1"/>
  <c r="H93" i="2" a="1"/>
  <c r="H93" i="2" s="1"/>
  <c r="I93" i="2" a="1"/>
  <c r="I93" i="2" s="1"/>
  <c r="J93" i="2" a="1"/>
  <c r="J93" i="2" s="1"/>
  <c r="K93" i="2" a="1"/>
  <c r="K93" i="2" s="1"/>
  <c r="L93" i="2" a="1"/>
  <c r="L93" i="2" s="1"/>
  <c r="M93" i="2" a="1"/>
  <c r="M93" i="2" s="1"/>
  <c r="N93" i="2" a="1"/>
  <c r="N93" i="2" s="1"/>
  <c r="O93" i="2" a="1"/>
  <c r="O93" i="2" s="1"/>
  <c r="P93" i="2" a="1"/>
  <c r="P93" i="2" s="1"/>
  <c r="Q93" i="2" a="1"/>
  <c r="Q93" i="2" s="1"/>
  <c r="R93" i="2" a="1"/>
  <c r="R93" i="2" s="1"/>
  <c r="S93" i="2" a="1"/>
  <c r="S93" i="2" s="1"/>
  <c r="T93" i="2" a="1"/>
  <c r="T93" i="2" s="1"/>
  <c r="U93" i="2" a="1"/>
  <c r="U93" i="2" s="1"/>
  <c r="V93" i="2" a="1"/>
  <c r="V93" i="2" s="1"/>
  <c r="C70" i="2" a="1"/>
  <c r="C70" i="2" s="1"/>
  <c r="D70" i="2" a="1"/>
  <c r="D70" i="2" s="1"/>
  <c r="E70" i="2" a="1"/>
  <c r="E70" i="2" s="1"/>
  <c r="F70" i="2" a="1"/>
  <c r="F70" i="2" s="1"/>
  <c r="G70" i="2" a="1"/>
  <c r="G70" i="2" s="1"/>
  <c r="H70" i="2" a="1"/>
  <c r="H70" i="2" s="1"/>
  <c r="I70" i="2" a="1"/>
  <c r="I70" i="2" s="1"/>
  <c r="J70" i="2" a="1"/>
  <c r="J70" i="2" s="1"/>
  <c r="K70" i="2" a="1"/>
  <c r="K70" i="2" s="1"/>
  <c r="L70" i="2" a="1"/>
  <c r="L70" i="2" s="1"/>
  <c r="M70" i="2" a="1"/>
  <c r="M70" i="2" s="1"/>
  <c r="N70" i="2" a="1"/>
  <c r="N70" i="2" s="1"/>
  <c r="O70" i="2" a="1"/>
  <c r="O70" i="2" s="1"/>
  <c r="P70" i="2" a="1"/>
  <c r="P70" i="2" s="1"/>
  <c r="Q70" i="2" a="1"/>
  <c r="Q70" i="2" s="1"/>
  <c r="R70" i="2" a="1"/>
  <c r="R70" i="2" s="1"/>
  <c r="S70" i="2" a="1"/>
  <c r="S70" i="2" s="1"/>
  <c r="T70" i="2" a="1"/>
  <c r="T70" i="2" s="1"/>
  <c r="U70" i="2" a="1"/>
  <c r="U70" i="2" s="1"/>
  <c r="V70" i="2" a="1"/>
  <c r="V70" i="2" s="1"/>
  <c r="C87" i="2" a="1"/>
  <c r="C87" i="2" s="1"/>
  <c r="D87" i="2" a="1"/>
  <c r="D87" i="2" s="1"/>
  <c r="E87" i="2" a="1"/>
  <c r="E87" i="2" s="1"/>
  <c r="F87" i="2" a="1"/>
  <c r="F87" i="2" s="1"/>
  <c r="G87" i="2" a="1"/>
  <c r="G87" i="2" s="1"/>
  <c r="H87" i="2" a="1"/>
  <c r="H87" i="2" s="1"/>
  <c r="I87" i="2" a="1"/>
  <c r="I87" i="2" s="1"/>
  <c r="J87" i="2" a="1"/>
  <c r="J87" i="2" s="1"/>
  <c r="K87" i="2" a="1"/>
  <c r="K87" i="2" s="1"/>
  <c r="L87" i="2" a="1"/>
  <c r="L87" i="2" s="1"/>
  <c r="M87" i="2" a="1"/>
  <c r="M87" i="2" s="1"/>
  <c r="N87" i="2" a="1"/>
  <c r="N87" i="2" s="1"/>
  <c r="O87" i="2" a="1"/>
  <c r="O87" i="2" s="1"/>
  <c r="P87" i="2" a="1"/>
  <c r="P87" i="2" s="1"/>
  <c r="Q87" i="2" a="1"/>
  <c r="Q87" i="2" s="1"/>
  <c r="R87" i="2" a="1"/>
  <c r="R87" i="2" s="1"/>
  <c r="S87" i="2" a="1"/>
  <c r="S87" i="2" s="1"/>
  <c r="T87" i="2" a="1"/>
  <c r="T87" i="2" s="1"/>
  <c r="U87" i="2" a="1"/>
  <c r="U87" i="2" s="1"/>
  <c r="V87" i="2" a="1"/>
  <c r="V87" i="2" s="1"/>
  <c r="C34" i="2" a="1"/>
  <c r="C34" i="2" s="1"/>
  <c r="D34" i="2" a="1"/>
  <c r="D34" i="2" s="1"/>
  <c r="E34" i="2" a="1"/>
  <c r="E34" i="2" s="1"/>
  <c r="F34" i="2" a="1"/>
  <c r="F34" i="2" s="1"/>
  <c r="G34" i="2" a="1"/>
  <c r="G34" i="2" s="1"/>
  <c r="H34" i="2" a="1"/>
  <c r="H34" i="2" s="1"/>
  <c r="I34" i="2" a="1"/>
  <c r="I34" i="2" s="1"/>
  <c r="J34" i="2" a="1"/>
  <c r="J34" i="2" s="1"/>
  <c r="K34" i="2" a="1"/>
  <c r="K34" i="2" s="1"/>
  <c r="L34" i="2" a="1"/>
  <c r="L34" i="2" s="1"/>
  <c r="M34" i="2" a="1"/>
  <c r="M34" i="2" s="1"/>
  <c r="N34" i="2" a="1"/>
  <c r="N34" i="2" s="1"/>
  <c r="O34" i="2" a="1"/>
  <c r="O34" i="2" s="1"/>
  <c r="P34" i="2" a="1"/>
  <c r="P34" i="2" s="1"/>
  <c r="Q34" i="2" a="1"/>
  <c r="Q34" i="2" s="1"/>
  <c r="R34" i="2" a="1"/>
  <c r="R34" i="2" s="1"/>
  <c r="S34" i="2" a="1"/>
  <c r="S34" i="2" s="1"/>
  <c r="T34" i="2" a="1"/>
  <c r="T34" i="2" s="1"/>
  <c r="U34" i="2" a="1"/>
  <c r="U34" i="2" s="1"/>
  <c r="V34" i="2" a="1"/>
  <c r="V34" i="2" s="1"/>
  <c r="C95" i="2" a="1"/>
  <c r="C95" i="2" s="1"/>
  <c r="D95" i="2" a="1"/>
  <c r="D95" i="2" s="1"/>
  <c r="E95" i="2" a="1"/>
  <c r="E95" i="2" s="1"/>
  <c r="F95" i="2" a="1"/>
  <c r="F95" i="2" s="1"/>
  <c r="G95" i="2" a="1"/>
  <c r="G95" i="2" s="1"/>
  <c r="H95" i="2" a="1"/>
  <c r="H95" i="2" s="1"/>
  <c r="I95" i="2" a="1"/>
  <c r="I95" i="2" s="1"/>
  <c r="J95" i="2" a="1"/>
  <c r="J95" i="2" s="1"/>
  <c r="K95" i="2" a="1"/>
  <c r="K95" i="2" s="1"/>
  <c r="L95" i="2" a="1"/>
  <c r="L95" i="2" s="1"/>
  <c r="M95" i="2" a="1"/>
  <c r="M95" i="2" s="1"/>
  <c r="N95" i="2" a="1"/>
  <c r="N95" i="2" s="1"/>
  <c r="O95" i="2" a="1"/>
  <c r="O95" i="2" s="1"/>
  <c r="P95" i="2" a="1"/>
  <c r="P95" i="2" s="1"/>
  <c r="Q95" i="2" a="1"/>
  <c r="Q95" i="2" s="1"/>
  <c r="R95" i="2" a="1"/>
  <c r="R95" i="2" s="1"/>
  <c r="S95" i="2" a="1"/>
  <c r="S95" i="2" s="1"/>
  <c r="T95" i="2" a="1"/>
  <c r="T95" i="2" s="1"/>
  <c r="U95" i="2" a="1"/>
  <c r="U95" i="2" s="1"/>
  <c r="V95" i="2" a="1"/>
  <c r="V95" i="2" s="1"/>
  <c r="C23" i="2" a="1"/>
  <c r="C23" i="2" s="1"/>
  <c r="D23" i="2" a="1"/>
  <c r="D23" i="2" s="1"/>
  <c r="E23" i="2" a="1"/>
  <c r="E23" i="2" s="1"/>
  <c r="F23" i="2" a="1"/>
  <c r="F23" i="2" s="1"/>
  <c r="G23" i="2" a="1"/>
  <c r="G23" i="2" s="1"/>
  <c r="H23" i="2" a="1"/>
  <c r="H23" i="2" s="1"/>
  <c r="I23" i="2" a="1"/>
  <c r="I23" i="2" s="1"/>
  <c r="J23" i="2" a="1"/>
  <c r="J23" i="2" s="1"/>
  <c r="K23" i="2" a="1"/>
  <c r="K23" i="2" s="1"/>
  <c r="L23" i="2" a="1"/>
  <c r="L23" i="2" s="1"/>
  <c r="M23" i="2" a="1"/>
  <c r="M23" i="2" s="1"/>
  <c r="N23" i="2" a="1"/>
  <c r="N23" i="2" s="1"/>
  <c r="O23" i="2" a="1"/>
  <c r="O23" i="2" s="1"/>
  <c r="P23" i="2" a="1"/>
  <c r="P23" i="2" s="1"/>
  <c r="Q23" i="2" a="1"/>
  <c r="Q23" i="2" s="1"/>
  <c r="R23" i="2" a="1"/>
  <c r="R23" i="2" s="1"/>
  <c r="S23" i="2" a="1"/>
  <c r="S23" i="2" s="1"/>
  <c r="T23" i="2" a="1"/>
  <c r="T23" i="2" s="1"/>
  <c r="U23" i="2" a="1"/>
  <c r="U23" i="2" s="1"/>
  <c r="V23" i="2" a="1"/>
  <c r="V23" i="2" s="1"/>
  <c r="C28" i="2" a="1"/>
  <c r="C28" i="2" s="1"/>
  <c r="D28" i="2" a="1"/>
  <c r="D28" i="2" s="1"/>
  <c r="E28" i="2" a="1"/>
  <c r="E28" i="2" s="1"/>
  <c r="F28" i="2" a="1"/>
  <c r="F28" i="2" s="1"/>
  <c r="G28" i="2" a="1"/>
  <c r="G28" i="2" s="1"/>
  <c r="H28" i="2" a="1"/>
  <c r="H28" i="2" s="1"/>
  <c r="I28" i="2" a="1"/>
  <c r="I28" i="2" s="1"/>
  <c r="J28" i="2" a="1"/>
  <c r="J28" i="2" s="1"/>
  <c r="K28" i="2" a="1"/>
  <c r="K28" i="2" s="1"/>
  <c r="L28" i="2" a="1"/>
  <c r="L28" i="2" s="1"/>
  <c r="M28" i="2" a="1"/>
  <c r="M28" i="2" s="1"/>
  <c r="N28" i="2" a="1"/>
  <c r="N28" i="2" s="1"/>
  <c r="O28" i="2" a="1"/>
  <c r="O28" i="2" s="1"/>
  <c r="P28" i="2" a="1"/>
  <c r="P28" i="2" s="1"/>
  <c r="Q28" i="2" a="1"/>
  <c r="Q28" i="2" s="1"/>
  <c r="R28" i="2" a="1"/>
  <c r="R28" i="2" s="1"/>
  <c r="S28" i="2" a="1"/>
  <c r="S28" i="2" s="1"/>
  <c r="T28" i="2" a="1"/>
  <c r="T28" i="2" s="1"/>
  <c r="U28" i="2" a="1"/>
  <c r="U28" i="2" s="1"/>
  <c r="V28" i="2" a="1"/>
  <c r="V28" i="2" s="1"/>
  <c r="C25" i="2" a="1"/>
  <c r="C25" i="2" s="1"/>
  <c r="D25" i="2" a="1"/>
  <c r="D25" i="2" s="1"/>
  <c r="E25" i="2" a="1"/>
  <c r="E25" i="2" s="1"/>
  <c r="F25" i="2" a="1"/>
  <c r="F25" i="2" s="1"/>
  <c r="G25" i="2" a="1"/>
  <c r="G25" i="2" s="1"/>
  <c r="H25" i="2" a="1"/>
  <c r="H25" i="2" s="1"/>
  <c r="I25" i="2" a="1"/>
  <c r="I25" i="2" s="1"/>
  <c r="J25" i="2" a="1"/>
  <c r="J25" i="2" s="1"/>
  <c r="K25" i="2" a="1"/>
  <c r="K25" i="2" s="1"/>
  <c r="L25" i="2" a="1"/>
  <c r="L25" i="2" s="1"/>
  <c r="M25" i="2" a="1"/>
  <c r="M25" i="2" s="1"/>
  <c r="N25" i="2" a="1"/>
  <c r="N25" i="2" s="1"/>
  <c r="O25" i="2" a="1"/>
  <c r="O25" i="2" s="1"/>
  <c r="P25" i="2" a="1"/>
  <c r="P25" i="2" s="1"/>
  <c r="Q25" i="2" a="1"/>
  <c r="Q25" i="2" s="1"/>
  <c r="R25" i="2" a="1"/>
  <c r="R25" i="2" s="1"/>
  <c r="S25" i="2" a="1"/>
  <c r="S25" i="2" s="1"/>
  <c r="T25" i="2" a="1"/>
  <c r="T25" i="2" s="1"/>
  <c r="U25" i="2" a="1"/>
  <c r="U25" i="2" s="1"/>
  <c r="V25" i="2" a="1"/>
  <c r="V25" i="2" s="1"/>
  <c r="C54" i="2" a="1"/>
  <c r="C54" i="2" s="1"/>
  <c r="D54" i="2" a="1"/>
  <c r="D54" i="2" s="1"/>
  <c r="E54" i="2" a="1"/>
  <c r="E54" i="2" s="1"/>
  <c r="F54" i="2" a="1"/>
  <c r="F54" i="2" s="1"/>
  <c r="G54" i="2" a="1"/>
  <c r="G54" i="2" s="1"/>
  <c r="H54" i="2" a="1"/>
  <c r="H54" i="2" s="1"/>
  <c r="I54" i="2" a="1"/>
  <c r="I54" i="2" s="1"/>
  <c r="J54" i="2" a="1"/>
  <c r="J54" i="2" s="1"/>
  <c r="K54" i="2" a="1"/>
  <c r="K54" i="2" s="1"/>
  <c r="L54" i="2" a="1"/>
  <c r="L54" i="2" s="1"/>
  <c r="M54" i="2" a="1"/>
  <c r="M54" i="2" s="1"/>
  <c r="N54" i="2" a="1"/>
  <c r="N54" i="2" s="1"/>
  <c r="O54" i="2" a="1"/>
  <c r="O54" i="2" s="1"/>
  <c r="P54" i="2" a="1"/>
  <c r="P54" i="2" s="1"/>
  <c r="Q54" i="2" a="1"/>
  <c r="Q54" i="2" s="1"/>
  <c r="R54" i="2" a="1"/>
  <c r="R54" i="2" s="1"/>
  <c r="S54" i="2" a="1"/>
  <c r="S54" i="2" s="1"/>
  <c r="T54" i="2" a="1"/>
  <c r="T54" i="2" s="1"/>
  <c r="U54" i="2" a="1"/>
  <c r="U54" i="2" s="1"/>
  <c r="V54" i="2" a="1"/>
  <c r="V54" i="2" s="1"/>
  <c r="C48" i="2" a="1"/>
  <c r="C48" i="2" s="1"/>
  <c r="D48" i="2" a="1"/>
  <c r="D48" i="2" s="1"/>
  <c r="E48" i="2" a="1"/>
  <c r="E48" i="2" s="1"/>
  <c r="F48" i="2" a="1"/>
  <c r="F48" i="2" s="1"/>
  <c r="G48" i="2" a="1"/>
  <c r="G48" i="2" s="1"/>
  <c r="H48" i="2" a="1"/>
  <c r="H48" i="2" s="1"/>
  <c r="I48" i="2" a="1"/>
  <c r="I48" i="2" s="1"/>
  <c r="J48" i="2" a="1"/>
  <c r="J48" i="2" s="1"/>
  <c r="K48" i="2" a="1"/>
  <c r="K48" i="2" s="1"/>
  <c r="L48" i="2" a="1"/>
  <c r="L48" i="2" s="1"/>
  <c r="M48" i="2" a="1"/>
  <c r="M48" i="2" s="1"/>
  <c r="N48" i="2" a="1"/>
  <c r="N48" i="2" s="1"/>
  <c r="O48" i="2" a="1"/>
  <c r="O48" i="2" s="1"/>
  <c r="P48" i="2" a="1"/>
  <c r="P48" i="2" s="1"/>
  <c r="Q48" i="2" a="1"/>
  <c r="Q48" i="2" s="1"/>
  <c r="R48" i="2" a="1"/>
  <c r="R48" i="2" s="1"/>
  <c r="S48" i="2" a="1"/>
  <c r="S48" i="2" s="1"/>
  <c r="T48" i="2" a="1"/>
  <c r="T48" i="2" s="1"/>
  <c r="U48" i="2" a="1"/>
  <c r="U48" i="2" s="1"/>
  <c r="V48" i="2" a="1"/>
  <c r="V48" i="2" s="1"/>
  <c r="C81" i="2" a="1"/>
  <c r="C81" i="2" s="1"/>
  <c r="D81" i="2" a="1"/>
  <c r="D81" i="2" s="1"/>
  <c r="E81" i="2" a="1"/>
  <c r="E81" i="2" s="1"/>
  <c r="F81" i="2" a="1"/>
  <c r="F81" i="2" s="1"/>
  <c r="G81" i="2" a="1"/>
  <c r="G81" i="2" s="1"/>
  <c r="H81" i="2" a="1"/>
  <c r="H81" i="2" s="1"/>
  <c r="I81" i="2" a="1"/>
  <c r="I81" i="2" s="1"/>
  <c r="J81" i="2" a="1"/>
  <c r="J81" i="2" s="1"/>
  <c r="K81" i="2" a="1"/>
  <c r="K81" i="2" s="1"/>
  <c r="L81" i="2" a="1"/>
  <c r="L81" i="2" s="1"/>
  <c r="M81" i="2" a="1"/>
  <c r="M81" i="2" s="1"/>
  <c r="N81" i="2" a="1"/>
  <c r="N81" i="2" s="1"/>
  <c r="O81" i="2" a="1"/>
  <c r="O81" i="2" s="1"/>
  <c r="P81" i="2" a="1"/>
  <c r="P81" i="2" s="1"/>
  <c r="Q81" i="2" a="1"/>
  <c r="Q81" i="2" s="1"/>
  <c r="R81" i="2" a="1"/>
  <c r="R81" i="2" s="1"/>
  <c r="S81" i="2" a="1"/>
  <c r="S81" i="2" s="1"/>
  <c r="T81" i="2" a="1"/>
  <c r="T81" i="2" s="1"/>
  <c r="U81" i="2" a="1"/>
  <c r="U81" i="2" s="1"/>
  <c r="V81" i="2" a="1"/>
  <c r="V81" i="2" s="1"/>
  <c r="V66" i="2" a="1"/>
  <c r="V66" i="2" s="1"/>
  <c r="U66" i="2" a="1"/>
  <c r="U66" i="2" s="1"/>
  <c r="T66" i="2" a="1"/>
  <c r="T66" i="2" s="1"/>
  <c r="S66" i="2" a="1"/>
  <c r="S66" i="2" s="1"/>
  <c r="R66" i="2" a="1"/>
  <c r="R66" i="2" s="1"/>
  <c r="Q66" i="2" a="1"/>
  <c r="Q66" i="2" s="1"/>
  <c r="P66" i="2" a="1"/>
  <c r="P66" i="2" s="1"/>
  <c r="O66" i="2" a="1"/>
  <c r="O66" i="2" s="1"/>
  <c r="N66" i="2" a="1"/>
  <c r="N66" i="2" s="1"/>
  <c r="M66" i="2" a="1"/>
  <c r="M66" i="2" s="1"/>
  <c r="L66" i="2" a="1"/>
  <c r="L66" i="2" s="1"/>
  <c r="K66" i="2" a="1"/>
  <c r="K66" i="2" s="1"/>
  <c r="J66" i="2" a="1"/>
  <c r="J66" i="2" s="1"/>
  <c r="I66" i="2" a="1"/>
  <c r="I66" i="2" s="1"/>
  <c r="H66" i="2" a="1"/>
  <c r="H66" i="2" s="1"/>
  <c r="G66" i="2" a="1"/>
  <c r="G66" i="2" s="1"/>
  <c r="F66" i="2" a="1"/>
  <c r="F66" i="2" s="1"/>
  <c r="E66" i="2" a="1"/>
  <c r="E66" i="2" s="1"/>
  <c r="D66" i="2" a="1"/>
  <c r="D66" i="2" s="1"/>
  <c r="C66" i="2" a="1"/>
  <c r="C66" i="2" s="1"/>
  <c r="V40" i="2" a="1"/>
  <c r="V40" i="2" s="1"/>
  <c r="U40" i="2" a="1"/>
  <c r="U40" i="2" s="1"/>
  <c r="T40" i="2" a="1"/>
  <c r="T40" i="2" s="1"/>
  <c r="S40" i="2" a="1"/>
  <c r="S40" i="2" s="1"/>
  <c r="R40" i="2" a="1"/>
  <c r="R40" i="2" s="1"/>
  <c r="Q40" i="2" a="1"/>
  <c r="Q40" i="2" s="1"/>
  <c r="P40" i="2" a="1"/>
  <c r="P40" i="2" s="1"/>
  <c r="O40" i="2" a="1"/>
  <c r="O40" i="2" s="1"/>
  <c r="N40" i="2" a="1"/>
  <c r="N40" i="2" s="1"/>
  <c r="M40" i="2" a="1"/>
  <c r="M40" i="2" s="1"/>
  <c r="L40" i="2" a="1"/>
  <c r="L40" i="2" s="1"/>
  <c r="K40" i="2" a="1"/>
  <c r="K40" i="2" s="1"/>
  <c r="J40" i="2" a="1"/>
  <c r="J40" i="2" s="1"/>
  <c r="I40" i="2" a="1"/>
  <c r="I40" i="2" s="1"/>
  <c r="H40" i="2" a="1"/>
  <c r="H40" i="2" s="1"/>
  <c r="G40" i="2" a="1"/>
  <c r="G40" i="2" s="1"/>
  <c r="F40" i="2" a="1"/>
  <c r="F40" i="2" s="1"/>
  <c r="E40" i="2" a="1"/>
  <c r="E40" i="2" s="1"/>
  <c r="D40" i="2" a="1"/>
  <c r="D40" i="2" s="1"/>
  <c r="C40" i="2" a="1"/>
  <c r="C40" i="2" s="1"/>
  <c r="V14" i="2" a="1"/>
  <c r="V14" i="2" s="1"/>
  <c r="U14" i="2" a="1"/>
  <c r="U14" i="2" s="1"/>
  <c r="T14" i="2" a="1"/>
  <c r="T14" i="2" s="1"/>
  <c r="S14" i="2" a="1"/>
  <c r="S14" i="2" s="1"/>
  <c r="R14" i="2" a="1"/>
  <c r="R14" i="2" s="1"/>
  <c r="Q14" i="2" a="1"/>
  <c r="Q14" i="2" s="1"/>
  <c r="P14" i="2" a="1"/>
  <c r="P14" i="2" s="1"/>
  <c r="O14" i="2" a="1"/>
  <c r="O14" i="2" s="1"/>
  <c r="N14" i="2" a="1"/>
  <c r="N14" i="2" s="1"/>
  <c r="M14" i="2" a="1"/>
  <c r="M14" i="2" s="1"/>
  <c r="L14" i="2" a="1"/>
  <c r="L14" i="2" s="1"/>
  <c r="K14" i="2" a="1"/>
  <c r="K14" i="2" s="1"/>
  <c r="J14" i="2" a="1"/>
  <c r="J14" i="2" s="1"/>
  <c r="I14" i="2" a="1"/>
  <c r="I14" i="2" s="1"/>
  <c r="H14" i="2" a="1"/>
  <c r="H14" i="2" s="1"/>
  <c r="G14" i="2" a="1"/>
  <c r="G14" i="2" s="1"/>
  <c r="F14" i="2" a="1"/>
  <c r="F14" i="2" s="1"/>
  <c r="E14" i="2" a="1"/>
  <c r="E14" i="2" s="1"/>
  <c r="D14" i="2" a="1"/>
  <c r="D14" i="2" s="1"/>
  <c r="C14" i="2" a="1"/>
  <c r="C14" i="2" s="1"/>
  <c r="V46" i="2" a="1"/>
  <c r="V46" i="2" s="1"/>
  <c r="U46" i="2" a="1"/>
  <c r="U46" i="2" s="1"/>
  <c r="T46" i="2" a="1"/>
  <c r="T46" i="2" s="1"/>
  <c r="S46" i="2" a="1"/>
  <c r="S46" i="2" s="1"/>
  <c r="R46" i="2" a="1"/>
  <c r="R46" i="2" s="1"/>
  <c r="Q46" i="2" a="1"/>
  <c r="Q46" i="2" s="1"/>
  <c r="P46" i="2" a="1"/>
  <c r="P46" i="2" s="1"/>
  <c r="O46" i="2" a="1"/>
  <c r="O46" i="2" s="1"/>
  <c r="N46" i="2" a="1"/>
  <c r="N46" i="2" s="1"/>
  <c r="M46" i="2" a="1"/>
  <c r="M46" i="2" s="1"/>
  <c r="L46" i="2" a="1"/>
  <c r="L46" i="2" s="1"/>
  <c r="K46" i="2" a="1"/>
  <c r="K46" i="2" s="1"/>
  <c r="J46" i="2" a="1"/>
  <c r="J46" i="2" s="1"/>
  <c r="I46" i="2" a="1"/>
  <c r="I46" i="2" s="1"/>
  <c r="H46" i="2" a="1"/>
  <c r="H46" i="2" s="1"/>
  <c r="G46" i="2" a="1"/>
  <c r="G46" i="2" s="1"/>
  <c r="F46" i="2" a="1"/>
  <c r="F46" i="2" s="1"/>
  <c r="E46" i="2" a="1"/>
  <c r="E46" i="2" s="1"/>
  <c r="D46" i="2" a="1"/>
  <c r="D46" i="2" s="1"/>
  <c r="C46" i="2" a="1"/>
  <c r="C46" i="2" s="1"/>
  <c r="V5" i="2" a="1"/>
  <c r="V5" i="2" s="1"/>
  <c r="U5" i="2" a="1"/>
  <c r="U5" i="2" s="1"/>
  <c r="T5" i="2" a="1"/>
  <c r="T5" i="2" s="1"/>
  <c r="S5" i="2" a="1"/>
  <c r="S5" i="2" s="1"/>
  <c r="R5" i="2" a="1"/>
  <c r="R5" i="2" s="1"/>
  <c r="Q5" i="2" a="1"/>
  <c r="Q5" i="2" s="1"/>
  <c r="P5" i="2" a="1"/>
  <c r="P5" i="2" s="1"/>
  <c r="O5" i="2" a="1"/>
  <c r="O5" i="2" s="1"/>
  <c r="N5" i="2" a="1"/>
  <c r="N5" i="2" s="1"/>
  <c r="M5" i="2" a="1"/>
  <c r="M5" i="2" s="1"/>
  <c r="L5" i="2" a="1"/>
  <c r="L5" i="2" s="1"/>
  <c r="K5" i="2" a="1"/>
  <c r="K5" i="2" s="1"/>
  <c r="J5" i="2" a="1"/>
  <c r="J5" i="2" s="1"/>
  <c r="I5" i="2" a="1"/>
  <c r="I5" i="2" s="1"/>
  <c r="H5" i="2" a="1"/>
  <c r="H5" i="2" s="1"/>
  <c r="G5" i="2" a="1"/>
  <c r="G5" i="2" s="1"/>
  <c r="F5" i="2" a="1"/>
  <c r="F5" i="2" s="1"/>
  <c r="E5" i="2" a="1"/>
  <c r="E5" i="2" s="1"/>
  <c r="D5" i="2" a="1"/>
  <c r="D5" i="2" s="1"/>
  <c r="C5" i="2" a="1"/>
  <c r="C5" i="2" s="1"/>
  <c r="V2" i="2" a="1"/>
  <c r="V2" i="2" s="1"/>
  <c r="U2" i="2" a="1"/>
  <c r="U2" i="2" s="1"/>
  <c r="T2" i="2" a="1"/>
  <c r="T2" i="2" s="1"/>
  <c r="S2" i="2" a="1"/>
  <c r="S2" i="2" s="1"/>
  <c r="R2" i="2" a="1"/>
  <c r="R2" i="2" s="1"/>
  <c r="Q2" i="2" a="1"/>
  <c r="Q2" i="2" s="1"/>
  <c r="P2" i="2" a="1"/>
  <c r="P2" i="2" s="1"/>
  <c r="O2" i="2" a="1"/>
  <c r="O2" i="2" s="1"/>
  <c r="N2" i="2" a="1"/>
  <c r="N2" i="2" s="1"/>
  <c r="M2" i="2" a="1"/>
  <c r="M2" i="2" s="1"/>
  <c r="L2" i="2" a="1"/>
  <c r="L2" i="2" s="1"/>
  <c r="K2" i="2" a="1"/>
  <c r="K2" i="2" s="1"/>
  <c r="J2" i="2" a="1"/>
  <c r="J2" i="2" s="1"/>
  <c r="I2" i="2" a="1"/>
  <c r="I2" i="2" s="1"/>
  <c r="H2" i="2" a="1"/>
  <c r="H2" i="2" s="1"/>
  <c r="G2" i="2" a="1"/>
  <c r="G2" i="2" s="1"/>
  <c r="F2" i="2" a="1"/>
  <c r="F2" i="2" s="1"/>
  <c r="E2" i="2" a="1"/>
  <c r="E2" i="2" s="1"/>
  <c r="D2" i="2" a="1"/>
  <c r="D2" i="2" s="1"/>
  <c r="C2" i="2" a="1"/>
  <c r="C2" i="2" s="1"/>
  <c r="V77" i="2" a="1"/>
  <c r="V77" i="2" s="1"/>
  <c r="U77" i="2" a="1"/>
  <c r="U77" i="2" s="1"/>
  <c r="T77" i="2" a="1"/>
  <c r="T77" i="2" s="1"/>
  <c r="S77" i="2" a="1"/>
  <c r="S77" i="2" s="1"/>
  <c r="R77" i="2" a="1"/>
  <c r="R77" i="2" s="1"/>
  <c r="Q77" i="2" a="1"/>
  <c r="Q77" i="2" s="1"/>
  <c r="P77" i="2" a="1"/>
  <c r="P77" i="2" s="1"/>
  <c r="O77" i="2" a="1"/>
  <c r="O77" i="2" s="1"/>
  <c r="N77" i="2" a="1"/>
  <c r="N77" i="2" s="1"/>
  <c r="M77" i="2" a="1"/>
  <c r="M77" i="2" s="1"/>
  <c r="L77" i="2" a="1"/>
  <c r="L77" i="2" s="1"/>
  <c r="K77" i="2" a="1"/>
  <c r="K77" i="2" s="1"/>
  <c r="J77" i="2" a="1"/>
  <c r="J77" i="2" s="1"/>
  <c r="I77" i="2" a="1"/>
  <c r="I77" i="2" s="1"/>
  <c r="H77" i="2" a="1"/>
  <c r="H77" i="2" s="1"/>
  <c r="G77" i="2" a="1"/>
  <c r="G77" i="2" s="1"/>
  <c r="F77" i="2" a="1"/>
  <c r="F77" i="2" s="1"/>
  <c r="E77" i="2" a="1"/>
  <c r="E77" i="2" s="1"/>
  <c r="D77" i="2" a="1"/>
  <c r="D77" i="2" s="1"/>
  <c r="C77" i="2" a="1"/>
  <c r="C77" i="2" s="1"/>
  <c r="V39" i="2" a="1"/>
  <c r="V39" i="2" s="1"/>
  <c r="U39" i="2" a="1"/>
  <c r="U39" i="2" s="1"/>
  <c r="T39" i="2" a="1"/>
  <c r="T39" i="2" s="1"/>
  <c r="S39" i="2" a="1"/>
  <c r="S39" i="2" s="1"/>
  <c r="R39" i="2" a="1"/>
  <c r="R39" i="2" s="1"/>
  <c r="Q39" i="2" a="1"/>
  <c r="Q39" i="2" s="1"/>
  <c r="P39" i="2" a="1"/>
  <c r="P39" i="2" s="1"/>
  <c r="O39" i="2" a="1"/>
  <c r="O39" i="2" s="1"/>
  <c r="N39" i="2" a="1"/>
  <c r="N39" i="2" s="1"/>
  <c r="M39" i="2" a="1"/>
  <c r="M39" i="2" s="1"/>
  <c r="L39" i="2" a="1"/>
  <c r="L39" i="2" s="1"/>
  <c r="K39" i="2" a="1"/>
  <c r="K39" i="2" s="1"/>
  <c r="J39" i="2" a="1"/>
  <c r="J39" i="2" s="1"/>
  <c r="I39" i="2" a="1"/>
  <c r="I39" i="2" s="1"/>
  <c r="H39" i="2" a="1"/>
  <c r="H39" i="2" s="1"/>
  <c r="G39" i="2" a="1"/>
  <c r="G39" i="2" s="1"/>
  <c r="F39" i="2" a="1"/>
  <c r="F39" i="2" s="1"/>
  <c r="E39" i="2" a="1"/>
  <c r="E39" i="2" s="1"/>
  <c r="D39" i="2" a="1"/>
  <c r="D39" i="2" s="1"/>
  <c r="C39" i="2" a="1"/>
  <c r="C39" i="2" s="1"/>
  <c r="V24" i="2" a="1"/>
  <c r="V24" i="2" s="1"/>
  <c r="U24" i="2" a="1"/>
  <c r="U24" i="2" s="1"/>
  <c r="T24" i="2" a="1"/>
  <c r="T24" i="2" s="1"/>
  <c r="S24" i="2" a="1"/>
  <c r="S24" i="2" s="1"/>
  <c r="R24" i="2" a="1"/>
  <c r="R24" i="2" s="1"/>
  <c r="Q24" i="2" a="1"/>
  <c r="Q24" i="2" s="1"/>
  <c r="P24" i="2" a="1"/>
  <c r="P24" i="2" s="1"/>
  <c r="O24" i="2" a="1"/>
  <c r="O24" i="2" s="1"/>
  <c r="N24" i="2" a="1"/>
  <c r="N24" i="2" s="1"/>
  <c r="M24" i="2" a="1"/>
  <c r="M24" i="2" s="1"/>
  <c r="L24" i="2" a="1"/>
  <c r="L24" i="2" s="1"/>
  <c r="K24" i="2" a="1"/>
  <c r="K24" i="2" s="1"/>
  <c r="J24" i="2" a="1"/>
  <c r="J24" i="2" s="1"/>
  <c r="I24" i="2" a="1"/>
  <c r="I24" i="2" s="1"/>
  <c r="H24" i="2" a="1"/>
  <c r="H24" i="2" s="1"/>
  <c r="G24" i="2" a="1"/>
  <c r="G24" i="2" s="1"/>
  <c r="F24" i="2" a="1"/>
  <c r="F24" i="2" s="1"/>
  <c r="E24" i="2" a="1"/>
  <c r="E24" i="2" s="1"/>
  <c r="D24" i="2" a="1"/>
  <c r="D24" i="2" s="1"/>
  <c r="C24" i="2" a="1"/>
  <c r="C24" i="2" s="1"/>
  <c r="V21" i="2" a="1"/>
  <c r="V21" i="2" s="1"/>
  <c r="U21" i="2" a="1"/>
  <c r="U21" i="2" s="1"/>
  <c r="T21" i="2" a="1"/>
  <c r="T21" i="2" s="1"/>
  <c r="S21" i="2" a="1"/>
  <c r="S21" i="2" s="1"/>
  <c r="R21" i="2" a="1"/>
  <c r="R21" i="2" s="1"/>
  <c r="Q21" i="2" a="1"/>
  <c r="Q21" i="2" s="1"/>
  <c r="P21" i="2" a="1"/>
  <c r="P21" i="2" s="1"/>
  <c r="O21" i="2" a="1"/>
  <c r="O21" i="2" s="1"/>
  <c r="N21" i="2" a="1"/>
  <c r="N21" i="2" s="1"/>
  <c r="M21" i="2" a="1"/>
  <c r="M21" i="2" s="1"/>
  <c r="L21" i="2" a="1"/>
  <c r="L21" i="2" s="1"/>
  <c r="K21" i="2" a="1"/>
  <c r="K21" i="2" s="1"/>
  <c r="J21" i="2" a="1"/>
  <c r="J21" i="2" s="1"/>
  <c r="I21" i="2" a="1"/>
  <c r="I21" i="2" s="1"/>
  <c r="H21" i="2" a="1"/>
  <c r="H21" i="2" s="1"/>
  <c r="G21" i="2" a="1"/>
  <c r="G21" i="2" s="1"/>
  <c r="F21" i="2" a="1"/>
  <c r="F21" i="2" s="1"/>
  <c r="E21" i="2" a="1"/>
  <c r="E21" i="2" s="1"/>
  <c r="D21" i="2" a="1"/>
  <c r="D21" i="2" s="1"/>
  <c r="C21" i="2" a="1"/>
  <c r="C21" i="2" s="1"/>
  <c r="V17" i="2" a="1"/>
  <c r="V17" i="2" s="1"/>
  <c r="U17" i="2" a="1"/>
  <c r="U17" i="2" s="1"/>
  <c r="T17" i="2" a="1"/>
  <c r="T17" i="2" s="1"/>
  <c r="S17" i="2" a="1"/>
  <c r="S17" i="2" s="1"/>
  <c r="R17" i="2" a="1"/>
  <c r="R17" i="2" s="1"/>
  <c r="Q17" i="2" a="1"/>
  <c r="Q17" i="2" s="1"/>
  <c r="P17" i="2" a="1"/>
  <c r="P17" i="2" s="1"/>
  <c r="O17" i="2" a="1"/>
  <c r="O17" i="2" s="1"/>
  <c r="N17" i="2" a="1"/>
  <c r="N17" i="2" s="1"/>
  <c r="M17" i="2" a="1"/>
  <c r="M17" i="2" s="1"/>
  <c r="L17" i="2" a="1"/>
  <c r="L17" i="2" s="1"/>
  <c r="K17" i="2" a="1"/>
  <c r="K17" i="2" s="1"/>
  <c r="J17" i="2" a="1"/>
  <c r="J17" i="2" s="1"/>
  <c r="I17" i="2" a="1"/>
  <c r="I17" i="2" s="1"/>
  <c r="H17" i="2" a="1"/>
  <c r="H17" i="2" s="1"/>
  <c r="G17" i="2" a="1"/>
  <c r="G17" i="2" s="1"/>
  <c r="F17" i="2" a="1"/>
  <c r="F17" i="2" s="1"/>
  <c r="E17" i="2" a="1"/>
  <c r="E17" i="2" s="1"/>
  <c r="D17" i="2" a="1"/>
  <c r="D17" i="2" s="1"/>
  <c r="C17" i="2" a="1"/>
  <c r="C17" i="2" s="1"/>
  <c r="V53" i="2" a="1"/>
  <c r="V53" i="2" s="1"/>
  <c r="U53" i="2" a="1"/>
  <c r="U53" i="2" s="1"/>
  <c r="T53" i="2" a="1"/>
  <c r="T53" i="2" s="1"/>
  <c r="S53" i="2" a="1"/>
  <c r="S53" i="2" s="1"/>
  <c r="R53" i="2" a="1"/>
  <c r="R53" i="2" s="1"/>
  <c r="Q53" i="2" a="1"/>
  <c r="Q53" i="2" s="1"/>
  <c r="P53" i="2" a="1"/>
  <c r="P53" i="2" s="1"/>
  <c r="O53" i="2" a="1"/>
  <c r="O53" i="2" s="1"/>
  <c r="N53" i="2" a="1"/>
  <c r="N53" i="2" s="1"/>
  <c r="M53" i="2" a="1"/>
  <c r="M53" i="2" s="1"/>
  <c r="L53" i="2" a="1"/>
  <c r="L53" i="2" s="1"/>
  <c r="K53" i="2" a="1"/>
  <c r="K53" i="2" s="1"/>
  <c r="J53" i="2" a="1"/>
  <c r="J53" i="2" s="1"/>
  <c r="I53" i="2" a="1"/>
  <c r="I53" i="2" s="1"/>
  <c r="H53" i="2" a="1"/>
  <c r="H53" i="2" s="1"/>
  <c r="G53" i="2" a="1"/>
  <c r="G53" i="2" s="1"/>
  <c r="F53" i="2" a="1"/>
  <c r="F53" i="2" s="1"/>
  <c r="E53" i="2" a="1"/>
  <c r="E53" i="2" s="1"/>
  <c r="D53" i="2" a="1"/>
  <c r="D53" i="2" s="1"/>
  <c r="C53" i="2" a="1"/>
  <c r="C53" i="2" s="1"/>
  <c r="V15" i="2" a="1"/>
  <c r="V15" i="2" s="1"/>
  <c r="U15" i="2" a="1"/>
  <c r="U15" i="2" s="1"/>
  <c r="T15" i="2" a="1"/>
  <c r="T15" i="2" s="1"/>
  <c r="S15" i="2" a="1"/>
  <c r="S15" i="2" s="1"/>
  <c r="R15" i="2" a="1"/>
  <c r="R15" i="2" s="1"/>
  <c r="Q15" i="2" a="1"/>
  <c r="Q15" i="2" s="1"/>
  <c r="P15" i="2" a="1"/>
  <c r="P15" i="2" s="1"/>
  <c r="O15" i="2" a="1"/>
  <c r="O15" i="2" s="1"/>
  <c r="N15" i="2" a="1"/>
  <c r="N15" i="2" s="1"/>
  <c r="M15" i="2" a="1"/>
  <c r="M15" i="2" s="1"/>
  <c r="L15" i="2" a="1"/>
  <c r="L15" i="2" s="1"/>
  <c r="K15" i="2" a="1"/>
  <c r="K15" i="2" s="1"/>
  <c r="J15" i="2" a="1"/>
  <c r="J15" i="2" s="1"/>
  <c r="I15" i="2" a="1"/>
  <c r="I15" i="2" s="1"/>
  <c r="H15" i="2" a="1"/>
  <c r="H15" i="2" s="1"/>
  <c r="G15" i="2" a="1"/>
  <c r="G15" i="2" s="1"/>
  <c r="F15" i="2" a="1"/>
  <c r="F15" i="2" s="1"/>
  <c r="E15" i="2" a="1"/>
  <c r="E15" i="2" s="1"/>
  <c r="D15" i="2" a="1"/>
  <c r="D15" i="2" s="1"/>
  <c r="C15" i="2" a="1"/>
  <c r="C15" i="2" s="1"/>
  <c r="V90" i="2" a="1"/>
  <c r="V90" i="2" s="1"/>
  <c r="U90" i="2" a="1"/>
  <c r="U90" i="2" s="1"/>
  <c r="T90" i="2" a="1"/>
  <c r="T90" i="2" s="1"/>
  <c r="S90" i="2" a="1"/>
  <c r="S90" i="2" s="1"/>
  <c r="R90" i="2" a="1"/>
  <c r="R90" i="2" s="1"/>
  <c r="Q90" i="2" a="1"/>
  <c r="Q90" i="2" s="1"/>
  <c r="P90" i="2" a="1"/>
  <c r="P90" i="2" s="1"/>
  <c r="O90" i="2" a="1"/>
  <c r="O90" i="2" s="1"/>
  <c r="N90" i="2" a="1"/>
  <c r="N90" i="2" s="1"/>
  <c r="M90" i="2" a="1"/>
  <c r="M90" i="2" s="1"/>
  <c r="L90" i="2" a="1"/>
  <c r="L90" i="2" s="1"/>
  <c r="K90" i="2" a="1"/>
  <c r="K90" i="2" s="1"/>
  <c r="J90" i="2" a="1"/>
  <c r="J90" i="2" s="1"/>
  <c r="I90" i="2" a="1"/>
  <c r="I90" i="2" s="1"/>
  <c r="H90" i="2" a="1"/>
  <c r="H90" i="2" s="1"/>
  <c r="G90" i="2" a="1"/>
  <c r="G90" i="2" s="1"/>
  <c r="F90" i="2" a="1"/>
  <c r="F90" i="2" s="1"/>
  <c r="E90" i="2" a="1"/>
  <c r="E90" i="2" s="1"/>
  <c r="D90" i="2" a="1"/>
  <c r="D90" i="2" s="1"/>
  <c r="C90" i="2" a="1"/>
  <c r="C90" i="2" s="1"/>
  <c r="V9" i="2" a="1"/>
  <c r="V9" i="2" s="1"/>
  <c r="U9" i="2" a="1"/>
  <c r="U9" i="2" s="1"/>
  <c r="T9" i="2" a="1"/>
  <c r="T9" i="2" s="1"/>
  <c r="S9" i="2" a="1"/>
  <c r="S9" i="2" s="1"/>
  <c r="R9" i="2" a="1"/>
  <c r="R9" i="2" s="1"/>
  <c r="Q9" i="2" a="1"/>
  <c r="Q9" i="2" s="1"/>
  <c r="P9" i="2" a="1"/>
  <c r="P9" i="2" s="1"/>
  <c r="O9" i="2" a="1"/>
  <c r="O9" i="2" s="1"/>
  <c r="N9" i="2" a="1"/>
  <c r="N9" i="2" s="1"/>
  <c r="M9" i="2" a="1"/>
  <c r="M9" i="2" s="1"/>
  <c r="L9" i="2" a="1"/>
  <c r="L9" i="2" s="1"/>
  <c r="K9" i="2" a="1"/>
  <c r="K9" i="2" s="1"/>
  <c r="J9" i="2" a="1"/>
  <c r="J9" i="2" s="1"/>
  <c r="I9" i="2" a="1"/>
  <c r="I9" i="2" s="1"/>
  <c r="H9" i="2" a="1"/>
  <c r="H9" i="2" s="1"/>
  <c r="G9" i="2" a="1"/>
  <c r="G9" i="2" s="1"/>
  <c r="F9" i="2" a="1"/>
  <c r="F9" i="2" s="1"/>
  <c r="E9" i="2" a="1"/>
  <c r="E9" i="2" s="1"/>
  <c r="D9" i="2" a="1"/>
  <c r="D9" i="2" s="1"/>
  <c r="C9" i="2" a="1"/>
  <c r="C9" i="2" s="1"/>
  <c r="V45" i="2" a="1"/>
  <c r="V45" i="2" s="1"/>
  <c r="U45" i="2" a="1"/>
  <c r="U45" i="2" s="1"/>
  <c r="T45" i="2" a="1"/>
  <c r="T45" i="2" s="1"/>
  <c r="S45" i="2" a="1"/>
  <c r="S45" i="2" s="1"/>
  <c r="R45" i="2" a="1"/>
  <c r="R45" i="2" s="1"/>
  <c r="Q45" i="2" a="1"/>
  <c r="Q45" i="2" s="1"/>
  <c r="P45" i="2" a="1"/>
  <c r="P45" i="2" s="1"/>
  <c r="O45" i="2" a="1"/>
  <c r="O45" i="2" s="1"/>
  <c r="N45" i="2" a="1"/>
  <c r="N45" i="2" s="1"/>
  <c r="M45" i="2" a="1"/>
  <c r="M45" i="2" s="1"/>
  <c r="L45" i="2" a="1"/>
  <c r="L45" i="2" s="1"/>
  <c r="K45" i="2" a="1"/>
  <c r="K45" i="2" s="1"/>
  <c r="J45" i="2" a="1"/>
  <c r="J45" i="2" s="1"/>
  <c r="I45" i="2" a="1"/>
  <c r="I45" i="2" s="1"/>
  <c r="H45" i="2" a="1"/>
  <c r="H45" i="2" s="1"/>
  <c r="G45" i="2" a="1"/>
  <c r="G45" i="2" s="1"/>
  <c r="F45" i="2" a="1"/>
  <c r="F45" i="2" s="1"/>
  <c r="E45" i="2" a="1"/>
  <c r="E45" i="2" s="1"/>
  <c r="D45" i="2" a="1"/>
  <c r="D45" i="2" s="1"/>
  <c r="C45" i="2" a="1"/>
  <c r="C45" i="2" s="1"/>
  <c r="V36" i="2" a="1"/>
  <c r="V36" i="2" s="1"/>
  <c r="U36" i="2" a="1"/>
  <c r="U36" i="2" s="1"/>
  <c r="T36" i="2" a="1"/>
  <c r="T36" i="2" s="1"/>
  <c r="S36" i="2" a="1"/>
  <c r="S36" i="2" s="1"/>
  <c r="R36" i="2" a="1"/>
  <c r="R36" i="2" s="1"/>
  <c r="Q36" i="2" a="1"/>
  <c r="Q36" i="2" s="1"/>
  <c r="P36" i="2" a="1"/>
  <c r="P36" i="2" s="1"/>
  <c r="O36" i="2" a="1"/>
  <c r="O36" i="2" s="1"/>
  <c r="N36" i="2" a="1"/>
  <c r="N36" i="2" s="1"/>
  <c r="M36" i="2" a="1"/>
  <c r="M36" i="2" s="1"/>
  <c r="L36" i="2" a="1"/>
  <c r="L36" i="2" s="1"/>
  <c r="K36" i="2" a="1"/>
  <c r="K36" i="2" s="1"/>
  <c r="J36" i="2" a="1"/>
  <c r="J36" i="2" s="1"/>
  <c r="I36" i="2" a="1"/>
  <c r="I36" i="2" s="1"/>
  <c r="H36" i="2" a="1"/>
  <c r="H36" i="2" s="1"/>
  <c r="G36" i="2" a="1"/>
  <c r="G36" i="2" s="1"/>
  <c r="F36" i="2" a="1"/>
  <c r="F36" i="2" s="1"/>
  <c r="E36" i="2" a="1"/>
  <c r="E36" i="2" s="1"/>
  <c r="D36" i="2" a="1"/>
  <c r="D36" i="2" s="1"/>
  <c r="C36" i="2" a="1"/>
  <c r="C36" i="2" s="1"/>
  <c r="V58" i="2" a="1"/>
  <c r="V58" i="2" s="1"/>
  <c r="U58" i="2" a="1"/>
  <c r="U58" i="2" s="1"/>
  <c r="T58" i="2" a="1"/>
  <c r="T58" i="2" s="1"/>
  <c r="S58" i="2" a="1"/>
  <c r="S58" i="2" s="1"/>
  <c r="R58" i="2" a="1"/>
  <c r="R58" i="2" s="1"/>
  <c r="Q58" i="2" a="1"/>
  <c r="Q58" i="2" s="1"/>
  <c r="P58" i="2" a="1"/>
  <c r="P58" i="2" s="1"/>
  <c r="O58" i="2" a="1"/>
  <c r="O58" i="2" s="1"/>
  <c r="N58" i="2" a="1"/>
  <c r="N58" i="2" s="1"/>
  <c r="M58" i="2" a="1"/>
  <c r="M58" i="2" s="1"/>
  <c r="L58" i="2" a="1"/>
  <c r="L58" i="2" s="1"/>
  <c r="K58" i="2" a="1"/>
  <c r="K58" i="2" s="1"/>
  <c r="J58" i="2" a="1"/>
  <c r="J58" i="2" s="1"/>
  <c r="I58" i="2" a="1"/>
  <c r="I58" i="2" s="1"/>
  <c r="H58" i="2" a="1"/>
  <c r="H58" i="2" s="1"/>
  <c r="G58" i="2" a="1"/>
  <c r="G58" i="2" s="1"/>
  <c r="F58" i="2" a="1"/>
  <c r="F58" i="2" s="1"/>
  <c r="E58" i="2" a="1"/>
  <c r="E58" i="2" s="1"/>
  <c r="D58" i="2" a="1"/>
  <c r="D58" i="2" s="1"/>
  <c r="C58" i="2" a="1"/>
  <c r="C58" i="2" s="1"/>
  <c r="V65" i="2" a="1"/>
  <c r="V65" i="2" s="1"/>
  <c r="U65" i="2" a="1"/>
  <c r="U65" i="2" s="1"/>
  <c r="T65" i="2" a="1"/>
  <c r="T65" i="2" s="1"/>
  <c r="S65" i="2" a="1"/>
  <c r="S65" i="2" s="1"/>
  <c r="R65" i="2" a="1"/>
  <c r="R65" i="2" s="1"/>
  <c r="Q65" i="2" a="1"/>
  <c r="Q65" i="2" s="1"/>
  <c r="P65" i="2" a="1"/>
  <c r="P65" i="2" s="1"/>
  <c r="O65" i="2" a="1"/>
  <c r="O65" i="2" s="1"/>
  <c r="N65" i="2" a="1"/>
  <c r="N65" i="2" s="1"/>
  <c r="M65" i="2" a="1"/>
  <c r="M65" i="2" s="1"/>
  <c r="L65" i="2" a="1"/>
  <c r="L65" i="2" s="1"/>
  <c r="K65" i="2" a="1"/>
  <c r="K65" i="2" s="1"/>
  <c r="J65" i="2" a="1"/>
  <c r="J65" i="2" s="1"/>
  <c r="I65" i="2" a="1"/>
  <c r="I65" i="2" s="1"/>
  <c r="H65" i="2" a="1"/>
  <c r="H65" i="2" s="1"/>
  <c r="G65" i="2" a="1"/>
  <c r="G65" i="2" s="1"/>
  <c r="F65" i="2" a="1"/>
  <c r="F65" i="2" s="1"/>
  <c r="E65" i="2" a="1"/>
  <c r="E65" i="2" s="1"/>
  <c r="D65" i="2" a="1"/>
  <c r="D65" i="2" s="1"/>
  <c r="C65" i="2" a="1"/>
  <c r="C65" i="2" s="1"/>
  <c r="V11" i="2" a="1"/>
  <c r="V11" i="2" s="1"/>
  <c r="U11" i="2" a="1"/>
  <c r="U11" i="2" s="1"/>
  <c r="T11" i="2" a="1"/>
  <c r="T11" i="2" s="1"/>
  <c r="S11" i="2" a="1"/>
  <c r="S11" i="2" s="1"/>
  <c r="R11" i="2" a="1"/>
  <c r="R11" i="2" s="1"/>
  <c r="Q11" i="2" a="1"/>
  <c r="Q11" i="2" s="1"/>
  <c r="P11" i="2" a="1"/>
  <c r="P11" i="2" s="1"/>
  <c r="O11" i="2" a="1"/>
  <c r="O11" i="2" s="1"/>
  <c r="N11" i="2" a="1"/>
  <c r="N11" i="2" s="1"/>
  <c r="M11" i="2" a="1"/>
  <c r="M11" i="2" s="1"/>
  <c r="L11" i="2" a="1"/>
  <c r="L11" i="2" s="1"/>
  <c r="K11" i="2" a="1"/>
  <c r="K11" i="2" s="1"/>
  <c r="J11" i="2" a="1"/>
  <c r="J11" i="2" s="1"/>
  <c r="I11" i="2" a="1"/>
  <c r="I11" i="2" s="1"/>
  <c r="H11" i="2" a="1"/>
  <c r="H11" i="2" s="1"/>
  <c r="G11" i="2" a="1"/>
  <c r="G11" i="2" s="1"/>
  <c r="F11" i="2" a="1"/>
  <c r="F11" i="2" s="1"/>
  <c r="E11" i="2" a="1"/>
  <c r="E11" i="2" s="1"/>
  <c r="D11" i="2" a="1"/>
  <c r="D11" i="2" s="1"/>
  <c r="C11" i="2" a="1"/>
  <c r="C11" i="2" s="1"/>
  <c r="V6" i="2" a="1"/>
  <c r="V6" i="2" s="1"/>
  <c r="U6" i="2" a="1"/>
  <c r="U6" i="2" s="1"/>
  <c r="T6" i="2" a="1"/>
  <c r="T6" i="2" s="1"/>
  <c r="S6" i="2" a="1"/>
  <c r="S6" i="2" s="1"/>
  <c r="R6" i="2" a="1"/>
  <c r="R6" i="2" s="1"/>
  <c r="Q6" i="2" a="1"/>
  <c r="Q6" i="2" s="1"/>
  <c r="P6" i="2" a="1"/>
  <c r="P6" i="2" s="1"/>
  <c r="O6" i="2" a="1"/>
  <c r="O6" i="2" s="1"/>
  <c r="N6" i="2" a="1"/>
  <c r="N6" i="2" s="1"/>
  <c r="M6" i="2" a="1"/>
  <c r="M6" i="2" s="1"/>
  <c r="L6" i="2" a="1"/>
  <c r="L6" i="2" s="1"/>
  <c r="K6" i="2" a="1"/>
  <c r="K6" i="2" s="1"/>
  <c r="J6" i="2" a="1"/>
  <c r="J6" i="2" s="1"/>
  <c r="I6" i="2" a="1"/>
  <c r="I6" i="2" s="1"/>
  <c r="H6" i="2" a="1"/>
  <c r="H6" i="2" s="1"/>
  <c r="G6" i="2" a="1"/>
  <c r="G6" i="2" s="1"/>
  <c r="F6" i="2" a="1"/>
  <c r="F6" i="2" s="1"/>
  <c r="E6" i="2" a="1"/>
  <c r="E6" i="2" s="1"/>
  <c r="D6" i="2" a="1"/>
  <c r="D6" i="2" s="1"/>
  <c r="C6" i="2" a="1"/>
  <c r="C6" i="2" s="1"/>
  <c r="V76" i="2" a="1"/>
  <c r="V76" i="2" s="1"/>
  <c r="U76" i="2" a="1"/>
  <c r="U76" i="2" s="1"/>
  <c r="T76" i="2" a="1"/>
  <c r="T76" i="2" s="1"/>
  <c r="S76" i="2" a="1"/>
  <c r="S76" i="2" s="1"/>
  <c r="R76" i="2" a="1"/>
  <c r="R76" i="2" s="1"/>
  <c r="Q76" i="2" a="1"/>
  <c r="Q76" i="2" s="1"/>
  <c r="P76" i="2" a="1"/>
  <c r="P76" i="2" s="1"/>
  <c r="O76" i="2" a="1"/>
  <c r="O76" i="2" s="1"/>
  <c r="N76" i="2" a="1"/>
  <c r="N76" i="2" s="1"/>
  <c r="M76" i="2" a="1"/>
  <c r="M76" i="2" s="1"/>
  <c r="L76" i="2" a="1"/>
  <c r="L76" i="2" s="1"/>
  <c r="K76" i="2" a="1"/>
  <c r="K76" i="2" s="1"/>
  <c r="J76" i="2" a="1"/>
  <c r="J76" i="2" s="1"/>
  <c r="I76" i="2" a="1"/>
  <c r="I76" i="2" s="1"/>
  <c r="H76" i="2" a="1"/>
  <c r="H76" i="2" s="1"/>
  <c r="G76" i="2" a="1"/>
  <c r="G76" i="2" s="1"/>
  <c r="F76" i="2" a="1"/>
  <c r="F76" i="2" s="1"/>
  <c r="E76" i="2" a="1"/>
  <c r="E76" i="2" s="1"/>
  <c r="D76" i="2" a="1"/>
  <c r="D76" i="2" s="1"/>
  <c r="C76" i="2" a="1"/>
  <c r="C76" i="2" s="1"/>
  <c r="V16" i="2" a="1"/>
  <c r="V16" i="2" s="1"/>
  <c r="U16" i="2" a="1"/>
  <c r="U16" i="2" s="1"/>
  <c r="T16" i="2" a="1"/>
  <c r="T16" i="2" s="1"/>
  <c r="S16" i="2" a="1"/>
  <c r="S16" i="2" s="1"/>
  <c r="R16" i="2" a="1"/>
  <c r="R16" i="2" s="1"/>
  <c r="Q16" i="2" a="1"/>
  <c r="Q16" i="2" s="1"/>
  <c r="P16" i="2" a="1"/>
  <c r="P16" i="2" s="1"/>
  <c r="O16" i="2" a="1"/>
  <c r="O16" i="2" s="1"/>
  <c r="N16" i="2" a="1"/>
  <c r="N16" i="2" s="1"/>
  <c r="M16" i="2" a="1"/>
  <c r="M16" i="2" s="1"/>
  <c r="L16" i="2" a="1"/>
  <c r="L16" i="2" s="1"/>
  <c r="K16" i="2" a="1"/>
  <c r="K16" i="2" s="1"/>
  <c r="J16" i="2" a="1"/>
  <c r="J16" i="2" s="1"/>
  <c r="I16" i="2" a="1"/>
  <c r="I16" i="2" s="1"/>
  <c r="H16" i="2" a="1"/>
  <c r="H16" i="2" s="1"/>
  <c r="G16" i="2" a="1"/>
  <c r="G16" i="2" s="1"/>
  <c r="F16" i="2" a="1"/>
  <c r="F16" i="2" s="1"/>
  <c r="E16" i="2" a="1"/>
  <c r="E16" i="2" s="1"/>
  <c r="D16" i="2" a="1"/>
  <c r="D16" i="2" s="1"/>
  <c r="C16" i="2" a="1"/>
  <c r="C16" i="2" s="1"/>
  <c r="V88" i="2" a="1"/>
  <c r="V88" i="2" s="1"/>
  <c r="U88" i="2" a="1"/>
  <c r="U88" i="2" s="1"/>
  <c r="T88" i="2" a="1"/>
  <c r="T88" i="2" s="1"/>
  <c r="S88" i="2" a="1"/>
  <c r="S88" i="2" s="1"/>
  <c r="R88" i="2" a="1"/>
  <c r="R88" i="2" s="1"/>
  <c r="Q88" i="2" a="1"/>
  <c r="Q88" i="2" s="1"/>
  <c r="P88" i="2" a="1"/>
  <c r="P88" i="2" s="1"/>
  <c r="O88" i="2" a="1"/>
  <c r="O88" i="2" s="1"/>
  <c r="N88" i="2" a="1"/>
  <c r="N88" i="2" s="1"/>
  <c r="M88" i="2" a="1"/>
  <c r="M88" i="2" s="1"/>
  <c r="L88" i="2" a="1"/>
  <c r="L88" i="2" s="1"/>
  <c r="K88" i="2" a="1"/>
  <c r="K88" i="2" s="1"/>
  <c r="J88" i="2" a="1"/>
  <c r="J88" i="2" s="1"/>
  <c r="I88" i="2" a="1"/>
  <c r="I88" i="2" s="1"/>
  <c r="H88" i="2" a="1"/>
  <c r="H88" i="2" s="1"/>
  <c r="G88" i="2" a="1"/>
  <c r="G88" i="2" s="1"/>
  <c r="F88" i="2" a="1"/>
  <c r="F88" i="2" s="1"/>
  <c r="E88" i="2" a="1"/>
  <c r="E88" i="2" s="1"/>
  <c r="D88" i="2" a="1"/>
  <c r="D88" i="2" s="1"/>
  <c r="C88" i="2" a="1"/>
  <c r="C88" i="2" s="1"/>
  <c r="V91" i="2" a="1"/>
  <c r="V91" i="2" s="1"/>
  <c r="U91" i="2" a="1"/>
  <c r="U91" i="2" s="1"/>
  <c r="T91" i="2" a="1"/>
  <c r="T91" i="2" s="1"/>
  <c r="S91" i="2" a="1"/>
  <c r="S91" i="2" s="1"/>
  <c r="R91" i="2" a="1"/>
  <c r="R91" i="2" s="1"/>
  <c r="Q91" i="2" a="1"/>
  <c r="Q91" i="2" s="1"/>
  <c r="P91" i="2" a="1"/>
  <c r="P91" i="2" s="1"/>
  <c r="O91" i="2" a="1"/>
  <c r="O91" i="2" s="1"/>
  <c r="N91" i="2" a="1"/>
  <c r="N91" i="2" s="1"/>
  <c r="M91" i="2" a="1"/>
  <c r="M91" i="2" s="1"/>
  <c r="L91" i="2" a="1"/>
  <c r="L91" i="2" s="1"/>
  <c r="K91" i="2" a="1"/>
  <c r="K91" i="2" s="1"/>
  <c r="J91" i="2" a="1"/>
  <c r="J91" i="2" s="1"/>
  <c r="I91" i="2" a="1"/>
  <c r="I91" i="2" s="1"/>
  <c r="H91" i="2" a="1"/>
  <c r="H91" i="2" s="1"/>
  <c r="G91" i="2" a="1"/>
  <c r="G91" i="2" s="1"/>
  <c r="F91" i="2" a="1"/>
  <c r="F91" i="2" s="1"/>
  <c r="E91" i="2" a="1"/>
  <c r="E91" i="2" s="1"/>
  <c r="D91" i="2" a="1"/>
  <c r="D91" i="2" s="1"/>
  <c r="C91" i="2" a="1"/>
  <c r="C91" i="2" s="1"/>
  <c r="V31" i="2" a="1"/>
  <c r="V31" i="2" s="1"/>
  <c r="U31" i="2" a="1"/>
  <c r="U31" i="2" s="1"/>
  <c r="T31" i="2" a="1"/>
  <c r="T31" i="2" s="1"/>
  <c r="S31" i="2" a="1"/>
  <c r="S31" i="2" s="1"/>
  <c r="R31" i="2" a="1"/>
  <c r="R31" i="2" s="1"/>
  <c r="Q31" i="2" a="1"/>
  <c r="Q31" i="2" s="1"/>
  <c r="P31" i="2" a="1"/>
  <c r="P31" i="2" s="1"/>
  <c r="O31" i="2" a="1"/>
  <c r="O31" i="2" s="1"/>
  <c r="N31" i="2" a="1"/>
  <c r="N31" i="2" s="1"/>
  <c r="M31" i="2" a="1"/>
  <c r="M31" i="2" s="1"/>
  <c r="L31" i="2" a="1"/>
  <c r="L31" i="2" s="1"/>
  <c r="K31" i="2" a="1"/>
  <c r="K31" i="2" s="1"/>
  <c r="J31" i="2" a="1"/>
  <c r="J31" i="2" s="1"/>
  <c r="I31" i="2" a="1"/>
  <c r="I31" i="2" s="1"/>
  <c r="H31" i="2" a="1"/>
  <c r="H31" i="2" s="1"/>
  <c r="G31" i="2" a="1"/>
  <c r="G31" i="2" s="1"/>
  <c r="F31" i="2" a="1"/>
  <c r="F31" i="2" s="1"/>
  <c r="E31" i="2" a="1"/>
  <c r="E31" i="2" s="1"/>
  <c r="D31" i="2" a="1"/>
  <c r="D31" i="2" s="1"/>
  <c r="C31" i="2" a="1"/>
  <c r="C31" i="2" s="1"/>
  <c r="V50" i="2" a="1"/>
  <c r="V50" i="2" s="1"/>
  <c r="U50" i="2" a="1"/>
  <c r="U50" i="2" s="1"/>
  <c r="T50" i="2" a="1"/>
  <c r="T50" i="2" s="1"/>
  <c r="S50" i="2" a="1"/>
  <c r="S50" i="2" s="1"/>
  <c r="R50" i="2" a="1"/>
  <c r="R50" i="2" s="1"/>
  <c r="Q50" i="2" a="1"/>
  <c r="Q50" i="2" s="1"/>
  <c r="P50" i="2" a="1"/>
  <c r="P50" i="2" s="1"/>
  <c r="O50" i="2" a="1"/>
  <c r="O50" i="2" s="1"/>
  <c r="N50" i="2" a="1"/>
  <c r="N50" i="2" s="1"/>
  <c r="M50" i="2" a="1"/>
  <c r="M50" i="2" s="1"/>
  <c r="L50" i="2" a="1"/>
  <c r="L50" i="2" s="1"/>
  <c r="K50" i="2" a="1"/>
  <c r="K50" i="2" s="1"/>
  <c r="J50" i="2" a="1"/>
  <c r="J50" i="2" s="1"/>
  <c r="I50" i="2" a="1"/>
  <c r="I50" i="2" s="1"/>
  <c r="H50" i="2" a="1"/>
  <c r="H50" i="2" s="1"/>
  <c r="G50" i="2" a="1"/>
  <c r="G50" i="2" s="1"/>
  <c r="F50" i="2" a="1"/>
  <c r="F50" i="2" s="1"/>
  <c r="E50" i="2" a="1"/>
  <c r="E50" i="2" s="1"/>
  <c r="D50" i="2" a="1"/>
  <c r="D50" i="2" s="1"/>
  <c r="C50" i="2" a="1"/>
  <c r="C50" i="2" s="1"/>
  <c r="V10" i="2" a="1"/>
  <c r="V10" i="2" s="1"/>
  <c r="U10" i="2" a="1"/>
  <c r="U10" i="2" s="1"/>
  <c r="T10" i="2" a="1"/>
  <c r="T10" i="2" s="1"/>
  <c r="S10" i="2" a="1"/>
  <c r="S10" i="2" s="1"/>
  <c r="R10" i="2" a="1"/>
  <c r="R10" i="2" s="1"/>
  <c r="Q10" i="2" a="1"/>
  <c r="Q10" i="2" s="1"/>
  <c r="P10" i="2" a="1"/>
  <c r="P10" i="2" s="1"/>
  <c r="O10" i="2" a="1"/>
  <c r="O10" i="2" s="1"/>
  <c r="N10" i="2" a="1"/>
  <c r="N10" i="2" s="1"/>
  <c r="M10" i="2" a="1"/>
  <c r="M10" i="2" s="1"/>
  <c r="L10" i="2" a="1"/>
  <c r="L10" i="2" s="1"/>
  <c r="K10" i="2" a="1"/>
  <c r="K10" i="2" s="1"/>
  <c r="J10" i="2" a="1"/>
  <c r="J10" i="2" s="1"/>
  <c r="I10" i="2" a="1"/>
  <c r="I10" i="2" s="1"/>
  <c r="H10" i="2" a="1"/>
  <c r="H10" i="2" s="1"/>
  <c r="G10" i="2" a="1"/>
  <c r="G10" i="2" s="1"/>
  <c r="F10" i="2" a="1"/>
  <c r="F10" i="2" s="1"/>
  <c r="E10" i="2" a="1"/>
  <c r="E10" i="2" s="1"/>
  <c r="D10" i="2" a="1"/>
  <c r="D10" i="2" s="1"/>
  <c r="C10" i="2" a="1"/>
  <c r="C10" i="2" s="1"/>
  <c r="V35" i="2" a="1"/>
  <c r="V35" i="2" s="1"/>
  <c r="U35" i="2" a="1"/>
  <c r="U35" i="2" s="1"/>
  <c r="T35" i="2" a="1"/>
  <c r="T35" i="2" s="1"/>
  <c r="S35" i="2" a="1"/>
  <c r="S35" i="2" s="1"/>
  <c r="R35" i="2" a="1"/>
  <c r="R35" i="2" s="1"/>
  <c r="Q35" i="2" a="1"/>
  <c r="Q35" i="2" s="1"/>
  <c r="P35" i="2" a="1"/>
  <c r="P35" i="2" s="1"/>
  <c r="O35" i="2" a="1"/>
  <c r="O35" i="2" s="1"/>
  <c r="N35" i="2" a="1"/>
  <c r="N35" i="2" s="1"/>
  <c r="M35" i="2" a="1"/>
  <c r="M35" i="2" s="1"/>
  <c r="L35" i="2" a="1"/>
  <c r="L35" i="2" s="1"/>
  <c r="K35" i="2" a="1"/>
  <c r="K35" i="2" s="1"/>
  <c r="J35" i="2" a="1"/>
  <c r="J35" i="2" s="1"/>
  <c r="I35" i="2" a="1"/>
  <c r="I35" i="2" s="1"/>
  <c r="H35" i="2" a="1"/>
  <c r="H35" i="2" s="1"/>
  <c r="G35" i="2" a="1"/>
  <c r="G35" i="2" s="1"/>
  <c r="F35" i="2" a="1"/>
  <c r="F35" i="2" s="1"/>
  <c r="E35" i="2" a="1"/>
  <c r="E35" i="2" s="1"/>
  <c r="D35" i="2" a="1"/>
  <c r="D35" i="2" s="1"/>
  <c r="C35" i="2" a="1"/>
  <c r="C35" i="2" s="1"/>
  <c r="V61" i="2" a="1"/>
  <c r="V61" i="2" s="1"/>
  <c r="U61" i="2" a="1"/>
  <c r="U61" i="2" s="1"/>
  <c r="T61" i="2" a="1"/>
  <c r="T61" i="2" s="1"/>
  <c r="S61" i="2" a="1"/>
  <c r="S61" i="2" s="1"/>
  <c r="R61" i="2" a="1"/>
  <c r="R61" i="2" s="1"/>
  <c r="Q61" i="2" a="1"/>
  <c r="Q61" i="2" s="1"/>
  <c r="P61" i="2" a="1"/>
  <c r="P61" i="2" s="1"/>
  <c r="O61" i="2" a="1"/>
  <c r="O61" i="2" s="1"/>
  <c r="N61" i="2" a="1"/>
  <c r="N61" i="2" s="1"/>
  <c r="M61" i="2" a="1"/>
  <c r="M61" i="2" s="1"/>
  <c r="L61" i="2" a="1"/>
  <c r="L61" i="2" s="1"/>
  <c r="K61" i="2" a="1"/>
  <c r="K61" i="2" s="1"/>
  <c r="J61" i="2" a="1"/>
  <c r="J61" i="2" s="1"/>
  <c r="I61" i="2" a="1"/>
  <c r="I61" i="2" s="1"/>
  <c r="H61" i="2" a="1"/>
  <c r="H61" i="2" s="1"/>
  <c r="G61" i="2" a="1"/>
  <c r="G61" i="2" s="1"/>
  <c r="F61" i="2" a="1"/>
  <c r="F61" i="2" s="1"/>
  <c r="E61" i="2" a="1"/>
  <c r="E61" i="2" s="1"/>
  <c r="D61" i="2" a="1"/>
  <c r="D61" i="2" s="1"/>
  <c r="C61" i="2" a="1"/>
  <c r="C61" i="2" s="1"/>
  <c r="V83" i="2" a="1"/>
  <c r="V83" i="2" s="1"/>
  <c r="U83" i="2" a="1"/>
  <c r="U83" i="2" s="1"/>
  <c r="T83" i="2" a="1"/>
  <c r="T83" i="2" s="1"/>
  <c r="S83" i="2" a="1"/>
  <c r="S83" i="2" s="1"/>
  <c r="R83" i="2" a="1"/>
  <c r="R83" i="2" s="1"/>
  <c r="Q83" i="2" a="1"/>
  <c r="Q83" i="2" s="1"/>
  <c r="P83" i="2" a="1"/>
  <c r="P83" i="2" s="1"/>
  <c r="O83" i="2" a="1"/>
  <c r="O83" i="2" s="1"/>
  <c r="N83" i="2" a="1"/>
  <c r="N83" i="2" s="1"/>
  <c r="M83" i="2" a="1"/>
  <c r="M83" i="2" s="1"/>
  <c r="L83" i="2" a="1"/>
  <c r="L83" i="2" s="1"/>
  <c r="K83" i="2" a="1"/>
  <c r="K83" i="2" s="1"/>
  <c r="J83" i="2" a="1"/>
  <c r="J83" i="2" s="1"/>
  <c r="I83" i="2" a="1"/>
  <c r="I83" i="2" s="1"/>
  <c r="H83" i="2" a="1"/>
  <c r="H83" i="2" s="1"/>
  <c r="G83" i="2" a="1"/>
  <c r="G83" i="2" s="1"/>
  <c r="F83" i="2" a="1"/>
  <c r="F83" i="2" s="1"/>
  <c r="E83" i="2" a="1"/>
  <c r="E83" i="2" s="1"/>
  <c r="D83" i="2" a="1"/>
  <c r="D83" i="2" s="1"/>
  <c r="C83" i="2" a="1"/>
  <c r="C83" i="2" s="1"/>
  <c r="V49" i="2" a="1"/>
  <c r="V49" i="2" s="1"/>
  <c r="U49" i="2" a="1"/>
  <c r="U49" i="2" s="1"/>
  <c r="T49" i="2" a="1"/>
  <c r="T49" i="2" s="1"/>
  <c r="S49" i="2" a="1"/>
  <c r="S49" i="2" s="1"/>
  <c r="R49" i="2" a="1"/>
  <c r="R49" i="2" s="1"/>
  <c r="Q49" i="2" a="1"/>
  <c r="Q49" i="2" s="1"/>
  <c r="P49" i="2" a="1"/>
  <c r="P49" i="2" s="1"/>
  <c r="O49" i="2" a="1"/>
  <c r="O49" i="2" s="1"/>
  <c r="N49" i="2" a="1"/>
  <c r="N49" i="2" s="1"/>
  <c r="M49" i="2" a="1"/>
  <c r="M49" i="2" s="1"/>
  <c r="L49" i="2" a="1"/>
  <c r="L49" i="2" s="1"/>
  <c r="K49" i="2" a="1"/>
  <c r="K49" i="2" s="1"/>
  <c r="J49" i="2" a="1"/>
  <c r="J49" i="2" s="1"/>
  <c r="I49" i="2" a="1"/>
  <c r="I49" i="2" s="1"/>
  <c r="H49" i="2" a="1"/>
  <c r="H49" i="2" s="1"/>
  <c r="G49" i="2" a="1"/>
  <c r="G49" i="2" s="1"/>
  <c r="F49" i="2" a="1"/>
  <c r="F49" i="2" s="1"/>
  <c r="E49" i="2" a="1"/>
  <c r="E49" i="2" s="1"/>
  <c r="D49" i="2" a="1"/>
  <c r="D49" i="2" s="1"/>
  <c r="C49" i="2" a="1"/>
  <c r="C49" i="2" s="1"/>
  <c r="V8" i="2" a="1"/>
  <c r="V8" i="2" s="1"/>
  <c r="U8" i="2" a="1"/>
  <c r="U8" i="2" s="1"/>
  <c r="T8" i="2" a="1"/>
  <c r="T8" i="2" s="1"/>
  <c r="S8" i="2" a="1"/>
  <c r="S8" i="2" s="1"/>
  <c r="R8" i="2" a="1"/>
  <c r="R8" i="2" s="1"/>
  <c r="Q8" i="2" a="1"/>
  <c r="Q8" i="2" s="1"/>
  <c r="P8" i="2" a="1"/>
  <c r="P8" i="2" s="1"/>
  <c r="O8" i="2" a="1"/>
  <c r="O8" i="2" s="1"/>
  <c r="N8" i="2" a="1"/>
  <c r="N8" i="2" s="1"/>
  <c r="M8" i="2" a="1"/>
  <c r="M8" i="2" s="1"/>
  <c r="L8" i="2" a="1"/>
  <c r="L8" i="2" s="1"/>
  <c r="K8" i="2" a="1"/>
  <c r="K8" i="2" s="1"/>
  <c r="J8" i="2" a="1"/>
  <c r="J8" i="2" s="1"/>
  <c r="I8" i="2" a="1"/>
  <c r="I8" i="2" s="1"/>
  <c r="H8" i="2" a="1"/>
  <c r="H8" i="2" s="1"/>
  <c r="G8" i="2" a="1"/>
  <c r="G8" i="2" s="1"/>
  <c r="F8" i="2" a="1"/>
  <c r="F8" i="2" s="1"/>
  <c r="E8" i="2" a="1"/>
  <c r="E8" i="2" s="1"/>
  <c r="D8" i="2" a="1"/>
  <c r="D8" i="2" s="1"/>
  <c r="C8" i="2" a="1"/>
  <c r="C8" i="2" s="1"/>
  <c r="V44" i="2" a="1"/>
  <c r="V44" i="2" s="1"/>
  <c r="U44" i="2" a="1"/>
  <c r="U44" i="2" s="1"/>
  <c r="T44" i="2" a="1"/>
  <c r="T44" i="2" s="1"/>
  <c r="S44" i="2" a="1"/>
  <c r="S44" i="2" s="1"/>
  <c r="R44" i="2" a="1"/>
  <c r="R44" i="2" s="1"/>
  <c r="Q44" i="2" a="1"/>
  <c r="Q44" i="2" s="1"/>
  <c r="P44" i="2" a="1"/>
  <c r="P44" i="2" s="1"/>
  <c r="O44" i="2" a="1"/>
  <c r="O44" i="2" s="1"/>
  <c r="N44" i="2" a="1"/>
  <c r="N44" i="2" s="1"/>
  <c r="M44" i="2" a="1"/>
  <c r="M44" i="2" s="1"/>
  <c r="L44" i="2" a="1"/>
  <c r="L44" i="2" s="1"/>
  <c r="K44" i="2" a="1"/>
  <c r="K44" i="2" s="1"/>
  <c r="J44" i="2" a="1"/>
  <c r="J44" i="2" s="1"/>
  <c r="I44" i="2" a="1"/>
  <c r="I44" i="2" s="1"/>
  <c r="H44" i="2" a="1"/>
  <c r="H44" i="2" s="1"/>
  <c r="G44" i="2" a="1"/>
  <c r="G44" i="2" s="1"/>
  <c r="F44" i="2" a="1"/>
  <c r="F44" i="2" s="1"/>
  <c r="E44" i="2" a="1"/>
  <c r="E44" i="2" s="1"/>
  <c r="D44" i="2" a="1"/>
  <c r="D44" i="2" s="1"/>
  <c r="C44" i="2" a="1"/>
  <c r="C44" i="2" s="1"/>
  <c r="V3" i="2" a="1"/>
  <c r="V3" i="2" s="1"/>
  <c r="U3" i="2" a="1"/>
  <c r="U3" i="2" s="1"/>
  <c r="T3" i="2" a="1"/>
  <c r="T3" i="2" s="1"/>
  <c r="S3" i="2" a="1"/>
  <c r="S3" i="2" s="1"/>
  <c r="R3" i="2" a="1"/>
  <c r="R3" i="2" s="1"/>
  <c r="Q3" i="2" a="1"/>
  <c r="Q3" i="2" s="1"/>
  <c r="P3" i="2" a="1"/>
  <c r="P3" i="2" s="1"/>
  <c r="O3" i="2" a="1"/>
  <c r="O3" i="2" s="1"/>
  <c r="N3" i="2" a="1"/>
  <c r="N3" i="2" s="1"/>
  <c r="M3" i="2" a="1"/>
  <c r="M3" i="2" s="1"/>
  <c r="L3" i="2" a="1"/>
  <c r="L3" i="2" s="1"/>
  <c r="K3" i="2" a="1"/>
  <c r="K3" i="2" s="1"/>
  <c r="J3" i="2" a="1"/>
  <c r="J3" i="2" s="1"/>
  <c r="I3" i="2" a="1"/>
  <c r="I3" i="2" s="1"/>
  <c r="H3" i="2" a="1"/>
  <c r="H3" i="2" s="1"/>
  <c r="G3" i="2" a="1"/>
  <c r="G3" i="2" s="1"/>
  <c r="F3" i="2" a="1"/>
  <c r="F3" i="2" s="1"/>
  <c r="E3" i="2" a="1"/>
  <c r="E3" i="2" s="1"/>
  <c r="D3" i="2" a="1"/>
  <c r="D3" i="2" s="1"/>
  <c r="C3" i="2" a="1"/>
  <c r="C3" i="2" s="1"/>
  <c r="V37" i="2" a="1"/>
  <c r="V37" i="2" s="1"/>
  <c r="U37" i="2" a="1"/>
  <c r="U37" i="2" s="1"/>
  <c r="T37" i="2" a="1"/>
  <c r="T37" i="2" s="1"/>
  <c r="S37" i="2" a="1"/>
  <c r="S37" i="2" s="1"/>
  <c r="R37" i="2" a="1"/>
  <c r="R37" i="2" s="1"/>
  <c r="Q37" i="2" a="1"/>
  <c r="Q37" i="2" s="1"/>
  <c r="P37" i="2" a="1"/>
  <c r="P37" i="2" s="1"/>
  <c r="O37" i="2" a="1"/>
  <c r="O37" i="2" s="1"/>
  <c r="N37" i="2" a="1"/>
  <c r="N37" i="2" s="1"/>
  <c r="M37" i="2" a="1"/>
  <c r="M37" i="2" s="1"/>
  <c r="L37" i="2" a="1"/>
  <c r="L37" i="2" s="1"/>
  <c r="K37" i="2" a="1"/>
  <c r="K37" i="2" s="1"/>
  <c r="J37" i="2" a="1"/>
  <c r="J37" i="2" s="1"/>
  <c r="I37" i="2" a="1"/>
  <c r="I37" i="2" s="1"/>
  <c r="H37" i="2" a="1"/>
  <c r="H37" i="2" s="1"/>
  <c r="G37" i="2" a="1"/>
  <c r="G37" i="2" s="1"/>
  <c r="F37" i="2" a="1"/>
  <c r="F37" i="2" s="1"/>
  <c r="E37" i="2" a="1"/>
  <c r="E37" i="2" s="1"/>
  <c r="D37" i="2" a="1"/>
  <c r="D37" i="2" s="1"/>
  <c r="C37" i="2" a="1"/>
  <c r="C37" i="2" s="1"/>
  <c r="V75" i="2" a="1"/>
  <c r="V75" i="2" s="1"/>
  <c r="U75" i="2" a="1"/>
  <c r="U75" i="2" s="1"/>
  <c r="T75" i="2" a="1"/>
  <c r="T75" i="2" s="1"/>
  <c r="S75" i="2" a="1"/>
  <c r="S75" i="2" s="1"/>
  <c r="R75" i="2" a="1"/>
  <c r="R75" i="2" s="1"/>
  <c r="Q75" i="2" a="1"/>
  <c r="Q75" i="2" s="1"/>
  <c r="P75" i="2" a="1"/>
  <c r="P75" i="2" s="1"/>
  <c r="O75" i="2" a="1"/>
  <c r="O75" i="2" s="1"/>
  <c r="N75" i="2" a="1"/>
  <c r="N75" i="2" s="1"/>
  <c r="M75" i="2" a="1"/>
  <c r="M75" i="2" s="1"/>
  <c r="L75" i="2" a="1"/>
  <c r="L75" i="2" s="1"/>
  <c r="K75" i="2" a="1"/>
  <c r="K75" i="2" s="1"/>
  <c r="J75" i="2" a="1"/>
  <c r="J75" i="2" s="1"/>
  <c r="I75" i="2" a="1"/>
  <c r="I75" i="2" s="1"/>
  <c r="H75" i="2" a="1"/>
  <c r="H75" i="2" s="1"/>
  <c r="G75" i="2" a="1"/>
  <c r="G75" i="2" s="1"/>
  <c r="F75" i="2" a="1"/>
  <c r="F75" i="2" s="1"/>
  <c r="E75" i="2" a="1"/>
  <c r="E75" i="2" s="1"/>
  <c r="D75" i="2" a="1"/>
  <c r="D75" i="2" s="1"/>
  <c r="C75" i="2" a="1"/>
  <c r="C75" i="2" s="1"/>
  <c r="V74" i="2" a="1"/>
  <c r="V74" i="2" s="1"/>
  <c r="U74" i="2" a="1"/>
  <c r="U74" i="2" s="1"/>
  <c r="T74" i="2" a="1"/>
  <c r="T74" i="2" s="1"/>
  <c r="S74" i="2" a="1"/>
  <c r="S74" i="2" s="1"/>
  <c r="R74" i="2" a="1"/>
  <c r="R74" i="2" s="1"/>
  <c r="Q74" i="2" a="1"/>
  <c r="Q74" i="2" s="1"/>
  <c r="P74" i="2" a="1"/>
  <c r="P74" i="2" s="1"/>
  <c r="O74" i="2" a="1"/>
  <c r="O74" i="2" s="1"/>
  <c r="N74" i="2" a="1"/>
  <c r="N74" i="2" s="1"/>
  <c r="M74" i="2" a="1"/>
  <c r="M74" i="2" s="1"/>
  <c r="L74" i="2" a="1"/>
  <c r="L74" i="2" s="1"/>
  <c r="K74" i="2" a="1"/>
  <c r="K74" i="2" s="1"/>
  <c r="J74" i="2" a="1"/>
  <c r="J74" i="2" s="1"/>
  <c r="I74" i="2" a="1"/>
  <c r="I74" i="2" s="1"/>
  <c r="H74" i="2" a="1"/>
  <c r="H74" i="2" s="1"/>
  <c r="G74" i="2" a="1"/>
  <c r="G74" i="2" s="1"/>
  <c r="F74" i="2" a="1"/>
  <c r="F74" i="2" s="1"/>
  <c r="E74" i="2" a="1"/>
  <c r="E74" i="2" s="1"/>
  <c r="D74" i="2" a="1"/>
  <c r="D74" i="2" s="1"/>
  <c r="C74" i="2" a="1"/>
  <c r="C74" i="2" s="1"/>
  <c r="V80" i="2" a="1"/>
  <c r="V80" i="2" s="1"/>
  <c r="U80" i="2" a="1"/>
  <c r="U80" i="2" s="1"/>
  <c r="T80" i="2" a="1"/>
  <c r="T80" i="2" s="1"/>
  <c r="S80" i="2" a="1"/>
  <c r="S80" i="2" s="1"/>
  <c r="R80" i="2" a="1"/>
  <c r="R80" i="2" s="1"/>
  <c r="Q80" i="2" a="1"/>
  <c r="Q80" i="2" s="1"/>
  <c r="P80" i="2" a="1"/>
  <c r="P80" i="2" s="1"/>
  <c r="O80" i="2" a="1"/>
  <c r="O80" i="2" s="1"/>
  <c r="N80" i="2" a="1"/>
  <c r="N80" i="2" s="1"/>
  <c r="M80" i="2" a="1"/>
  <c r="M80" i="2" s="1"/>
  <c r="L80" i="2" a="1"/>
  <c r="L80" i="2" s="1"/>
  <c r="K80" i="2" a="1"/>
  <c r="K80" i="2" s="1"/>
  <c r="J80" i="2" a="1"/>
  <c r="J80" i="2" s="1"/>
  <c r="I80" i="2" a="1"/>
  <c r="I80" i="2" s="1"/>
  <c r="H80" i="2" a="1"/>
  <c r="H80" i="2" s="1"/>
  <c r="G80" i="2" a="1"/>
  <c r="G80" i="2" s="1"/>
  <c r="F80" i="2" a="1"/>
  <c r="F80" i="2" s="1"/>
  <c r="E80" i="2" a="1"/>
  <c r="E80" i="2" s="1"/>
  <c r="D80" i="2" a="1"/>
  <c r="D80" i="2" s="1"/>
  <c r="C80" i="2" a="1"/>
  <c r="C80" i="2" s="1"/>
  <c r="V7" i="2" a="1"/>
  <c r="V7" i="2" s="1"/>
  <c r="U7" i="2" a="1"/>
  <c r="U7" i="2" s="1"/>
  <c r="T7" i="2" a="1"/>
  <c r="T7" i="2" s="1"/>
  <c r="S7" i="2" a="1"/>
  <c r="S7" i="2" s="1"/>
  <c r="R7" i="2" a="1"/>
  <c r="R7" i="2" s="1"/>
  <c r="Q7" i="2" a="1"/>
  <c r="Q7" i="2" s="1"/>
  <c r="P7" i="2" a="1"/>
  <c r="P7" i="2" s="1"/>
  <c r="N7" i="2" a="1"/>
  <c r="N7" i="2" s="1"/>
  <c r="M7" i="2" a="1"/>
  <c r="M7" i="2" s="1"/>
  <c r="L7" i="2" a="1"/>
  <c r="L7" i="2" s="1"/>
  <c r="K7" i="2" a="1"/>
  <c r="K7" i="2" s="1"/>
  <c r="J7" i="2" a="1"/>
  <c r="J7" i="2" s="1"/>
  <c r="I7" i="2" a="1"/>
  <c r="I7" i="2" s="1"/>
  <c r="H7" i="2" a="1"/>
  <c r="H7" i="2" s="1"/>
  <c r="G7" i="2" a="1"/>
  <c r="G7" i="2" s="1"/>
  <c r="F7" i="2" a="1"/>
  <c r="F7" i="2" s="1"/>
  <c r="E7" i="2" a="1"/>
  <c r="E7" i="2" s="1"/>
  <c r="D7" i="2" a="1"/>
  <c r="D7" i="2" s="1"/>
  <c r="C7" i="2" a="1"/>
  <c r="C7" i="2" s="1"/>
  <c r="V27" i="2" a="1"/>
  <c r="V27" i="2" s="1"/>
  <c r="U27" i="2" a="1"/>
  <c r="U27" i="2" s="1"/>
  <c r="T27" i="2" a="1"/>
  <c r="T27" i="2" s="1"/>
  <c r="S27" i="2" a="1"/>
  <c r="S27" i="2" s="1"/>
  <c r="R27" i="2" a="1"/>
  <c r="R27" i="2" s="1"/>
  <c r="Q27" i="2" a="1"/>
  <c r="Q27" i="2" s="1"/>
  <c r="P27" i="2" a="1"/>
  <c r="P27" i="2" s="1"/>
  <c r="O27" i="2" a="1"/>
  <c r="O27" i="2" s="1"/>
  <c r="N27" i="2" a="1"/>
  <c r="N27" i="2" s="1"/>
  <c r="M27" i="2" a="1"/>
  <c r="M27" i="2" s="1"/>
  <c r="L27" i="2" a="1"/>
  <c r="L27" i="2" s="1"/>
  <c r="K27" i="2" a="1"/>
  <c r="K27" i="2" s="1"/>
  <c r="J27" i="2" a="1"/>
  <c r="J27" i="2" s="1"/>
  <c r="I27" i="2" a="1"/>
  <c r="I27" i="2" s="1"/>
  <c r="H27" i="2" a="1"/>
  <c r="H27" i="2" s="1"/>
  <c r="G27" i="2" a="1"/>
  <c r="G27" i="2" s="1"/>
  <c r="F27" i="2" a="1"/>
  <c r="F27" i="2" s="1"/>
  <c r="E27" i="2" a="1"/>
  <c r="E27" i="2" s="1"/>
  <c r="D27" i="2" a="1"/>
  <c r="D27" i="2" s="1"/>
  <c r="C27" i="2" a="1"/>
  <c r="C27" i="2" s="1"/>
  <c r="V12" i="2" a="1"/>
  <c r="V12" i="2" s="1"/>
  <c r="U12" i="2" a="1"/>
  <c r="U12" i="2" s="1"/>
  <c r="T12" i="2" a="1"/>
  <c r="T12" i="2" s="1"/>
  <c r="S12" i="2" a="1"/>
  <c r="S12" i="2" s="1"/>
  <c r="R12" i="2" a="1"/>
  <c r="R12" i="2" s="1"/>
  <c r="Q12" i="2" a="1"/>
  <c r="Q12" i="2" s="1"/>
  <c r="P12" i="2" a="1"/>
  <c r="P12" i="2" s="1"/>
  <c r="O12" i="2" a="1"/>
  <c r="O12" i="2" s="1"/>
  <c r="N12" i="2" a="1"/>
  <c r="N12" i="2" s="1"/>
  <c r="M12" i="2" a="1"/>
  <c r="M12" i="2" s="1"/>
  <c r="L12" i="2" a="1"/>
  <c r="L12" i="2" s="1"/>
  <c r="K12" i="2" a="1"/>
  <c r="K12" i="2" s="1"/>
  <c r="J12" i="2" a="1"/>
  <c r="J12" i="2" s="1"/>
  <c r="I12" i="2" a="1"/>
  <c r="I12" i="2" s="1"/>
  <c r="H12" i="2" a="1"/>
  <c r="H12" i="2" s="1"/>
  <c r="G12" i="2" a="1"/>
  <c r="G12" i="2" s="1"/>
  <c r="F12" i="2" a="1"/>
  <c r="F12" i="2" s="1"/>
  <c r="E12" i="2" a="1"/>
  <c r="E12" i="2" s="1"/>
  <c r="D12" i="2" a="1"/>
  <c r="D12" i="2" s="1"/>
  <c r="C12" i="2" a="1"/>
  <c r="C12" i="2" s="1"/>
  <c r="V51" i="2" a="1"/>
  <c r="V51" i="2" s="1"/>
  <c r="U51" i="2" a="1"/>
  <c r="U51" i="2" s="1"/>
  <c r="T51" i="2" a="1"/>
  <c r="T51" i="2" s="1"/>
  <c r="S51" i="2" a="1"/>
  <c r="S51" i="2" s="1"/>
  <c r="R51" i="2" a="1"/>
  <c r="R51" i="2" s="1"/>
  <c r="Q51" i="2" a="1"/>
  <c r="Q51" i="2" s="1"/>
  <c r="P51" i="2" a="1"/>
  <c r="P51" i="2" s="1"/>
  <c r="O51" i="2" a="1"/>
  <c r="O51" i="2" s="1"/>
  <c r="N51" i="2" a="1"/>
  <c r="N51" i="2" s="1"/>
  <c r="M51" i="2" a="1"/>
  <c r="M51" i="2" s="1"/>
  <c r="L51" i="2" a="1"/>
  <c r="L51" i="2" s="1"/>
  <c r="K51" i="2" a="1"/>
  <c r="K51" i="2" s="1"/>
  <c r="J51" i="2" a="1"/>
  <c r="J51" i="2" s="1"/>
  <c r="I51" i="2" a="1"/>
  <c r="I51" i="2" s="1"/>
  <c r="H51" i="2" a="1"/>
  <c r="H51" i="2" s="1"/>
  <c r="G51" i="2" a="1"/>
  <c r="G51" i="2" s="1"/>
  <c r="F51" i="2" a="1"/>
  <c r="F51" i="2" s="1"/>
  <c r="E51" i="2" a="1"/>
  <c r="E51" i="2" s="1"/>
  <c r="D51" i="2" a="1"/>
  <c r="D51" i="2" s="1"/>
  <c r="C51" i="2" a="1"/>
  <c r="C51" i="2" s="1"/>
  <c r="V86" i="2" a="1"/>
  <c r="V86" i="2" s="1"/>
  <c r="U86" i="2" a="1"/>
  <c r="U86" i="2" s="1"/>
  <c r="T86" i="2" a="1"/>
  <c r="T86" i="2" s="1"/>
  <c r="S86" i="2" a="1"/>
  <c r="S86" i="2" s="1"/>
  <c r="R86" i="2" a="1"/>
  <c r="R86" i="2" s="1"/>
  <c r="Q86" i="2" a="1"/>
  <c r="Q86" i="2" s="1"/>
  <c r="P86" i="2" a="1"/>
  <c r="P86" i="2" s="1"/>
  <c r="O86" i="2" a="1"/>
  <c r="O86" i="2" s="1"/>
  <c r="N86" i="2" a="1"/>
  <c r="N86" i="2" s="1"/>
  <c r="M86" i="2" a="1"/>
  <c r="M86" i="2" s="1"/>
  <c r="L86" i="2" a="1"/>
  <c r="L86" i="2" s="1"/>
  <c r="K86" i="2" a="1"/>
  <c r="K86" i="2" s="1"/>
  <c r="J86" i="2" a="1"/>
  <c r="J86" i="2" s="1"/>
  <c r="I86" i="2" a="1"/>
  <c r="I86" i="2" s="1"/>
  <c r="H86" i="2" a="1"/>
  <c r="H86" i="2" s="1"/>
  <c r="G86" i="2" a="1"/>
  <c r="G86" i="2" s="1"/>
  <c r="F86" i="2" a="1"/>
  <c r="F86" i="2" s="1"/>
  <c r="E86" i="2" a="1"/>
  <c r="E86" i="2" s="1"/>
  <c r="D86" i="2" a="1"/>
  <c r="D86" i="2" s="1"/>
  <c r="C86" i="2" a="1"/>
  <c r="C86" i="2" s="1"/>
  <c r="V68" i="2" a="1"/>
  <c r="V68" i="2" s="1"/>
  <c r="U68" i="2" a="1"/>
  <c r="U68" i="2" s="1"/>
  <c r="T68" i="2" a="1"/>
  <c r="T68" i="2" s="1"/>
  <c r="S68" i="2" a="1"/>
  <c r="S68" i="2" s="1"/>
  <c r="R68" i="2" a="1"/>
  <c r="R68" i="2" s="1"/>
  <c r="Q68" i="2" a="1"/>
  <c r="Q68" i="2" s="1"/>
  <c r="P68" i="2" a="1"/>
  <c r="P68" i="2" s="1"/>
  <c r="O68" i="2" a="1"/>
  <c r="O68" i="2" s="1"/>
  <c r="N68" i="2" a="1"/>
  <c r="N68" i="2" s="1"/>
  <c r="M68" i="2" a="1"/>
  <c r="M68" i="2" s="1"/>
  <c r="L68" i="2" a="1"/>
  <c r="L68" i="2" s="1"/>
  <c r="K68" i="2" a="1"/>
  <c r="K68" i="2" s="1"/>
  <c r="J68" i="2" a="1"/>
  <c r="J68" i="2" s="1"/>
  <c r="I68" i="2" a="1"/>
  <c r="I68" i="2" s="1"/>
  <c r="H68" i="2" a="1"/>
  <c r="H68" i="2" s="1"/>
  <c r="G68" i="2" a="1"/>
  <c r="G68" i="2" s="1"/>
  <c r="F68" i="2" a="1"/>
  <c r="F68" i="2" s="1"/>
  <c r="E68" i="2" a="1"/>
  <c r="E68" i="2" s="1"/>
  <c r="D68" i="2" a="1"/>
  <c r="D68" i="2" s="1"/>
  <c r="C68" i="2" a="1"/>
  <c r="C68" i="2" s="1"/>
  <c r="V4" i="2" a="1"/>
  <c r="V4" i="2" s="1"/>
  <c r="U4" i="2" a="1"/>
  <c r="U4" i="2" s="1"/>
  <c r="T4" i="2" a="1"/>
  <c r="T4" i="2" s="1"/>
  <c r="S4" i="2" a="1"/>
  <c r="S4" i="2" s="1"/>
  <c r="R4" i="2" a="1"/>
  <c r="R4" i="2" s="1"/>
  <c r="Q4" i="2" a="1"/>
  <c r="Q4" i="2" s="1"/>
  <c r="P4" i="2" a="1"/>
  <c r="P4" i="2" s="1"/>
  <c r="O4" i="2" a="1"/>
  <c r="O4" i="2" s="1"/>
  <c r="N4" i="2" a="1"/>
  <c r="N4" i="2" s="1"/>
  <c r="M4" i="2" a="1"/>
  <c r="M4" i="2" s="1"/>
  <c r="L4" i="2" a="1"/>
  <c r="L4" i="2" s="1"/>
  <c r="K4" i="2" a="1"/>
  <c r="K4" i="2" s="1"/>
  <c r="J4" i="2" a="1"/>
  <c r="J4" i="2" s="1"/>
  <c r="I4" i="2" a="1"/>
  <c r="I4" i="2" s="1"/>
  <c r="H4" i="2" a="1"/>
  <c r="H4" i="2" s="1"/>
  <c r="G4" i="2" a="1"/>
  <c r="G4" i="2" s="1"/>
  <c r="F4" i="2" a="1"/>
  <c r="F4" i="2" s="1"/>
  <c r="E4" i="2" a="1"/>
  <c r="E4" i="2" s="1"/>
  <c r="D4" i="2" a="1"/>
  <c r="D4" i="2" s="1"/>
  <c r="C4" i="2" a="1"/>
  <c r="C4" i="2" s="1"/>
  <c r="V33" i="2" a="1"/>
  <c r="V33" i="2" s="1"/>
  <c r="U33" i="2" a="1"/>
  <c r="U33" i="2" s="1"/>
  <c r="T33" i="2" a="1"/>
  <c r="T33" i="2" s="1"/>
  <c r="S33" i="2" a="1"/>
  <c r="S33" i="2" s="1"/>
  <c r="R33" i="2" a="1"/>
  <c r="R33" i="2" s="1"/>
  <c r="Q33" i="2" a="1"/>
  <c r="Q33" i="2" s="1"/>
  <c r="P33" i="2" a="1"/>
  <c r="P33" i="2" s="1"/>
  <c r="O33" i="2" a="1"/>
  <c r="O33" i="2" s="1"/>
  <c r="N33" i="2" a="1"/>
  <c r="N33" i="2" s="1"/>
  <c r="M33" i="2" a="1"/>
  <c r="M33" i="2" s="1"/>
  <c r="L33" i="2" a="1"/>
  <c r="L33" i="2" s="1"/>
  <c r="K33" i="2" a="1"/>
  <c r="K33" i="2" s="1"/>
  <c r="J33" i="2" a="1"/>
  <c r="J33" i="2" s="1"/>
  <c r="I33" i="2" a="1"/>
  <c r="I33" i="2" s="1"/>
  <c r="H33" i="2" a="1"/>
  <c r="H33" i="2" s="1"/>
  <c r="G33" i="2" a="1"/>
  <c r="G33" i="2" s="1"/>
  <c r="F33" i="2" a="1"/>
  <c r="F33" i="2" s="1"/>
  <c r="E33" i="2" a="1"/>
  <c r="E33" i="2" s="1"/>
  <c r="D33" i="2" a="1"/>
  <c r="D33" i="2" s="1"/>
  <c r="C33" i="2" a="1"/>
  <c r="C33" i="2" s="1"/>
  <c r="V57" i="2" a="1"/>
  <c r="V57" i="2" s="1"/>
  <c r="U57" i="2" a="1"/>
  <c r="U57" i="2" s="1"/>
  <c r="T57" i="2" a="1"/>
  <c r="T57" i="2" s="1"/>
  <c r="S57" i="2" a="1"/>
  <c r="S57" i="2" s="1"/>
  <c r="R57" i="2" a="1"/>
  <c r="R57" i="2" s="1"/>
  <c r="Q57" i="2" a="1"/>
  <c r="Q57" i="2" s="1"/>
  <c r="P57" i="2" a="1"/>
  <c r="P57" i="2" s="1"/>
  <c r="O57" i="2" a="1"/>
  <c r="O57" i="2" s="1"/>
  <c r="N57" i="2" a="1"/>
  <c r="N57" i="2" s="1"/>
  <c r="M57" i="2" a="1"/>
  <c r="M57" i="2" s="1"/>
  <c r="L57" i="2" a="1"/>
  <c r="L57" i="2" s="1"/>
  <c r="K57" i="2" a="1"/>
  <c r="K57" i="2" s="1"/>
  <c r="J57" i="2" a="1"/>
  <c r="J57" i="2" s="1"/>
  <c r="I57" i="2" a="1"/>
  <c r="I57" i="2" s="1"/>
  <c r="H57" i="2" a="1"/>
  <c r="H57" i="2" s="1"/>
  <c r="G57" i="2" a="1"/>
  <c r="G57" i="2" s="1"/>
  <c r="F57" i="2" a="1"/>
  <c r="F57" i="2" s="1"/>
  <c r="E57" i="2" a="1"/>
  <c r="E57" i="2" s="1"/>
  <c r="D57" i="2" a="1"/>
  <c r="D57" i="2" s="1"/>
  <c r="C57" i="2" a="1"/>
  <c r="C57" i="2" s="1"/>
  <c r="V38" i="2" a="1"/>
  <c r="V38" i="2" s="1"/>
  <c r="U38" i="2" a="1"/>
  <c r="U38" i="2" s="1"/>
  <c r="T38" i="2" a="1"/>
  <c r="T38" i="2" s="1"/>
  <c r="S38" i="2" a="1"/>
  <c r="S38" i="2" s="1"/>
  <c r="R38" i="2" a="1"/>
  <c r="R38" i="2" s="1"/>
  <c r="Q38" i="2" a="1"/>
  <c r="Q38" i="2" s="1"/>
  <c r="P38" i="2" a="1"/>
  <c r="P38" i="2" s="1"/>
  <c r="O38" i="2" a="1"/>
  <c r="O38" i="2" s="1"/>
  <c r="N38" i="2" a="1"/>
  <c r="N38" i="2" s="1"/>
  <c r="M38" i="2" a="1"/>
  <c r="M38" i="2" s="1"/>
  <c r="L38" i="2" a="1"/>
  <c r="L38" i="2" s="1"/>
  <c r="K38" i="2" a="1"/>
  <c r="K38" i="2" s="1"/>
  <c r="J38" i="2" a="1"/>
  <c r="J38" i="2" s="1"/>
  <c r="I38" i="2" a="1"/>
  <c r="I38" i="2" s="1"/>
  <c r="H38" i="2" a="1"/>
  <c r="H38" i="2" s="1"/>
  <c r="G38" i="2" a="1"/>
  <c r="G38" i="2" s="1"/>
  <c r="F38" i="2" a="1"/>
  <c r="F38" i="2" s="1"/>
  <c r="E38" i="2" a="1"/>
  <c r="E38" i="2" s="1"/>
  <c r="D38" i="2" a="1"/>
  <c r="D38" i="2" s="1"/>
  <c r="C38" i="2" a="1"/>
  <c r="C38" i="2" s="1"/>
  <c r="V63" i="2" a="1"/>
  <c r="V63" i="2" s="1"/>
  <c r="U63" i="2" a="1"/>
  <c r="U63" i="2" s="1"/>
  <c r="T63" i="2" a="1"/>
  <c r="T63" i="2" s="1"/>
  <c r="S63" i="2" a="1"/>
  <c r="S63" i="2" s="1"/>
  <c r="R63" i="2" a="1"/>
  <c r="R63" i="2" s="1"/>
  <c r="Q63" i="2" a="1"/>
  <c r="Q63" i="2" s="1"/>
  <c r="P63" i="2" a="1"/>
  <c r="P63" i="2" s="1"/>
  <c r="O63" i="2" a="1"/>
  <c r="O63" i="2" s="1"/>
  <c r="N63" i="2" a="1"/>
  <c r="N63" i="2" s="1"/>
  <c r="M63" i="2" a="1"/>
  <c r="M63" i="2" s="1"/>
  <c r="L63" i="2" a="1"/>
  <c r="L63" i="2" s="1"/>
  <c r="K63" i="2" a="1"/>
  <c r="K63" i="2" s="1"/>
  <c r="J63" i="2" a="1"/>
  <c r="J63" i="2" s="1"/>
  <c r="I63" i="2" a="1"/>
  <c r="I63" i="2" s="1"/>
  <c r="H63" i="2" a="1"/>
  <c r="H63" i="2" s="1"/>
  <c r="G63" i="2" a="1"/>
  <c r="G63" i="2" s="1"/>
  <c r="F63" i="2" a="1"/>
  <c r="F63" i="2" s="1"/>
  <c r="E63" i="2" a="1"/>
  <c r="E63" i="2" s="1"/>
  <c r="D63" i="2" a="1"/>
  <c r="D63" i="2" s="1"/>
  <c r="C63" i="2" a="1"/>
  <c r="C63" i="2" s="1"/>
  <c r="D13" i="10" l="1"/>
  <c r="E13" i="10" s="1"/>
  <c r="J8" i="6"/>
  <c r="J4" i="6"/>
  <c r="J7" i="6"/>
  <c r="J3" i="6"/>
  <c r="J10" i="6"/>
  <c r="J6" i="6"/>
  <c r="J2" i="6"/>
  <c r="J9" i="6"/>
  <c r="J5" i="6"/>
  <c r="C2" i="6"/>
  <c r="C3" i="6"/>
  <c r="C4" i="6"/>
  <c r="C5" i="6"/>
  <c r="C6" i="6"/>
  <c r="C7" i="6"/>
  <c r="C8" i="6"/>
  <c r="C9" i="6"/>
  <c r="C10" i="6"/>
  <c r="L3" i="6" l="1"/>
  <c r="M3" i="6" s="1"/>
  <c r="N3" i="6" s="1"/>
  <c r="L7" i="6"/>
  <c r="M7" i="6" s="1"/>
  <c r="N7" i="6" s="1"/>
  <c r="L5" i="6"/>
  <c r="M5" i="6" s="1"/>
  <c r="N5" i="6" s="1"/>
  <c r="L8" i="6"/>
  <c r="M8" i="6" s="1"/>
  <c r="N8" i="6" s="1"/>
  <c r="L4" i="6"/>
  <c r="M4" i="6" s="1"/>
  <c r="N4" i="6" s="1"/>
  <c r="L10" i="6"/>
  <c r="M10" i="6" s="1"/>
  <c r="N10" i="6" s="1"/>
  <c r="L6" i="6"/>
  <c r="M6" i="6" s="1"/>
  <c r="N6" i="6" s="1"/>
  <c r="L2" i="6"/>
  <c r="M2" i="6" s="1"/>
  <c r="N2" i="6" s="1"/>
  <c r="L9" i="6"/>
  <c r="M9" i="6" s="1"/>
  <c r="N9"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7"/>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8"/>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202"/>
        </ext>
      </extLst>
    </bk>
    <bk>
      <extLst>
        <ext uri="{3e2802c4-a4d2-4d8b-9148-e3be6c30e623}">
          <xlrd:rvb i="205"/>
        </ext>
      </extLst>
    </bk>
    <bk>
      <extLst>
        <ext uri="{3e2802c4-a4d2-4d8b-9148-e3be6c30e623}">
          <xlrd:rvb i="208"/>
        </ext>
      </extLst>
    </bk>
    <bk>
      <extLst>
        <ext uri="{3e2802c4-a4d2-4d8b-9148-e3be6c30e623}">
          <xlrd:rvb i="211"/>
        </ext>
      </extLst>
    </bk>
    <bk>
      <extLst>
        <ext uri="{3e2802c4-a4d2-4d8b-9148-e3be6c30e623}">
          <xlrd:rvb i="214"/>
        </ext>
      </extLst>
    </bk>
    <bk>
      <extLst>
        <ext uri="{3e2802c4-a4d2-4d8b-9148-e3be6c30e623}">
          <xlrd:rvb i="217"/>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7"/>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<sst xmlns="http://schemas.openxmlformats.org/spreadsheetml/2006/main" count="1975" uniqueCount="617">
  <si>
    <t>collected_timestamp</t>
  </si>
  <si>
    <t>date</t>
  </si>
  <si>
    <t>source</t>
  </si>
  <si>
    <t>symbol</t>
  </si>
  <si>
    <t>trade_currency</t>
  </si>
  <si>
    <t>stock_price</t>
  </si>
  <si>
    <t>pe_ratio</t>
  </si>
  <si>
    <t>beta</t>
  </si>
  <si>
    <t>market_cap</t>
  </si>
  <si>
    <t>industry</t>
  </si>
  <si>
    <t>YahooFinance</t>
  </si>
  <si>
    <t>PATH</t>
  </si>
  <si>
    <t>USD</t>
  </si>
  <si>
    <t>Software - Infrastructure</t>
  </si>
  <si>
    <t>INOD</t>
  </si>
  <si>
    <t>Information Technology Services</t>
  </si>
  <si>
    <t>NOW</t>
  </si>
  <si>
    <t>Software - Application</t>
  </si>
  <si>
    <t>FIVN</t>
  </si>
  <si>
    <t>ADBE</t>
  </si>
  <si>
    <t>QLYS</t>
  </si>
  <si>
    <t>SWKS</t>
  </si>
  <si>
    <t>Semiconductors</t>
  </si>
  <si>
    <t>MSFT</t>
  </si>
  <si>
    <t>APP</t>
  </si>
  <si>
    <t>Advertising Agencies</t>
  </si>
  <si>
    <t>DDOG</t>
  </si>
  <si>
    <t>ALAB</t>
  </si>
  <si>
    <t>SNDK</t>
  </si>
  <si>
    <t>Computer Hardware</t>
  </si>
  <si>
    <t>SCHW</t>
  </si>
  <si>
    <t>Capital Markets</t>
  </si>
  <si>
    <t>SGE.L</t>
  </si>
  <si>
    <t>GBp</t>
  </si>
  <si>
    <t>IBM</t>
  </si>
  <si>
    <t>AAPL</t>
  </si>
  <si>
    <t>Consumer Electronics</t>
  </si>
  <si>
    <t>KO</t>
  </si>
  <si>
    <t>Beverages - Non-Alcoholic</t>
  </si>
  <si>
    <t>AMBA</t>
  </si>
  <si>
    <t>Semiconductor Equipment &amp; Materials</t>
  </si>
  <si>
    <t>META</t>
  </si>
  <si>
    <t>Internet Content &amp; Information</t>
  </si>
  <si>
    <t>SOUN</t>
  </si>
  <si>
    <t>ORCL</t>
  </si>
  <si>
    <t>GOOG</t>
  </si>
  <si>
    <t>AMZN</t>
  </si>
  <si>
    <t>Internet Retail</t>
  </si>
  <si>
    <t>MRVL</t>
  </si>
  <si>
    <t>ENVX</t>
  </si>
  <si>
    <t>Electrical Equipment &amp; Parts</t>
  </si>
  <si>
    <t>TSM</t>
  </si>
  <si>
    <t>TEM</t>
  </si>
  <si>
    <t>Health Information Services</t>
  </si>
  <si>
    <t>AVGO</t>
  </si>
  <si>
    <t>SKYT</t>
  </si>
  <si>
    <t>AI</t>
  </si>
  <si>
    <t>ANET</t>
  </si>
  <si>
    <t>PLAB</t>
  </si>
  <si>
    <t>NVDA</t>
  </si>
  <si>
    <t>HOOD</t>
  </si>
  <si>
    <t>LPTH</t>
  </si>
  <si>
    <t>Electronic Components</t>
  </si>
  <si>
    <t>AMD</t>
  </si>
  <si>
    <t>TSLA</t>
  </si>
  <si>
    <t>Auto Manufacturers</t>
  </si>
  <si>
    <t>ASML</t>
  </si>
  <si>
    <t>MU</t>
  </si>
  <si>
    <t>BBAI</t>
  </si>
  <si>
    <t>CRDO</t>
  </si>
  <si>
    <t>CRWV</t>
  </si>
  <si>
    <t>INTC</t>
  </si>
  <si>
    <t>SMCI</t>
  </si>
  <si>
    <t>AAOI</t>
  </si>
  <si>
    <t>Communication Equipment</t>
  </si>
  <si>
    <t>AEHR</t>
  </si>
  <si>
    <t>LWLG</t>
  </si>
  <si>
    <t>Specialty Chemicals</t>
  </si>
  <si>
    <t>ARM</t>
  </si>
  <si>
    <t>IONQ</t>
  </si>
  <si>
    <t>POET</t>
  </si>
  <si>
    <t>TEST</t>
  </si>
  <si>
    <t>trade_date</t>
  </si>
  <si>
    <t>account</t>
  </si>
  <si>
    <t>action</t>
  </si>
  <si>
    <t>quantity</t>
  </si>
  <si>
    <t>trade_price</t>
  </si>
  <si>
    <t>fees</t>
  </si>
  <si>
    <t>fx_rate_to_gbp</t>
  </si>
  <si>
    <t>notes</t>
  </si>
  <si>
    <t>BUY</t>
  </si>
  <si>
    <t>IBKR</t>
  </si>
  <si>
    <t>StockName</t>
  </si>
  <si>
    <t>LastTradeTime</t>
  </si>
  <si>
    <t>TradeCurrency</t>
  </si>
  <si>
    <t>StockPrice</t>
  </si>
  <si>
    <t>ChangePercent</t>
  </si>
  <si>
    <t>Change</t>
  </si>
  <si>
    <t>P/E</t>
  </si>
  <si>
    <t>Beta</t>
  </si>
  <si>
    <t>52WkHigh</t>
  </si>
  <si>
    <t>52WkLow</t>
  </si>
  <si>
    <t>DayHigh</t>
  </si>
  <si>
    <t>DayLow</t>
  </si>
  <si>
    <t>Open</t>
  </si>
  <si>
    <t>PreviousClose</t>
  </si>
  <si>
    <t>Volume</t>
  </si>
  <si>
    <t>AverageVolume</t>
  </si>
  <si>
    <t>YearIncorported</t>
  </si>
  <si>
    <t>Employees</t>
  </si>
  <si>
    <t>Industry</t>
  </si>
  <si>
    <t>MarketCap</t>
  </si>
  <si>
    <t>SharesOutstanding</t>
  </si>
  <si>
    <t>50SMA</t>
  </si>
  <si>
    <t>100SMA</t>
  </si>
  <si>
    <t>150SMA</t>
  </si>
  <si>
    <t>200SMA</t>
  </si>
  <si>
    <t>EMA</t>
  </si>
  <si>
    <t>RSI</t>
  </si>
  <si>
    <t>MACD</t>
  </si>
  <si>
    <t>UpperBB</t>
  </si>
  <si>
    <t>LowerBB</t>
  </si>
  <si>
    <t>Field</t>
  </si>
  <si>
    <t>Meaning</t>
  </si>
  <si>
    <t>Example</t>
  </si>
  <si>
    <t>Date trade executed</t>
  </si>
  <si>
    <t>Which broker/account</t>
  </si>
  <si>
    <t>Stock ticker</t>
  </si>
  <si>
    <t>BUY or SELL</t>
  </si>
  <si>
    <t>Number of shares</t>
  </si>
  <si>
    <t>Currency stock trades in</t>
  </si>
  <si>
    <t>Price PER share in trade currency</t>
  </si>
  <si>
    <t>Broker commission in trade currency</t>
  </si>
  <si>
    <t>FX conversion rate at trade time</t>
  </si>
  <si>
    <t>Free text notes</t>
  </si>
  <si>
    <t>Swing trade</t>
  </si>
  <si>
    <t>SNOW</t>
  </si>
  <si>
    <t>MDB</t>
  </si>
  <si>
    <t>NET</t>
  </si>
  <si>
    <t>CSCO</t>
  </si>
  <si>
    <t>DELL</t>
  </si>
  <si>
    <t>CRWD</t>
  </si>
  <si>
    <t>PANW</t>
  </si>
  <si>
    <t>ZS</t>
  </si>
  <si>
    <t>FTNT</t>
  </si>
  <si>
    <t>SYM</t>
  </si>
  <si>
    <t>ROK</t>
  </si>
  <si>
    <t>VRT</t>
  </si>
  <si>
    <t>ETN</t>
  </si>
  <si>
    <t>CEG</t>
  </si>
  <si>
    <t>SMR</t>
  </si>
  <si>
    <t>SPY</t>
  </si>
  <si>
    <t>QQQ</t>
  </si>
  <si>
    <t>SMH</t>
  </si>
  <si>
    <t>SOXX</t>
  </si>
  <si>
    <t>ARKK</t>
  </si>
  <si>
    <t>IWM</t>
  </si>
  <si>
    <t>Curated AI / Tech / Infrastructure Watchlist</t>
  </si>
  <si>
    <t>NOT:</t>
  </si>
  <si>
    <t>random meme stocks</t>
  </si>
  <si>
    <t>over-diversified noise</t>
  </si>
  <si>
    <t>You want:</t>
  </si>
  <si>
    <t>innovation leaders</t>
  </si>
  <si>
    <t>infrastructure providers</t>
  </si>
  <si>
    <t>picks-and-shovels companies</t>
  </si>
  <si>
    <t>market leaders</t>
  </si>
  <si>
    <t>ecosystem exposure</t>
  </si>
  <si>
    <t>That creates MUCH better long-term datasets.</t>
  </si>
  <si>
    <t>STRUCTURE I RECOMMEND</t>
  </si>
  <si>
    <t>Your watchlist should include:</t>
  </si>
  <si>
    <t>Category</t>
  </si>
  <si>
    <t>Purpose</t>
  </si>
  <si>
    <t>AI Compute</t>
  </si>
  <si>
    <t>foundational infrastructure</t>
  </si>
  <si>
    <t>core AI supply chain</t>
  </si>
  <si>
    <t>Hyperscalers</t>
  </si>
  <si>
    <t>AI deployment</t>
  </si>
  <si>
    <t>Networking</t>
  </si>
  <si>
    <t>AI bandwidth</t>
  </si>
  <si>
    <t>Data Platforms</t>
  </si>
  <si>
    <t>enterprise AI</t>
  </si>
  <si>
    <t>Cybersecurity</t>
  </si>
  <si>
    <t>AI-era security</t>
  </si>
  <si>
    <t>Robotics</t>
  </si>
  <si>
    <t>physical AI</t>
  </si>
  <si>
    <t>Quantum</t>
  </si>
  <si>
    <t>optional future layer</t>
  </si>
  <si>
    <t>Energy/Grid</t>
  </si>
  <si>
    <t>AI power demand</t>
  </si>
  <si>
    <t>Market ETFs</t>
  </si>
  <si>
    <t>regime context</t>
  </si>
  <si>
    <t>This creates:</t>
  </si>
  <si>
    <t>contextual market intelligence</t>
  </si>
  <si>
    <t>ML feature richness later</t>
  </si>
  <si>
    <t>VERY important.</t>
  </si>
  <si>
    <t>MY HIGH-CONVICTION WATCHLIST</t>
  </si>
  <si>
    <t>AI COMPUTE / LEADERS</t>
  </si>
  <si>
    <t>Ticker</t>
  </si>
  <si>
    <t>Company</t>
  </si>
  <si>
    <t>NVIDIA</t>
  </si>
  <si>
    <t>Broadcom</t>
  </si>
  <si>
    <t>Taiwan Semiconductor</t>
  </si>
  <si>
    <t>Micron</t>
  </si>
  <si>
    <t>ARM Holdings</t>
  </si>
  <si>
    <t>These are arguably:</t>
  </si>
  <si>
    <t>the AI industrial backbone.</t>
  </si>
  <si>
    <t>AI SOFTWARE / PLATFORMS</t>
  </si>
  <si>
    <t>PLTR</t>
  </si>
  <si>
    <t>Palantir</t>
  </si>
  <si>
    <t>Snowflake</t>
  </si>
  <si>
    <t>C3AI</t>
  </si>
  <si>
    <t>C3.ai</t>
  </si>
  <si>
    <t>MongoDB</t>
  </si>
  <si>
    <t>Datadog</t>
  </si>
  <si>
    <t>Cloudflare</t>
  </si>
  <si>
    <t>These help you observe:</t>
  </si>
  <si>
    <t>enterprise AI adoption</t>
  </si>
  <si>
    <t>data infrastructure evolution</t>
  </si>
  <si>
    <t>HYPERSCALERS</t>
  </si>
  <si>
    <t>Microsoft</t>
  </si>
  <si>
    <t>GOOGL</t>
  </si>
  <si>
    <t>Alphabet</t>
  </si>
  <si>
    <t>Amazon</t>
  </si>
  <si>
    <t>Meta</t>
  </si>
  <si>
    <t>These are:</t>
  </si>
  <si>
    <t>AI deployment engines.</t>
  </si>
  <si>
    <t>NETWORKING / AI INFRASTRUCTURE</t>
  </si>
  <si>
    <t>Arista Networks</t>
  </si>
  <si>
    <t>Cisco</t>
  </si>
  <si>
    <t>Marvell</t>
  </si>
  <si>
    <t>Dell</t>
  </si>
  <si>
    <t>VERY important for:</t>
  </si>
  <si>
    <t>data-center scaling.</t>
  </si>
  <si>
    <t>CYBERSECURITY</t>
  </si>
  <si>
    <t>CrowdStrike</t>
  </si>
  <si>
    <t>Palo Alto Networks</t>
  </si>
  <si>
    <t>Zscaler</t>
  </si>
  <si>
    <t>Fortinet</t>
  </si>
  <si>
    <t>This sector matters enormously long-term.</t>
  </si>
  <si>
    <t>ROBOTICS / AUTOMATION</t>
  </si>
  <si>
    <t>Tesla</t>
  </si>
  <si>
    <t>Symbotic</t>
  </si>
  <si>
    <t>Rockwell Automation</t>
  </si>
  <si>
    <t>Physical AI is likely:</t>
  </si>
  <si>
    <t>massively underestimated.</t>
  </si>
  <si>
    <t>ENERGY / GRID / AI POWER DEMAND</t>
  </si>
  <si>
    <t>VERY important and often ignored.</t>
  </si>
  <si>
    <t>Vertiv</t>
  </si>
  <si>
    <t>Eaton</t>
  </si>
  <si>
    <t>Constellation Energy</t>
  </si>
  <si>
    <t>NuScale Power</t>
  </si>
  <si>
    <t>AI power demand may become:</t>
  </si>
  <si>
    <t>one of the biggest investment themes.</t>
  </si>
  <si>
    <t>MARKET CONTEXT ETFs</t>
  </si>
  <si>
    <t>VERY important for ML later.</t>
  </si>
  <si>
    <t>S&amp;P 500</t>
  </si>
  <si>
    <t>Nasdaq</t>
  </si>
  <si>
    <t>Semiconductor ETF</t>
  </si>
  <si>
    <t>Innovation sentiment</t>
  </si>
  <si>
    <t>Small caps</t>
  </si>
  <si>
    <t>These are EXTREMELY valuable for:</t>
  </si>
  <si>
    <t>regime analysis</t>
  </si>
  <si>
    <t>relative strength</t>
  </si>
  <si>
    <t>ML features</t>
  </si>
  <si>
    <t>VERY IMPORTANT ML OBSERVATION</t>
  </si>
  <si>
    <t>Long-term:</t>
  </si>
  <si>
    <t>your best signals may NOT come from:</t>
  </si>
  <si>
    <t>individual stocks</t>
  </si>
  <si>
    <t>but from:</t>
  </si>
  <si>
    <t>relationships between assets</t>
  </si>
  <si>
    <t>Example:</t>
  </si>
  <si>
    <t>Relationship</t>
  </si>
  <si>
    <t>Insight</t>
  </si>
  <si>
    <t>NVDA vs SMH</t>
  </si>
  <si>
    <t>leadership</t>
  </si>
  <si>
    <t>QQQ vs IWM</t>
  </si>
  <si>
    <t>risk appetite</t>
  </si>
  <si>
    <t>VIX vs SOXX</t>
  </si>
  <si>
    <t>fear vs AI</t>
  </si>
  <si>
    <t>GBPUSD vs FTSE</t>
  </si>
  <si>
    <t>macro</t>
  </si>
  <si>
    <t>Gold vs Nasdaq</t>
  </si>
  <si>
    <t>regime</t>
  </si>
  <si>
    <t>That’s where:</t>
  </si>
  <si>
    <t>real intelligence starts emerging.</t>
  </si>
  <si>
    <t>MY STRONGEST RECOMMENDATION</t>
  </si>
  <si>
    <t>If you want:</t>
  </si>
  <si>
    <t>high-quality datasets</t>
  </si>
  <si>
    <t>meaningful market learning</t>
  </si>
  <si>
    <t>future ML usefulness</t>
  </si>
  <si>
    <t>Then focus on:</t>
  </si>
  <si>
    <t>Priority</t>
  </si>
  <si>
    <t>Area</t>
  </si>
  <si>
    <t>#1</t>
  </si>
  <si>
    <t>#2</t>
  </si>
  <si>
    <t>AI infrastructure</t>
  </si>
  <si>
    <t>#3</t>
  </si>
  <si>
    <t>#4</t>
  </si>
  <si>
    <t>Macro ETFs</t>
  </si>
  <si>
    <t>#5</t>
  </si>
  <si>
    <t>Energy/grid demand</t>
  </si>
  <si>
    <t>ON</t>
  </si>
  <si>
    <t>KLAC</t>
  </si>
  <si>
    <t>CDNS</t>
  </si>
  <si>
    <t>SNPS</t>
  </si>
  <si>
    <t>TER</t>
  </si>
  <si>
    <t>WDAY</t>
  </si>
  <si>
    <t>TWLO</t>
  </si>
  <si>
    <t>DT</t>
  </si>
  <si>
    <t>RXRX</t>
  </si>
  <si>
    <t>S</t>
  </si>
  <si>
    <t>Symbol</t>
  </si>
  <si>
    <t>TotalBought</t>
  </si>
  <si>
    <t>TotalSold</t>
  </si>
  <si>
    <t>NetPosition</t>
  </si>
  <si>
    <t>AvgCost</t>
  </si>
  <si>
    <t>AvgBuyCost</t>
  </si>
  <si>
    <t>FXRate</t>
  </si>
  <si>
    <t>MarketValue</t>
  </si>
  <si>
    <t>P&amp;L</t>
  </si>
  <si>
    <t>P&amp;LPercent</t>
  </si>
  <si>
    <t>IWEB</t>
  </si>
  <si>
    <t>Milestone 10 — Step-by-Step Build Plan</t>
  </si>
  <si>
    <t>Step 10.1 — Build PRICE_HISTORY Sheet</t>
  </si>
  <si>
    <t>Create sheet:</t>
  </si>
  <si>
    <t>PRICE_HISTORY</t>
  </si>
  <si>
    <t>Columns:</t>
  </si>
  <si>
    <t>A</t>
  </si>
  <si>
    <t>B</t>
  </si>
  <si>
    <t>C</t>
  </si>
  <si>
    <t>Date</t>
  </si>
  <si>
    <t>Close</t>
  </si>
  <si>
    <t>Goal</t>
  </si>
  <si>
    <t>This becomes:</t>
  </si>
  <si>
    <t>the source for all indicators</t>
  </si>
  <si>
    <t>reusable for every stock</t>
  </si>
  <si>
    <t>future-proof for Python/ML</t>
  </si>
  <si>
    <t>Step 10.2 — Add Current Price to HOLDINGS</t>
  </si>
  <si>
    <r>
      <t xml:space="preserve">In </t>
    </r>
    <r>
      <rPr>
        <sz val="10"/>
        <color theme="1"/>
        <rFont val="Arial Unicode MS"/>
      </rPr>
      <t>HOLDINGS</t>
    </r>
    <r>
      <rPr>
        <sz val="11"/>
        <color theme="1"/>
        <rFont val="Aptos Narrow"/>
        <family val="2"/>
        <scheme val="minor"/>
      </rPr>
      <t xml:space="preserve"> add:</t>
    </r>
  </si>
  <si>
    <t>Shares</t>
  </si>
  <si>
    <t>Avg Cost</t>
  </si>
  <si>
    <t>Current Price</t>
  </si>
  <si>
    <t>For now you can:</t>
  </si>
  <si>
    <t>enter prices manually</t>
  </si>
  <si>
    <t>or use STOCKHISTORY / STOCKDATA if Excel supports it</t>
  </si>
  <si>
    <t>Step 10.3 — Add MA10</t>
  </si>
  <si>
    <t>Add new column:</t>
  </si>
  <si>
    <t>| MA10 |</t>
  </si>
  <si>
    <t>Formula concept:</t>
  </si>
  <si>
    <t>MA10=last 10 closes10MA_{10}=\frac{\text{last 10 closes}}{10}MA10​=10last 10 closes​</t>
  </si>
  <si>
    <t>MA10=∑i=110Pi10MA_{10}=\frac{\sum_{i=1}^{10}P_i}{10}MA10​=10∑i=110​Pi​​</t>
  </si>
  <si>
    <t>Simple Excel Formula</t>
  </si>
  <si>
    <t>If your last 10 prices are in:</t>
  </si>
  <si>
    <t>C2:C11</t>
  </si>
  <si>
    <t>Then:</t>
  </si>
  <si>
    <t>Verify:</t>
  </si>
  <si>
    <t>formula works</t>
  </si>
  <si>
    <t>updates correctly</t>
  </si>
  <si>
    <t>no errors</t>
  </si>
  <si>
    <t>Only then continue.</t>
  </si>
  <si>
    <t>Step 10.4 — Add MA20 / MA50 / MA200</t>
  </si>
  <si>
    <t>Repeat same pattern.</t>
  </si>
  <si>
    <t>| MA20 | MA50 | MA200 |</t>
  </si>
  <si>
    <t>MA</t>
  </si>
  <si>
    <t>MA10</t>
  </si>
  <si>
    <t>Short-term momentum</t>
  </si>
  <si>
    <t>MA20</t>
  </si>
  <si>
    <t>Swing trend</t>
  </si>
  <si>
    <t>MA50</t>
  </si>
  <si>
    <t>Medium trend</t>
  </si>
  <si>
    <t>MA200</t>
  </si>
  <si>
    <t>Long-term trend</t>
  </si>
  <si>
    <t>Step 10.5 — Add Trend Signal</t>
  </si>
  <si>
    <t>Now the dashboard becomes intelligent.</t>
  </si>
  <si>
    <t>Step 10.6 — Build RSI Helper Columns</t>
  </si>
  <si>
    <r>
      <t xml:space="preserve">In </t>
    </r>
    <r>
      <rPr>
        <sz val="10"/>
        <color theme="1"/>
        <rFont val="Arial Unicode MS"/>
      </rPr>
      <t>PRICE_HISTORY</t>
    </r>
    <r>
      <rPr>
        <sz val="11"/>
        <color theme="1"/>
        <rFont val="Aptos Narrow"/>
        <family val="2"/>
        <scheme val="minor"/>
      </rPr>
      <t xml:space="preserve"> add:</t>
    </r>
  </si>
  <si>
    <t>| Change | Gain | Loss |</t>
  </si>
  <si>
    <t>Gain</t>
  </si>
  <si>
    <t>Loss</t>
  </si>
  <si>
    <t>Step 10.7 — Calculate RSI14</t>
  </si>
  <si>
    <t>Formula:</t>
  </si>
  <si>
    <t>RSI=100−1001+RSRSI=100-\frac{100}{1+RS}RSI=100−1+RS100​</t>
  </si>
  <si>
    <t>Steps</t>
  </si>
  <si>
    <t>Average Gain</t>
  </si>
  <si>
    <t>Average Loss</t>
  </si>
  <si>
    <t>RS</t>
  </si>
  <si>
    <t>Step 10.8 — Add RSI Signal</t>
  </si>
  <si>
    <t>Step 10.9 — Add Bollinger Bands</t>
  </si>
  <si>
    <t>BBupper=MA20+2σBB_{upper}=MA_{20}+2\sigmaBBupper​=MA20​+2σ</t>
  </si>
  <si>
    <t>BBlower=MA20−2σBB_{lower}=MA_{20}-2\sigmaBBlower​=MA20​−2σ</t>
  </si>
  <si>
    <t>Calculate MA20</t>
  </si>
  <si>
    <t>Std Dev</t>
  </si>
  <si>
    <t>Upper</t>
  </si>
  <si>
    <t>Lower</t>
  </si>
  <si>
    <t>USD/GBP</t>
  </si>
  <si>
    <t>I think the BEST next step is:</t>
  </si>
  <si>
    <t>M12 — Disposal Simulation Engine</t>
  </si>
  <si>
    <t>Why THIS Is The Highest Leverage Feature</t>
  </si>
  <si>
    <t>Because now you can answer:</t>
  </si>
  <si>
    <t>Question</t>
  </si>
  <si>
    <t>“If I sell 50 NVDA today…”</t>
  </si>
  <si>
    <t>projected CGT</t>
  </si>
  <si>
    <t>“Which shares should I sell?”</t>
  </si>
  <si>
    <t>tax optimisation</t>
  </si>
  <si>
    <t>“Can I realise gains tax-free?”</t>
  </si>
  <si>
    <t>allowance planning</t>
  </si>
  <si>
    <t>“What disposal minimises CGT?”</t>
  </si>
  <si>
    <t>alpha</t>
  </si>
  <si>
    <t>“How much unrealised gain exists?”</t>
  </si>
  <si>
    <t>exposure</t>
  </si>
  <si>
    <t>decision intelligence</t>
  </si>
  <si>
    <t>Why</t>
  </si>
  <si>
    <t>Do the rankings “feel right”?</t>
  </si>
  <si>
    <t>intuition validation</t>
  </si>
  <si>
    <t>Are low-tax positions ranking highly?</t>
  </si>
  <si>
    <t>tax efficiency</t>
  </si>
  <si>
    <t>Are oversized positions penalised?</t>
  </si>
  <si>
    <t>concentration</t>
  </si>
  <si>
    <t>Are older positions preferred?</t>
  </si>
  <si>
    <t>holding conviction</t>
  </si>
  <si>
    <t>Why The AI Scores Make Sense</t>
  </si>
  <si>
    <t>Factor</t>
  </si>
  <si>
    <t>LWLG Outcome</t>
  </si>
  <si>
    <t>Tax score</t>
  </si>
  <si>
    <t>1.0 (excellent to sell)</t>
  </si>
  <si>
    <t>Risk score</t>
  </si>
  <si>
    <t>low</t>
  </si>
  <si>
    <t>Holding score</t>
  </si>
  <si>
    <t>AI score</t>
  </si>
  <si>
    <t>strong overall sell candidate</t>
  </si>
  <si>
    <t>Your weighting system is behaving rationally.</t>
  </si>
  <si>
    <t>SELL OPTIMISER</t>
  </si>
  <si>
    <t>Indicator</t>
  </si>
  <si>
    <t>VIX</t>
  </si>
  <si>
    <t>market fear</t>
  </si>
  <si>
    <t>US10Y Treasury</t>
  </si>
  <si>
    <t>rates environment</t>
  </si>
  <si>
    <t>DXY</t>
  </si>
  <si>
    <t>dollar strength</t>
  </si>
  <si>
    <t>broad market trend</t>
  </si>
  <si>
    <t>growth/risk sentiment</t>
  </si>
  <si>
    <t>Gold</t>
  </si>
  <si>
    <t>risk-off signal</t>
  </si>
  <si>
    <t>BTC</t>
  </si>
  <si>
    <t>speculative appetite</t>
  </si>
  <si>
    <t>IKBR</t>
  </si>
  <si>
    <t>IREN</t>
  </si>
  <si>
    <t>MSTR</t>
  </si>
  <si>
    <t>NOK</t>
  </si>
  <si>
    <t>ONDS</t>
  </si>
  <si>
    <t>CRM</t>
  </si>
  <si>
    <t>QCOM</t>
  </si>
  <si>
    <t>ASSET_VALUE_GBP</t>
  </si>
  <si>
    <t>Total</t>
  </si>
  <si>
    <t>ASSET_COST_GBP</t>
  </si>
  <si>
    <t>AVAILABLE</t>
  </si>
  <si>
    <t>Portfolio_Value</t>
  </si>
  <si>
    <t>Unreal_Profit/loss</t>
  </si>
  <si>
    <t>Real_Profit/loss</t>
  </si>
  <si>
    <t>?</t>
  </si>
  <si>
    <t>Net_Value</t>
  </si>
  <si>
    <t>-----------------------------------------------------------</t>
  </si>
  <si>
    <r>
      <t xml:space="preserve">1. </t>
    </r>
    <r>
      <rPr>
        <b/>
        <sz val="10"/>
        <color theme="1"/>
        <rFont val="Arial Unicode MS"/>
      </rPr>
      <t>RISK_ON</t>
    </r>
    <r>
      <rPr>
        <b/>
        <sz val="24"/>
        <color theme="1"/>
        <rFont val="Aptos Narrow"/>
        <family val="2"/>
        <scheme val="minor"/>
      </rPr>
      <t xml:space="preserve"> / </t>
    </r>
    <r>
      <rPr>
        <b/>
        <sz val="10"/>
        <color theme="1"/>
        <rFont val="Arial Unicode MS"/>
      </rPr>
      <t>RISK_OFF</t>
    </r>
  </si>
  <si>
    <t>This is:</t>
  </si>
  <si>
    <t>macro market regime</t>
  </si>
  <si>
    <t>Meaning:</t>
  </si>
  <si>
    <t>What kind of environment is the market in?</t>
  </si>
  <si>
    <t>RISK_ON</t>
  </si>
  <si>
    <t>Means markets are generally:</t>
  </si>
  <si>
    <t>optimistic</t>
  </si>
  <si>
    <t>confident</t>
  </si>
  <si>
    <t>seeking growth/risk</t>
  </si>
  <si>
    <t>Typical behaviour:</t>
  </si>
  <si>
    <t>stocks rise</t>
  </si>
  <si>
    <t>tech rises</t>
  </si>
  <si>
    <t>volatility falls</t>
  </si>
  <si>
    <t>cyclicals rise</t>
  </si>
  <si>
    <t>speculative assets perform better</t>
  </si>
  <si>
    <t>Examples:</t>
  </si>
  <si>
    <t>low VIX</t>
  </si>
  <si>
    <t>strong momentum</t>
  </si>
  <si>
    <t>strong economy</t>
  </si>
  <si>
    <t>falling fear</t>
  </si>
  <si>
    <t>RISK_OFF</t>
  </si>
  <si>
    <t>Means markets are:</t>
  </si>
  <si>
    <t>defensive</t>
  </si>
  <si>
    <t>fearful</t>
  </si>
  <si>
    <t>uncertain</t>
  </si>
  <si>
    <t>volatility rises</t>
  </si>
  <si>
    <t>equities weaken</t>
  </si>
  <si>
    <t>defensive assets rise</t>
  </si>
  <si>
    <t>gold often strengthens</t>
  </si>
  <si>
    <t>bonds may rally</t>
  </si>
  <si>
    <t>high VIX</t>
  </si>
  <si>
    <t>recession fears</t>
  </si>
  <si>
    <t>geopolitical stress</t>
  </si>
  <si>
    <t>tightening liquidity</t>
  </si>
  <si>
    <t>In YOUR System</t>
  </si>
  <si>
    <t>Your macro engine probably outputs:</t>
  </si>
  <si>
    <t>{</t>
  </si>
  <si>
    <t xml:space="preserve">    "regime": "RISK_ON"</t>
  </si>
  <si>
    <t>}</t>
  </si>
  <si>
    <t>or:</t>
  </si>
  <si>
    <t xml:space="preserve">    "regime": "RISK_OFF"</t>
  </si>
  <si>
    <t>What It CURRENTLY Does</t>
  </si>
  <si>
    <t>You currently use it mainly here:</t>
  </si>
  <si>
    <t>macro_multiplier</t>
  </si>
  <si>
    <t>macro_multiplier = 1.2</t>
  </si>
  <si>
    <t>increase position sizes</t>
  </si>
  <si>
    <t>more aggressive</t>
  </si>
  <si>
    <t>macro_multiplier = 0.6</t>
  </si>
  <si>
    <t>reduce exposure</t>
  </si>
  <si>
    <t>become defensive</t>
  </si>
  <si>
    <t>So currently:</t>
  </si>
  <si>
    <t>it modifies conviction/sizing.</t>
  </si>
  <si>
    <r>
      <t xml:space="preserve">2. </t>
    </r>
    <r>
      <rPr>
        <b/>
        <sz val="10"/>
        <color theme="1"/>
        <rFont val="Arial Unicode MS"/>
      </rPr>
      <t>ai_score</t>
    </r>
  </si>
  <si>
    <t>This is DIFFERENT.</t>
  </si>
  <si>
    <t>This is your:</t>
  </si>
  <si>
    <t>instrument attractiveness score</t>
  </si>
  <si>
    <t>Think of it as:</t>
  </si>
  <si>
    <t>How technically attractive does this asset currently look?</t>
  </si>
  <si>
    <r>
      <t xml:space="preserve">Your </t>
    </r>
    <r>
      <rPr>
        <b/>
        <sz val="10"/>
        <color theme="1"/>
        <rFont val="Arial Unicode MS"/>
      </rPr>
      <t>ai_score</t>
    </r>
    <r>
      <rPr>
        <b/>
        <sz val="24"/>
        <color theme="1"/>
        <rFont val="Aptos Narrow"/>
        <family val="2"/>
        <scheme val="minor"/>
      </rPr>
      <t xml:space="preserve"> Likely Combines</t>
    </r>
  </si>
  <si>
    <t>Things like:</t>
  </si>
  <si>
    <t>trend</t>
  </si>
  <si>
    <t>MA50 vs MA200</t>
  </si>
  <si>
    <t>momentum</t>
  </si>
  <si>
    <t>maybe volatility</t>
  </si>
  <si>
    <t>maybe diversification</t>
  </si>
  <si>
    <t>If:</t>
  </si>
  <si>
    <t>bullish trend</t>
  </si>
  <si>
    <t>good RSI</t>
  </si>
  <si>
    <t>then:</t>
  </si>
  <si>
    <t>ai_score = 0.73</t>
  </si>
  <si>
    <t>Higher score:</t>
  </si>
  <si>
    <t>more attractive technically.</t>
  </si>
  <si>
    <t>VERY Important</t>
  </si>
  <si>
    <t>Currently:</t>
  </si>
  <si>
    <t>ai_score is mostly technical</t>
  </si>
  <si>
    <t>true AI</t>
  </si>
  <si>
    <t>ML model</t>
  </si>
  <si>
    <t>predictive intelligence</t>
  </si>
  <si>
    <t>It’s more like:</t>
  </si>
  <si>
    <t>composite analytical score</t>
  </si>
  <si>
    <t>That’s completely fine.</t>
  </si>
  <si>
    <t>Lots of real systems start this way.</t>
  </si>
  <si>
    <t>Why The Output Felt “Wrong”</t>
  </si>
  <si>
    <t>Because currently:</t>
  </si>
  <si>
    <t>ai_score</t>
  </si>
  <si>
    <t>does NOT understand:</t>
  </si>
  <si>
    <t>macro meaning</t>
  </si>
  <si>
    <t>asset semantics</t>
  </si>
  <si>
    <t>volatility interpretation</t>
  </si>
  <si>
    <t>So:</t>
  </si>
  <si>
    <t>VIX bullish</t>
  </si>
  <si>
    <t>becomes:</t>
  </si>
  <si>
    <t>"positive trend"</t>
  </si>
  <si>
    <t>instead of:</t>
  </si>
  <si>
    <t>"market fear increasing"</t>
  </si>
  <si>
    <t>That’s the deeper issue you noticed instinctively.</t>
  </si>
  <si>
    <t>Very good catch.</t>
  </si>
  <si>
    <t>What Mature Systems Eventually Do</t>
  </si>
  <si>
    <t>They separate:</t>
  </si>
  <si>
    <t>TECHNICAL SCORE</t>
  </si>
  <si>
    <t>What is the chart doing?</t>
  </si>
  <si>
    <t>from:</t>
  </si>
  <si>
    <t>MACRO INTERPRETATION</t>
  </si>
  <si>
    <t>What does this MEAN?</t>
  </si>
  <si>
    <t>Those are very different layers.</t>
  </si>
  <si>
    <t>Rising Gold</t>
  </si>
  <si>
    <t>Could mean:</t>
  </si>
  <si>
    <t>inflation fears</t>
  </si>
  <si>
    <t>defensive rotation</t>
  </si>
  <si>
    <t>weakening dollar</t>
  </si>
  <si>
    <t>crisis hedging</t>
  </si>
  <si>
    <t>NOT simply:</t>
  </si>
  <si>
    <t>“BUY”</t>
  </si>
  <si>
    <t>So Right Now Your Architecture Is</t>
  </si>
  <si>
    <t>Indicators</t>
  </si>
  <si>
    <t xml:space="preserve">    ↓</t>
  </si>
  <si>
    <t>Composite score (ai_score)</t>
  </si>
  <si>
    <t>Regime multiplier</t>
  </si>
  <si>
    <t>Position sizing</t>
  </si>
  <si>
    <t>Future Architecture Will Likely Become</t>
  </si>
  <si>
    <t>Asset-aware interpretation</t>
  </si>
  <si>
    <t>Macro-aware interpretation</t>
  </si>
  <si>
    <t>Contextual score</t>
  </si>
  <si>
    <t>Portfolio decisions</t>
  </si>
  <si>
    <t>That’s where systems become genuinely intelligent rather than:</t>
  </si>
  <si>
    <t>technical screeners.</t>
  </si>
  <si>
    <t>ACCOUNT</t>
  </si>
  <si>
    <t>CASH_BALANCE</t>
  </si>
  <si>
    <t>DATE</t>
  </si>
  <si>
    <t>AMMOUNT</t>
  </si>
  <si>
    <t>Notes</t>
  </si>
  <si>
    <t>seed</t>
  </si>
  <si>
    <t>HOLDING</t>
  </si>
  <si>
    <t>cash: 0</t>
  </si>
  <si>
    <t>target_cash_reserve: 12000</t>
  </si>
  <si>
    <t>emergency_reserve: 20000</t>
  </si>
  <si>
    <t>cash_contributions: 33738.31</t>
  </si>
  <si>
    <t>max_deployment_percent: 70</t>
  </si>
  <si>
    <t>cash</t>
  </si>
  <si>
    <t>target_cash_reserve</t>
  </si>
  <si>
    <t>emergency_reserve</t>
  </si>
  <si>
    <t>cash_contributions</t>
  </si>
  <si>
    <t>max_deployment_percent</t>
  </si>
  <si>
    <t>snapshot_date</t>
  </si>
  <si>
    <t>portfolio_value</t>
  </si>
  <si>
    <t>invested_value</t>
  </si>
  <si>
    <t>capital_status</t>
  </si>
  <si>
    <t>cash_funding_ratio</t>
  </si>
  <si>
    <t>MCD</t>
  </si>
  <si>
    <t>BMW.DE</t>
  </si>
  <si>
    <t>DIS</t>
  </si>
  <si>
    <t>SAP</t>
  </si>
  <si>
    <t>PG</t>
  </si>
  <si>
    <t>NKE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</si>
</sst>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43" formatCode="_-* #,##0.00_-;\-* #,##0.00_-;_-* &quot;-&quot;??_-;_-@_-"/>
    <numFmt numFmtId="164" formatCode="_([$$-409]* #,##0.00_);_([$$-409]* \(#,##0.00\);_([$$-409]* &quot;-&quot;??_);_(@_)"/>
    <numFmt numFmtId="165" formatCode="yyyy\-mm\-dd\ h:mm:ss"/>
    <numFmt numFmtId="166" formatCode="yyyy\-mm\-dd"/>
    <numFmt numFmtId="167" formatCode="\£#,##0.00"/>
  </numFmts>
  <fonts count="11">
    <font>
      <sz val="11"/>
      <color theme="1"/>
      <name val="Aptos Narrow"/>
      <family val="2"/>
      <scheme val="minor"/>
    </font>
    <font>
      <b/>
      <sz val="11"/>
      <color theme="1"/>
      <name val="Aptos Narrow"/>
      <family val="2"/>
      <scheme val="minor"/>
    </font>
    <font>
      <b/>
      <sz val="10"/>
      <color rgb="FFF0F0F0"/>
      <name val="Segoe UI"/>
      <family val="2"/>
    </font>
    <font>
      <sz val="10"/>
      <color rgb="FFF0F0F0"/>
      <name val="Segoe UI"/>
      <family val="2"/>
    </font>
    <font>
      <b/>
      <sz val="24"/>
      <color theme="1"/>
      <name val="Aptos Narrow"/>
      <family val="2"/>
      <scheme val="minor"/>
    </font>
    <font>
      <sz val="10"/>
      <color theme="1"/>
      <name val="Arial Unicode MS"/>
    </font>
    <font>
      <b/>
      <sz val="18"/>
      <color theme="1"/>
      <name val="Aptos Narrow"/>
      <family val="2"/>
      <scheme val="minor"/>
    </font>
    <font>
      <b/>
      <sz val="13.5"/>
      <color theme="1"/>
      <name val="Aptos Narrow"/>
      <family val="2"/>
      <scheme val="minor"/>
    </font>
    <font>
      <b/>
      <sz val="10"/>
      <color theme="1"/>
      <name val="Arial Unicode MS"/>
    </font>
    <font>
      <b/>
      <sz val="16"/>
      <color rgb="FFF0F0F0"/>
      <name val="Segoe UI"/>
      <family val="2"/>
    </font>
    <font>
      <b/>
      <sz val="11"/>
      <color rgb="FF00B050"/>
      <name val="Aptos Narrow"/>
      <family val="2"/>
      <scheme val="minor"/>
    </font>
  </fonts>
  <fills count="5">
    <fill>
      <patternFill patternType="none"/>
    </fill>
    <fill>
      <patternFill patternType="gray125"/>
    </fill>
    <fill>
      <patternFill patternType="solid">
        <fgColor rgb="FF1C2028"/>
        <bgColor indexed="64"/>
      </patternFill>
    </fill>
    <fill>
      <patternFill patternType="solid">
        <fgColor rgb="FF0C0E12"/>
        <bgColor indexed="6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1">
    <xf numFmtId="0" fontId="0" fillId="0" borderId="0" xfId="0"/>
    <xf numFmtId="14" fontId="0" fillId="0" borderId="0" xfId="0" applyNumberFormat="1"/>
    <xf numFmtId="22" fontId="0" fillId="0" borderId="0" xfId="0" applyNumberFormat="1"/>
    <xf numFmtId="164" fontId="0" fillId="0" borderId="0" xfId="0" applyNumberFormat="1"/>
    <xf numFmtId="10" fontId="0" fillId="0" borderId="0" xfId="0" applyNumberFormat="1"/>
    <xf numFmtId="2" fontId="0" fillId="0" borderId="0" xfId="0" applyNumberFormat="1"/>
    <xf numFmtId="4" fontId="0" fillId="0" borderId="0" xfId="0" applyNumberFormat="1"/>
    <xf numFmtId="3" fontId="0" fillId="0" borderId="0" xfId="0" applyNumberFormat="1"/>
    <xf numFmtId="1" fontId="0" fillId="0" borderId="0" xfId="0" applyNumberFormat="1"/>
    <xf numFmtId="43" fontId="0" fillId="0" borderId="0" xfId="0" applyNumberFormat="1"/>
    <xf numFmtId="165" fontId="0" fillId="0" borderId="0" xfId="0" applyNumberFormat="1"/>
    <xf numFmtId="166" fontId="0" fillId="0" borderId="0" xfId="0" applyNumberFormat="1"/>
    <xf numFmtId="0" fontId="1" fillId="0" borderId="0" xfId="0" applyFont="1"/>
    <xf numFmtId="0" fontId="2" fillId="2" borderId="0" xfId="0" applyFont="1" applyFill="1" applyAlignment="1">
      <alignment horizontal="left"/>
    </xf>
    <xf numFmtId="0" fontId="3" fillId="3" borderId="0" xfId="0" applyFont="1" applyFill="1"/>
    <xf numFmtId="0" fontId="2" fillId="3" borderId="0" xfId="0" applyFont="1" applyFill="1" applyAlignment="1">
      <alignment horizontal="left"/>
    </xf>
    <xf numFmtId="0" fontId="2" fillId="3" borderId="0" xfId="0" applyFont="1" applyFill="1" applyAlignment="1">
      <alignment horizontal="center"/>
    </xf>
    <xf numFmtId="1" fontId="2" fillId="3" borderId="0" xfId="0" applyNumberFormat="1" applyFont="1" applyFill="1" applyAlignment="1">
      <alignment horizontal="right"/>
    </xf>
    <xf numFmtId="167" fontId="2" fillId="3" borderId="0" xfId="0" applyNumberFormat="1" applyFont="1" applyFill="1" applyAlignment="1">
      <alignment horizontal="right"/>
    </xf>
    <xf numFmtId="0" fontId="2" fillId="3" borderId="0" xfId="0" applyFont="1" applyFill="1" applyAlignment="1">
      <alignment horizontal="right"/>
    </xf>
    <xf numFmtId="2" fontId="2" fillId="3" borderId="0" xfId="0" applyNumberFormat="1" applyFont="1" applyFill="1" applyAlignment="1">
      <alignment horizontal="right"/>
    </xf>
    <xf numFmtId="10" fontId="2" fillId="3" borderId="0" xfId="0" applyNumberFormat="1" applyFont="1" applyFill="1" applyAlignment="1">
      <alignment horizontal="right"/>
    </xf>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vertical="center"/>
    </xf>
    <xf numFmtId="0" fontId="0" fillId="0" borderId="0" xfId="0" quotePrefix="1"/>
    <xf numFmtId="0" fontId="0" fillId="0" borderId="1" xfId="0" applyBorder="1"/>
    <xf numFmtId="0" fontId="0" fillId="4" borderId="1" xfId="0" applyFill="1" applyBorder="1"/>
    <xf numFmtId="0" fontId="0" fillId="4" borderId="2" xfId="0" applyFill="1" applyBorder="1"/>
    <xf numFmtId="0" fontId="0" fillId="0" borderId="2" xfId="0" applyBorder="1"/>
    <xf numFmtId="9" fontId="2" fillId="3" borderId="0" xfId="0" applyNumberFormat="1" applyFont="1" applyFill="1" applyAlignment="1">
      <alignment horizontal="right"/>
    </xf>
    <xf numFmtId="9" fontId="3" fillId="3" borderId="0" xfId="0" applyNumberFormat="1" applyFont="1" applyFill="1"/>
    <xf numFmtId="0" fontId="9" fillId="2" borderId="0" xfId="0" applyFont="1" applyFill="1" applyAlignment="1">
      <alignment horizontal="left"/>
    </xf>
    <xf numFmtId="0" fontId="9" fillId="2" borderId="0" xfId="0" applyFont="1" applyFill="1" applyAlignment="1">
      <alignment horizontal="center"/>
    </xf>
    <xf numFmtId="0" fontId="9" fillId="2" borderId="0" xfId="0" applyFont="1" applyFill="1" applyAlignment="1">
      <alignment horizontal="right"/>
    </xf>
    <xf numFmtId="9" fontId="9" fillId="2" borderId="0" xfId="0" applyNumberFormat="1" applyFont="1" applyFill="1" applyAlignment="1">
      <alignment horizontal="right"/>
    </xf>
    <xf numFmtId="0" fontId="9" fillId="3" borderId="0" xfId="0" applyFont="1" applyFill="1" applyAlignment="1">
      <alignment horizontal="left"/>
    </xf>
    <xf numFmtId="0" fontId="9" fillId="3" borderId="0" xfId="0" applyFont="1" applyFill="1" applyAlignment="1">
      <alignment horizontal="center"/>
    </xf>
    <xf numFmtId="1" fontId="9" fillId="3" borderId="0" xfId="0" applyNumberFormat="1" applyFont="1" applyFill="1" applyAlignment="1">
      <alignment horizontal="right"/>
    </xf>
    <xf numFmtId="167" fontId="9" fillId="3" borderId="0" xfId="0" applyNumberFormat="1" applyFont="1" applyFill="1" applyAlignment="1">
      <alignment horizontal="right"/>
    </xf>
    <xf numFmtId="0" fontId="9" fillId="3" borderId="0" xfId="0" applyFont="1" applyFill="1" applyAlignment="1">
      <alignment horizontal="right"/>
    </xf>
    <xf numFmtId="2" fontId="9" fillId="3" borderId="0" xfId="0" applyNumberFormat="1" applyFont="1" applyFill="1" applyAlignment="1">
      <alignment horizontal="right"/>
    </xf>
    <xf numFmtId="10" fontId="9" fillId="3" borderId="0" xfId="0" applyNumberFormat="1" applyFont="1" applyFill="1" applyAlignment="1">
      <alignment horizontal="right"/>
    </xf>
    <xf numFmtId="0" fontId="10" fillId="0" borderId="0" xfId="0" applyFont="1"/>
    <xf numFmtId="8" fontId="0" fillId="0" borderId="0" xfId="0" applyNumberFormat="1"/>
  </cellXfs>
  <cellStyles count="1">
    <cellStyle name="Normal" xfId="0" builtinId="0"/>
  </cellStyles>
  <dxfs count="45">
    <dxf>
      <font>
        <color rgb="FFA0A0A0"/>
      </font>
    </dxf>
    <dxf>
      <font>
        <color rgb="FFFF5050"/>
      </font>
    </dxf>
    <dxf>
      <font>
        <color rgb="FF00DC78"/>
      </font>
    </dxf>
    <dxf>
      <font>
        <color rgb="FFA0A0A0"/>
      </font>
    </dxf>
    <dxf>
      <font>
        <color rgb="FFFF5050"/>
      </font>
    </dxf>
    <dxf>
      <font>
        <color rgb="FF00DC78"/>
      </font>
    </dxf>
    <dxf>
      <font>
        <color rgb="FFA0A0A0"/>
      </font>
    </dxf>
    <dxf>
      <font>
        <color rgb="FFFF5050"/>
      </font>
    </dxf>
    <dxf>
      <font>
        <color rgb="FF00DC78"/>
      </font>
    </dxf>
    <dxf>
      <font>
        <b/>
        <i val="0"/>
        <strike val="0"/>
        <outline val="0"/>
        <shadow val="0"/>
        <u val="none"/>
        <vertAlign val="baseline"/>
        <sz val="10"/>
        <color rgb="FFF0F0F0"/>
        <name val="Segoe UI"/>
        <family val="2"/>
        <scheme val="none"/>
      </font>
      <numFmt numFmtId="14" formatCode="0.0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67" formatCode="\£#,##0.0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67" formatCode="\£#,##0.00"/>
      <fill>
        <patternFill patternType="solid">
          <fgColor indexed="64"/>
          <bgColor rgb="FF0C0E12"/>
        </patternFill>
      </fill>
      <alignment horizontal="right" vertical="bottom" textRotation="0" wrapText="0" indent="0" justifyLastLine="0" shrinkToFit="0" readingOrder="0"/>
    </dxf>
    <dxf>
      <font>
        <b/>
        <i val="0"/>
        <strike val="0"/>
        <condense val="0"/>
        <extend val="0"/>
        <outline val="0"/>
        <shadow val="0"/>
        <u val="none"/>
        <vertAlign val="baseline"/>
        <sz val="10"/>
        <color rgb="FFF0F0F0"/>
        <name val="Segoe UI"/>
        <family val="2"/>
        <scheme val="none"/>
      </font>
      <numFmt numFmtId="13" formatCode="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2" formatCode="0.0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0" formatCode="General"/>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67" formatCode="\£#,##0.0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67" formatCode="\£#,##0.0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 formatCode="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 formatCode="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numFmt numFmtId="1" formatCode="0"/>
      <fill>
        <patternFill patternType="solid">
          <fgColor indexed="64"/>
          <bgColor rgb="FF0C0E12"/>
        </patternFill>
      </fill>
      <alignment horizontal="right" vertical="bottom" textRotation="0" wrapText="0" indent="0" justifyLastLine="0" shrinkToFit="0" readingOrder="0"/>
    </dxf>
    <dxf>
      <font>
        <b/>
        <i val="0"/>
        <strike val="0"/>
        <outline val="0"/>
        <shadow val="0"/>
        <u val="none"/>
        <vertAlign val="baseline"/>
        <sz val="10"/>
        <color rgb="FFF0F0F0"/>
        <name val="Segoe UI"/>
        <family val="2"/>
        <scheme val="none"/>
      </font>
      <fill>
        <patternFill patternType="solid">
          <fgColor indexed="64"/>
          <bgColor rgb="FF0C0E12"/>
        </patternFill>
      </fill>
      <alignment horizontal="center" vertical="bottom" textRotation="0" wrapText="0" indent="0" justifyLastLine="0" shrinkToFit="0" readingOrder="0"/>
    </dxf>
    <dxf>
      <font>
        <b/>
        <i val="0"/>
        <strike val="0"/>
        <outline val="0"/>
        <shadow val="0"/>
        <u val="none"/>
        <vertAlign val="baseline"/>
        <sz val="10"/>
        <color rgb="FFF0F0F0"/>
        <name val="Segoe UI"/>
        <family val="2"/>
        <scheme val="none"/>
      </font>
      <fill>
        <patternFill patternType="solid">
          <fgColor indexed="64"/>
          <bgColor rgb="FF0C0E12"/>
        </patternFill>
      </fill>
      <alignment horizontal="left" vertical="bottom" textRotation="0" wrapText="0" indent="0" justifyLastLine="0" shrinkToFit="0" readingOrder="0"/>
    </dxf>
    <dxf>
      <font>
        <b/>
        <i val="0"/>
        <strike val="0"/>
        <outline val="0"/>
        <shadow val="0"/>
        <u val="none"/>
        <vertAlign val="baseline"/>
        <sz val="10"/>
        <color rgb="FFF0F0F0"/>
        <name val="Segoe UI"/>
        <family val="2"/>
        <scheme val="none"/>
      </font>
      <fill>
        <patternFill patternType="solid">
          <fgColor indexed="64"/>
          <bgColor rgb="FF0C0E12"/>
        </patternFill>
      </fill>
      <alignment horizontal="left" vertical="bottom" textRotation="0" wrapText="0" indent="0" justifyLastLine="0" shrinkToFit="0" readingOrder="0"/>
    </dxf>
    <dxf>
      <border diagonalUp="0" diagonalDown="0" outline="0">
        <left/>
        <right/>
        <top/>
        <bottom/>
      </border>
    </dxf>
    <dxf>
      <font>
        <b/>
        <i val="0"/>
        <strike val="0"/>
        <outline val="0"/>
        <shadow val="0"/>
        <u val="none"/>
        <vertAlign val="baseline"/>
        <sz val="10"/>
        <color rgb="FFF0F0F0"/>
        <name val="Segoe UI"/>
        <family val="2"/>
        <scheme val="none"/>
      </font>
      <fill>
        <patternFill patternType="solid">
          <fgColor indexed="64"/>
          <bgColor rgb="FF0C0E12"/>
        </patternFill>
      </fill>
    </dxf>
    <dxf>
      <font>
        <b/>
        <i val="0"/>
        <strike val="0"/>
        <outline val="0"/>
        <shadow val="0"/>
        <u val="none"/>
        <vertAlign val="baseline"/>
        <sz val="10"/>
        <color rgb="FFF0F0F0"/>
        <name val="Segoe UI"/>
        <family val="2"/>
        <scheme val="none"/>
      </font>
      <fill>
        <patternFill patternType="solid">
          <fgColor indexed="64"/>
          <bgColor rgb="FF1C2028"/>
        </patternFill>
      </fill>
      <alignment horizontal="center" vertical="bottom" textRotation="0" wrapText="0" indent="0" justifyLastLine="0" shrinkToFit="0" readingOrder="0"/>
    </dxf>
    <dxf>
      <numFmt numFmtId="3" formatCode="#,##0"/>
    </dxf>
    <dxf>
      <numFmt numFmtId="3" formatCode="#,##0"/>
    </dxf>
    <dxf>
      <numFmt numFmtId="3" formatCode="#,##0"/>
    </dxf>
    <dxf>
      <numFmt numFmtId="1" formatCode="0"/>
    </dxf>
    <dxf>
      <numFmt numFmtId="3" formatCode="#,##0"/>
    </dxf>
    <dxf>
      <numFmt numFmtId="3" formatCode="#,##0"/>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4" formatCode="#,##0.00"/>
    </dxf>
    <dxf>
      <numFmt numFmtId="4" formatCode="#,##0.00"/>
    </dxf>
    <dxf>
      <numFmt numFmtId="2" formatCode="0.00"/>
    </dxf>
    <dxf>
      <numFmt numFmtId="14" formatCode="0.00%"/>
    </dxf>
    <dxf>
      <numFmt numFmtId="164" formatCode="_([$$-409]* #,##0.00_);_([$$-409]* \(#,##0.00\);_([$$-409]* &quot;-&quot;??_);_(@_)"/>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08">
  <rv s="0">
    <v>https://www.bing.com/financeapi/forcetrigger?t=a1molh&amp;q=XNAS%3aAAOI&amp;form=skydnc</v>
    <v>Learn more on Bing</v>
  </rv>
  <rv s="1">
    <v>en-GB</v>
    <v>a1molh</v>
    <v>268435456</v>
    <v>1</v>
    <v>Powered by Refinitiv</v>
    <v>0</v>
    <v>APPLIED OPTOELECTRONICS, INC. (XNAS:AAOI)</v>
    <v>2</v>
    <v>3</v>
    <v>Finance</v>
    <v>4</v>
    <v>233.67</v>
    <v>15.29</v>
    <v>3.6015999999999999</v>
    <v>-29.31</v>
    <v>-0.14905399999999999</v>
    <v>USD</v>
    <v>Applied Optoelectronics, Inc. is a developer and manufacturer of advanced optical and hybrid fiber coaxial (HFC) networking products that are the building blocks for artificial intelligence (AI) datacenters, Cable TV Broadband (CATV) and broadband fiber access networks around the world. The Company supplies this critical infrastructure to tier-one customers across cloud computing, CATV broadband, telecom, and fiber-to-the-home (FTTH) markets. It designs and manufactures a range of optical communications products at varying levels of integration, from components, subassemblies and modules to complete turn-key equipment. In the CATV market, it supplies a broad array of products, including lasers, transmitters and transceivers, and turn-key equipment. It supplies optical transceivers that plug into switches and servers within the data center and allow these network devices to send and receive data over fiber optic cables. In the telecom market, it supplies lasers and laser subassemblies.</v>
    <v>4691</v>
    <v>Nasdaq Stock Market</v>
    <v>XNAS</v>
    <v>XNAS</v>
    <v>13139 Jess Pirtle Blvd, SUGAR LAND, TX, 77478 US</v>
    <v>207.6</v>
    <v>Electronic Equipment &amp; Parts</v>
    <v>Stock</v>
    <v>46182.797805231246</v>
    <v>0</v>
    <v>160.87</v>
    <v>13427022704</v>
    <v>APPLIED OPTOELECTRONICS, INC.</v>
    <v>APPLIED OPTOELECTRONICS, INC.</v>
    <v>203.49</v>
    <v>0</v>
    <v>196.64</v>
    <v>167.33</v>
    <v>80242770</v>
    <v>AAOI</v>
    <v>APPLIED OPTOELECTRONICS, INC. (XNAS:AAOI)</v>
    <v>21509564</v>
    <v>12730889</v>
    <v>2013</v>
  </rv>
  <rv s="2">
    <v>1</v>
  </rv>
  <rv s="0">
    <v>https://www.bing.com/financeapi/forcetrigger?t=a1mou2&amp;q=XNAS%3aAAPL&amp;form=skydnc</v>
    <v>Learn more on Bing</v>
  </rv>
  <rv s="1">
    <v>en-GB</v>
    <v>a1mou2</v>
    <v>268435456</v>
    <v>1</v>
    <v>Powered by Refinitiv</v>
    <v>0</v>
    <v>APPLE INC. (XNAS:AAPL)</v>
    <v>2</v>
    <v>3</v>
    <v>Finance</v>
    <v>4</v>
    <v>317.39999999999998</v>
    <v>195.07</v>
    <v>1.0887</v>
    <v>-9.8000000000000007</v>
    <v>-3.2500000000000001E-2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300.72000000000003</v>
    <v>Computers, Phones &amp; Household Electronics</v>
    <v>Stock</v>
    <v>46182.797831539065</v>
    <v>3</v>
    <v>287.77999999999997</v>
    <v>4284890406400</v>
    <v>APPLE INC.</v>
    <v>APPLE INC.</v>
    <v>300</v>
    <v>35.432000000000002</v>
    <v>301.54000000000002</v>
    <v>291.74</v>
    <v>14687360000</v>
    <v>AAPL</v>
    <v>APPLE INC. (XNAS:AAPL)</v>
    <v>49794495</v>
    <v>49348841</v>
    <v>1977</v>
  </rv>
  <rv s="2">
    <v>4</v>
  </rv>
  <rv s="0">
    <v>http://en.wikipedia.org/wiki/Public_domain</v>
    <v>Public domain</v>
  </rv>
  <rv s="0">
    <v>http://es.wikipedia.org/wiki/Adobe_(empresa)</v>
    <v>Wikipedia</v>
  </rv>
  <rv s="3">
    <v>6</v>
    <v>7</v>
  </rv>
  <rv s="4">
    <v>9</v>
    <v>https://www.bing.com/th?id=AMMS_503c684ccc667ad525fe1d703881df2c&amp;qlt=95</v>
    <v>8</v>
    <v>0</v>
    <v>https://www.bing.com/images/search?form=xlimg&amp;q=adobe+systems</v>
    <v>Image of ADOBE INC.</v>
  </rv>
  <rv s="0">
    <v>https://www.bing.com/financeapi/forcetrigger?t=a1mv7w&amp;q=XNAS%3aADBE&amp;form=skydnc</v>
    <v>Learn more on Bing</v>
  </rv>
  <rv s="5">
    <v>en-GB</v>
    <v>a1mv7w</v>
    <v>268435456</v>
    <v>1</v>
    <v>Powered by Refinitiv</v>
    <v>5</v>
    <v>ADOBE INC. (XNAS:ADBE)</v>
    <v>7</v>
    <v>8</v>
    <v>Finance</v>
    <v>4</v>
    <v>419.82</v>
    <v>224.13</v>
    <v>1.4023000000000001</v>
    <v>-6.59</v>
    <v>-2.6899000000000003E-2</v>
    <v>USD</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31360</v>
    <v>Nasdaq Stock Market</v>
    <v>XNAS</v>
    <v>XNAS</v>
    <v>345 Park Avenue, SAN JOSE, CA, 95110-2704 US</v>
    <v>245.25</v>
    <v>9</v>
    <v>Software &amp; IT Services</v>
    <v>Stock</v>
    <v>46182.797810555472</v>
    <v>10</v>
    <v>233.35</v>
    <v>96361280000</v>
    <v>ADOBE INC.</v>
    <v>ADOBE INC.</v>
    <v>242.54</v>
    <v>13.895</v>
    <v>244.99</v>
    <v>238.4</v>
    <v>404200000</v>
    <v>ADBE</v>
    <v>ADOBE INC. (XNAS:ADBE)</v>
    <v>4333195</v>
    <v>4913632</v>
    <v>1997</v>
  </rv>
  <rv s="2">
    <v>11</v>
  </rv>
  <rv s="0">
    <v>https://www.bing.com/financeapi/forcetrigger?t=a1mxtc&amp;q=XNAS%3aAEHR&amp;form=skydnc</v>
    <v>Learn more on Bing</v>
  </rv>
  <rv s="1">
    <v>en-GB</v>
    <v>a1mxtc</v>
    <v>268435456</v>
    <v>1</v>
    <v>Powered by Refinitiv</v>
    <v>0</v>
    <v>AEHR TEST SYSTEMS (XNAS:AEHR)</v>
    <v>2</v>
    <v>3</v>
    <v>Finance</v>
    <v>4</v>
    <v>121.8</v>
    <v>10.887499999999999</v>
    <v>3.1745000000000001</v>
    <v>-2.4499</v>
    <v>-2.5632000000000002E-2</v>
    <v>USD</v>
    <v>Aehr Test Systems, Inc. offers test solutions for testing, burning-in, and stabilizing semiconductor devices in wafer level, singulated die, and package part form. The Company's products include the FOX-P family of test and burn-in systems and FOX WaferPak Aligner, FOX WaferPak Contactor, FOX DiePak Carrier and FOX DiePak Loader. The FOX-XP and FOX-NP systems are full wafer contact and singulated die/module test and burn-in systems that can test, burn-in and stabilize a range of devices such as silicon carbide-based and other power semiconductors, 2D and 3D sensors used in phones, tablets, and other computing devices, memory semiconductors, processors, microcontrollers, systems-on-a-chip, and photonics and integrated optical devices used in AI. FOX-CP system is a single-wafer compact test solution for logic, memory and photonic devices. FOX WaferPak Contactor contains a full wafer contactor capable of testing wafers up to 300 millimeters that enables integrated circuit manufacturers.</v>
    <v>136</v>
    <v>Nasdaq Stock Market</v>
    <v>XNAS</v>
    <v>XNAS</v>
    <v>400 Kato Ter, FREMONT, CA, 94539 US</v>
    <v>106.52</v>
    <v>Semiconductors &amp; Semiconductor Equipment</v>
    <v>Stock</v>
    <v>46182.797808414063</v>
    <v>13</v>
    <v>84.614999999999995</v>
    <v>2929244317</v>
    <v>AEHR TEST SYSTEMS</v>
    <v>AEHR TEST SYSTEMS</v>
    <v>99.73</v>
    <v>0</v>
    <v>95.58</v>
    <v>93.130099999999999</v>
    <v>31453250</v>
    <v>AEHR</v>
    <v>AEHR TEST SYSTEMS (XNAS:AEHR)</v>
    <v>2016667</v>
    <v>2507789</v>
    <v>1977</v>
  </rv>
  <rv s="2">
    <v>14</v>
  </rv>
  <rv s="6">
    <v>en-GB</v>
    <v>cdocfr</v>
    <v>268435456</v>
    <v>1</v>
    <v>Powered by Refinitiv</v>
    <v>10</v>
    <v>ATRIUM MORTGAGE INVESTMENT CORPORATION (NEOE:AI)</v>
    <v>11</v>
    <v>12</v>
    <v>Finance</v>
    <v>13</v>
    <v>12.24</v>
    <v>10.99</v>
    <v>0.8377</v>
    <v>0.09</v>
    <v>7.705E-3</v>
    <v>CAD</v>
    <v>Atrium Mortgage Investment Corporation is a Canada-based company. The Company is a non-bank provider of residential and commercial mortgages that lends in urban centers in Canada. Its objectives are to provide its shareholders with dividends and preserve shareholders equity by lending within conservative risk parameters. Its investment strategy is to invest in commercial and residential mortgages from borrowers whose financing needs are not being met by the larger financial institutions. It finances various types of properties, which include residential houses, small multi-family residential properties comprising six units or fewer, residential apartment buildings, commercial and storefront retail properties, as well as residential and commercial land development sites. It also provides construction financing and short-term bridge loans to real estate developers. The Company is managed by Canadian Mortgage Capital Corporation (CMCC).</v>
    <v>0</v>
    <v>NEO Exchange</v>
    <v>NEOE</v>
    <v>NEOE</v>
    <v>20 Adelaide Street East, Suite 900, TORONTO, ON, M5C 2T6 CA</v>
    <v>11.78</v>
    <v>Banking Services</v>
    <v>Stock</v>
    <v>46182.783215185154</v>
    <v>11.7</v>
    <v>567781151</v>
    <v>ATRIUM MORTGAGE INVESTMENT CORPORATION</v>
    <v>ATRIUM MORTGAGE INVESTMENT CORPORATION</v>
    <v>11.73</v>
    <v>11.185</v>
    <v>11.68</v>
    <v>11.77</v>
    <v>48239690</v>
    <v>AI</v>
    <v>ATRIUM MORTGAGE INVESTMENT CORPORATION (NEOE:AI)</v>
    <v>4100</v>
    <v>118700</v>
    <v>2001</v>
  </rv>
  <rv s="2">
    <v>16</v>
  </rv>
  <rv s="6">
    <v>en-GB</v>
    <v>ccqpyc</v>
    <v>268435456</v>
    <v>1</v>
    <v>Powered by Refinitiv</v>
    <v>14</v>
    <v>ASTERA LABS, INC. (XNAS:ALAB)</v>
    <v>11</v>
    <v>3</v>
    <v>Finance</v>
    <v>4</v>
    <v>372.37</v>
    <v>84.78</v>
    <v>2.64</v>
    <v>-8.9250000000000007</v>
    <v>-2.5770000000000001E-2</v>
    <v>USD</v>
    <v>Astera Labs, Inc. is a global semiconductor company. The Company provides semiconductor-based connectivity solutions for cloud and artificial intelligence (AI) infrastructure. It has developed and deployed its Intelligent Connectivity Platform built from the ground up for cloud and AI infrastructure. Its Intelligent Connectivity Platform provides its customers with the ability to deploy and operate high-performance cloud and AI infrastructure at scale, addressing an increasingly diverse set of requirements. It provides its connectivity products in various form factors, including Integrated Circuits (ICs), boards, and modules. Its PCIe, CXL and Ethernet semiconductor-based connectivity solutions are purpose-built to unleash the potential of accelerated computing at cloud-scale. The Company’s products include Aries products, which include its COSMOS software suite; Taurus products, which are hardware modules based on its Taurus ICs; Leo products; and Scorpio products.</v>
    <v>756</v>
    <v>Nasdaq Stock Market</v>
    <v>XNAS</v>
    <v>XNAS</v>
    <v>2345 North First Street, SAN JOSE, CA, 95131 US</v>
    <v>372.11</v>
    <v>Semiconductors &amp; Semiconductor Equipment</v>
    <v>Stock</v>
    <v>46182.797830080468</v>
    <v>303</v>
    <v>57833882499</v>
    <v>ASTERA LABS, INC.</v>
    <v>ASTERA LABS, INC.</v>
    <v>354.01</v>
    <v>227.4538</v>
    <v>346.33</v>
    <v>337.40499999999997</v>
    <v>171407900</v>
    <v>ALAB</v>
    <v>ASTERA LABS, INC. (XNAS:ALAB)</v>
    <v>5688448</v>
    <v>6259818</v>
    <v>2017</v>
  </rv>
  <rv s="2">
    <v>18</v>
  </rv>
  <rv s="0">
    <v>https://www.bing.com/financeapi/forcetrigger?t=a1ndcw&amp;q=XNAS%3aAMBA&amp;form=skydnc</v>
    <v>Learn more on Bing</v>
  </rv>
  <rv s="1">
    <v>en-GB</v>
    <v>a1ndcw</v>
    <v>268435456</v>
    <v>1</v>
    <v>Powered by Refinitiv</v>
    <v>0</v>
    <v>AMBARELLA, INC. (XNAS:AMBA)</v>
    <v>2</v>
    <v>3</v>
    <v>Finance</v>
    <v>4</v>
    <v>96.69</v>
    <v>48.3</v>
    <v>2.1395</v>
    <v>-3.6749999999999998</v>
    <v>-5.3478000000000005E-2</v>
    <v>USD</v>
    <v>Ambarella, Inc. is a developer of low-power system-on-a-chip (SoC) semiconductors and software for edge artificial intelligence (AI) applications. The Company's technologies make electronic systems smarter, enabling them to become partially or fully autonomous with features, such as person detection, object classification, and analytics, in addition to performing complex data analysis in real time, delivering imagery, and preserving vital system resources, such as power and network bandwidth. It specializes in the development of deployable, scalable designs for intelligent electronic systems that utilize high-bandwidth sensors. Its products are used in a variety of human viewing, computer vision and edge AI applications, including a variety of automotive camera systems, video security cameras, mobile and fixed robots, industrial applications, and consumer devices, such as action, drone, and 360-degree cameras.</v>
    <v>959</v>
    <v>Nasdaq Stock Market</v>
    <v>XNAS</v>
    <v>XNAS</v>
    <v>3101 Jay Street, CA, 95054 US</v>
    <v>69.95</v>
    <v>Semiconductors &amp; Semiconductor Equipment</v>
    <v>Stock</v>
    <v>46182.797752812497</v>
    <v>20</v>
    <v>61.8</v>
    <v>2853405768</v>
    <v>AMBARELLA, INC.</v>
    <v>AMBARELLA, INC.</v>
    <v>69.78</v>
    <v>0</v>
    <v>68.72</v>
    <v>65.045000000000002</v>
    <v>43868180</v>
    <v>AMBA</v>
    <v>AMBARELLA, INC. (XNAS:AMBA)</v>
    <v>1235100</v>
    <v>1647508</v>
    <v>2004</v>
  </rv>
  <rv s="2">
    <v>21</v>
  </rv>
  <rv s="0">
    <v>https://www.bing.com/financeapi/forcetrigger?t=a1ndww&amp;q=XNAS%3aAMD&amp;form=skydnc</v>
    <v>Learn more on Bing</v>
  </rv>
  <rv s="1">
    <v>en-GB</v>
    <v>a1ndww</v>
    <v>268435456</v>
    <v>1</v>
    <v>Powered by Refinitiv</v>
    <v>0</v>
    <v>ADVANCED MICRO DEVICES, INC. (XNAS:AMD)</v>
    <v>2</v>
    <v>3</v>
    <v>Finance</v>
    <v>4</v>
    <v>546.44000000000005</v>
    <v>115.06</v>
    <v>2.4927000000000001</v>
    <v>-21.7455</v>
    <v>-4.4349E-2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504.56</v>
    <v>Semiconductors &amp; Semiconductor Equipment</v>
    <v>Stock</v>
    <v>46182.797844455468</v>
    <v>23</v>
    <v>437.23</v>
    <v>764074354284</v>
    <v>ADVANCED MICRO DEVICES, INC.</v>
    <v>ADVANCED MICRO DEVICES, INC.</v>
    <v>503.79</v>
    <v>156.19999999999999</v>
    <v>490.33</v>
    <v>468.58449999999999</v>
    <v>1630601000</v>
    <v>AMD</v>
    <v>ADVANCED MICRO DEVICES, INC. (XNAS:AMD)</v>
    <v>29555060</v>
    <v>37988274</v>
    <v>1969</v>
  </rv>
  <rv s="2">
    <v>24</v>
  </rv>
  <rv s="0">
    <v>https://www.bing.com/financeapi/forcetrigger?t=a1nhlh&amp;q=XNAS%3aAMZN&amp;form=skydnc</v>
    <v>Learn more on Bing</v>
  </rv>
  <rv s="1">
    <v>en-GB</v>
    <v>a1nhlh</v>
    <v>268435456</v>
    <v>1</v>
    <v>Powered by Refinitiv</v>
    <v>0</v>
    <v>AMAZON.COM, INC. (XNAS:AMZN)</v>
    <v>2</v>
    <v>3</v>
    <v>Finance</v>
    <v>4</v>
    <v>278.56</v>
    <v>196</v>
    <v>1.4595</v>
    <v>0.37</v>
    <v>1.5090000000000001E-3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250.43</v>
    <v>Diversified Retail</v>
    <v>Stock</v>
    <v>46182.797848564063</v>
    <v>26</v>
    <v>240.4</v>
    <v>2641838644900</v>
    <v>AMAZON.COM, INC.</v>
    <v>AMAZON.COM, INC.</v>
    <v>247.68</v>
    <v>29.349799999999998</v>
    <v>245.22</v>
    <v>245.59</v>
    <v>10757110000</v>
    <v>AMZN</v>
    <v>AMAZON.COM, INC. (XNAS:AMZN)</v>
    <v>28749792</v>
    <v>40455637</v>
    <v>1996</v>
  </rv>
  <rv s="2">
    <v>27</v>
  </rv>
  <rv s="0">
    <v>https://www.bing.com/financeapi/forcetrigger?t=a1nihw&amp;q=XNYS%3aANET&amp;form=skydnc</v>
    <v>Learn more on Bing</v>
  </rv>
  <rv s="1">
    <v>en-GB</v>
    <v>a1nihw</v>
    <v>268435456</v>
    <v>1</v>
    <v>Powered by Refinitiv</v>
    <v>0</v>
    <v>ARISTA NETWORKS, INC. (XNYS:ANET)</v>
    <v>2</v>
    <v>3</v>
    <v>Finance</v>
    <v>4</v>
    <v>179.8</v>
    <v>85.58</v>
    <v>1.6127</v>
    <v>-4.42</v>
    <v>-2.8260999999999998E-2</v>
    <v>USD</v>
    <v>Arista Networks, Inc. is a provider of data-driven, client-to-cloud networking for large artificial intelligence (AI), data center, campus and routing environments. The Company's cloud networking solutions consist of its Extensible Operating System (EOS), a set of network applications and its Ethernet switching and routing platforms. Its platforms deliver availability, agility, automation, analytics, and security through an advanced network operating stack. It offers a robust set of solutions, ranging from modular and fixed-form-factor campus spine switches to Power-over-Ethernet (PoE) leaf switches and Wi-Fi access points, all managed through CloudVision. The Company's network-as-a-service approach empowers customers of all sizes to leverage their data through offerings spanning three categories: Core (AI, Cloud, and Data Center Networking), Cognitive Adjacencies (Campus and Routing), and Cognitive Networks (Software and Services).</v>
    <v>5115</v>
    <v>New York Stock Exchange</v>
    <v>XNYS</v>
    <v>XNYS</v>
    <v>5453 Great America Pkwy, SANTA CLARA, CA, 95054 US</v>
    <v>158.99</v>
    <v>Communications &amp; Networking</v>
    <v>Stock</v>
    <v>46182.797859803126</v>
    <v>29</v>
    <v>145.37</v>
    <v>191373671940</v>
    <v>ARISTA NETWORKS, INC.</v>
    <v>ARISTA NETWORKS, INC.</v>
    <v>157.755</v>
    <v>52.055100000000003</v>
    <v>156.4</v>
    <v>151.97999999999999</v>
    <v>1259203000</v>
    <v>ANET</v>
    <v>ARISTA NETWORKS, INC. (XNYS:ANET)</v>
    <v>4752998</v>
    <v>12494259</v>
    <v>2011</v>
  </rv>
  <rv s="2">
    <v>30</v>
  </rv>
  <rv s="0">
    <v>https://www.bing.com/financeapi/forcetrigger?t=c1sd3m&amp;q=XNAS%3aAPP&amp;form=skydnc</v>
    <v>Learn more on Bing</v>
  </rv>
  <rv s="1">
    <v>en-GB</v>
    <v>c1sd3m</v>
    <v>268435456</v>
    <v>1</v>
    <v>Powered by Refinitiv</v>
    <v>0</v>
    <v>APPLOVIN CORPORATION (XNAS:APP)</v>
    <v>2</v>
    <v>3</v>
    <v>Finance</v>
    <v>4</v>
    <v>745.61</v>
    <v>320</v>
    <v>2.4693999999999998</v>
    <v>-40.75</v>
    <v>-7.2291999999999995E-2</v>
    <v>USD</v>
    <v>AppLovin Corporation operates a marketing platform. It provides software and artificial intelligence solutions for businesses to reach, monetize and grow their audiences. Its advertising solutions include Axon Ads Manager, MAX, Adjust, and Wurl. Its clients use Axon Ads Manager to automate, optimize, and manage customer acquisition. They set marketing and transaction goals, and Axon Ads Manager maximizes advertising spend at their return on advertising spend targets and other marketing objectives. Publishers use MAX to optimize the sale of their app advertising inventory to demand-side platforms and ad networks. The MAX tool provides insights to manage against key performance indicators, understand the long-term value of users, and helps manage profitability. Axon Ads Manager comprises the amount charged to advertisers based on their campaign goals, less consideration paid or payable to publishers. Advertising clients use Wurl's connected TV platform to distribute streaming videos.</v>
    <v>898</v>
    <v>Nasdaq Stock Market</v>
    <v>XNAS</v>
    <v>XNAS</v>
    <v>1100 Page Mill Rd, PALO ALTO, CA, 94304-1047 US</v>
    <v>567.66</v>
    <v>Software &amp; IT Services</v>
    <v>Stock</v>
    <v>46182.797852557815</v>
    <v>32</v>
    <v>502.81</v>
    <v>175676463600</v>
    <v>APPLOVIN CORPORATION</v>
    <v>APPLOVIN CORPORATION</v>
    <v>556.71</v>
    <v>45.443399999999997</v>
    <v>563.69000000000005</v>
    <v>522.94000000000005</v>
    <v>335940000</v>
    <v>APP</v>
    <v>APPLOVIN CORPORATION (XNAS:APP)</v>
    <v>3502141</v>
    <v>5252653</v>
    <v>2011</v>
  </rv>
  <rv s="2">
    <v>33</v>
  </rv>
  <rv s="0">
    <v>https://www.bing.com/financeapi/forcetrigger?t=a1nq6h&amp;q=ARCX%3aARKK&amp;form=skydnc</v>
    <v>Learn more on Bing</v>
  </rv>
  <rv s="7">
    <v>en-GB</v>
    <v>a1nq6h</v>
    <v>268435456</v>
    <v>1</v>
    <v>Powered by Refinitiv</v>
    <v>15</v>
    <v>ARK Innovation (BATS:ARKK)</v>
    <v>16</v>
    <v>17</v>
    <v>Finance</v>
    <v>18</v>
    <v>92.65</v>
    <v>60.54</v>
    <v>2.04</v>
    <v>-0.88</v>
    <v>-1.1597E-2</v>
    <v>USD</v>
    <v>CBOE BZX Exchange</v>
    <v>BATS</v>
    <v>7.4999999999999997E-3</v>
    <v>77.495000000000005</v>
    <v>ETF</v>
    <v>46182.797863425782</v>
    <v>35</v>
    <v>72.099999999999994</v>
    <v>7262198811.6000004</v>
    <v>ARK Innovation</v>
    <v>76.459999999999994</v>
    <v>75.88</v>
    <v>75</v>
    <v>ARKK</v>
    <v>ARK Innovation (BATS:ARKK)</v>
    <v>9119137</v>
    <v>7452453</v>
  </rv>
  <rv s="2">
    <v>36</v>
  </rv>
  <rv s="8">
    <v>12</v>
    <v>P/E</v>
    <v>0</v>
  </rv>
  <rv s="8">
    <v>12</v>
    <v>Year incorporated</v>
    <v>0</v>
  </rv>
  <rv s="8">
    <v>12</v>
    <v>Employees</v>
    <v>0</v>
  </rv>
  <rv s="8">
    <v>12</v>
    <v>Industry</v>
    <v>0</v>
  </rv>
  <rv s="8">
    <v>12</v>
    <v>Shares outstanding</v>
    <v>0</v>
  </rv>
  <rv s="6">
    <v>en-GB</v>
    <v>cau7bh</v>
    <v>268435456</v>
    <v>1</v>
    <v>Powered by Refinitiv</v>
    <v>14</v>
    <v>ARM HOLDINGS PLC (XNAS:ARM)</v>
    <v>11</v>
    <v>3</v>
    <v>Finance</v>
    <v>4</v>
    <v>427.99</v>
    <v>100.02</v>
    <v>1.421</v>
    <v>-24.57</v>
    <v>-7.0932000000000009E-2</v>
    <v>USD</v>
    <v>Arm Holdings plc is a United Kingdom-based company. The Company is engaged in the design of central processing units (CPUs) and compute platforms for semiconductor chips. It develops and licenses CPU products and related technology. Its cloud and data center solutions include Arm AGI CPU and Arm Neoverse Compute Subsystems. The Arm Agentic Generalized Infrastructure (AGI) CPU is a production-ready system on a chip (SoC) for artificial intelligence (AI) data centers, delivering compute at scale. The Arm Neoverse Compute Subsystems (CSS) are pre-validated, performance-optimized compute platforms designed to accelerate infrastructure silicon development. The Company's primary markets include smartphone applications, processors and other chips used in mobile phones, consumer electronics, networking equipment, cloud and data center servers, automotive applications, Internet of Things (loT) and other embedded computing devices.</v>
    <v>9584</v>
    <v>Nasdaq Stock Market</v>
    <v>XNAS</v>
    <v>XNAS</v>
    <v>110 Fulbourn Road, CAMBRIDGE, CAMBRIDGESHIRE, CB1 9NJ GB</v>
    <v>362.49</v>
    <v>Semiconductors &amp; Semiconductor Equipment</v>
    <v>Stock</v>
    <v>46182.797851133597</v>
    <v>298.38</v>
    <v>343729183780</v>
    <v>ARM HOLDINGS PLC</v>
    <v>ARM HOLDINGS PLC</v>
    <v>362.21</v>
    <v>380.22210000000001</v>
    <v>346.39</v>
    <v>321.82</v>
    <v>1068079000</v>
    <v>ARM</v>
    <v>ARM HOLDINGS PLC (XNAS:ARM)</v>
    <v>11080545</v>
    <v>12907012</v>
    <v>2018</v>
  </rv>
  <rv s="2">
    <v>43</v>
  </rv>
  <rv s="0">
    <v>https://www.bing.com/financeapi/forcetrigger?t=a1ntlh&amp;q=XNAS%3aASML&amp;form=skydnc</v>
    <v>Learn more on Bing</v>
  </rv>
  <rv s="1">
    <v>en-GB</v>
    <v>a1ntlh</v>
    <v>268435456</v>
    <v>1</v>
    <v>Powered by Refinitiv</v>
    <v>0</v>
    <v>ASML Holding NV (XNAS:ASML)</v>
    <v>2</v>
    <v>3</v>
    <v>Finance</v>
    <v>4</v>
    <v>1830.99</v>
    <v>683.48</v>
    <v>1.7867</v>
    <v>20.49</v>
    <v>1.1715E-2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43882</v>
    <v>Nasdaq Stock Market</v>
    <v>XNAS</v>
    <v>XNAS</v>
    <v>De Run 6501, VELDHOVEN, NOORD-BRABANT, 5504 DR NL</v>
    <v>1830.99</v>
    <v>Semiconductors &amp; Semiconductor Equipment</v>
    <v>Stock</v>
    <v>46182.797831365628</v>
    <v>45</v>
    <v>1676.51</v>
    <v>686838999581</v>
    <v>ASML Holding NV</v>
    <v>ASML Holding NV</v>
    <v>1774.52</v>
    <v>60.836199999999998</v>
    <v>1749.04</v>
    <v>1769.53</v>
    <v>388147700</v>
    <v>ASML</v>
    <v>ASML Holding NV (XNAS:ASML)</v>
    <v>2556063</v>
    <v>1718819</v>
    <v>1994</v>
  </rv>
  <rv s="2">
    <v>46</v>
  </rv>
  <rv s="0">
    <v>https://www.bing.com/financeapi/forcetrigger?t=a1nz8m&amp;q=XNAS%3aAVGO&amp;form=skydnc</v>
    <v>Learn more on Bing</v>
  </rv>
  <rv s="1">
    <v>en-GB</v>
    <v>a1nz8m</v>
    <v>268435456</v>
    <v>1</v>
    <v>Powered by Refinitiv</v>
    <v>0</v>
    <v>BROADCOM INC. (XNAS:AVGO)</v>
    <v>2</v>
    <v>3</v>
    <v>Finance</v>
    <v>4</v>
    <v>495</v>
    <v>241.11</v>
    <v>1.4635</v>
    <v>-5.49</v>
    <v>-1.3843000000000001E-2</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407.85</v>
    <v>Semiconductors &amp; Semiconductor Equipment</v>
    <v>Stock</v>
    <v>46182.797889594534</v>
    <v>48</v>
    <v>370.33</v>
    <v>1851776001480</v>
    <v>BROADCOM INC.</v>
    <v>BROADCOM INC.</v>
    <v>400.69</v>
    <v>65.147000000000006</v>
    <v>396.6</v>
    <v>391.11</v>
    <v>4734668000</v>
    <v>AVGO</v>
    <v>BROADCOM INC. (XNAS:AVGO)</v>
    <v>25632689</v>
    <v>26708749</v>
    <v>2018</v>
  </rv>
  <rv s="2">
    <v>49</v>
  </rv>
  <rv s="0">
    <v>https://www.bing.com/financeapi/forcetrigger?t=c4efww&amp;q=XNYS%3aBBAI&amp;form=skydnc</v>
    <v>Learn more on Bing</v>
  </rv>
  <rv s="1">
    <v>en-GB</v>
    <v>c4efww</v>
    <v>268435456</v>
    <v>1</v>
    <v>Powered by Refinitiv</v>
    <v>0</v>
    <v>BIGBEAR.AI HOLDINGS, INC. (XNYS:BBAI)</v>
    <v>2</v>
    <v>3</v>
    <v>Finance</v>
    <v>4</v>
    <v>9.39</v>
    <v>3.01</v>
    <v>3.1105</v>
    <v>-0.32500000000000001</v>
    <v>-7.5406000000000001E-2</v>
    <v>USD</v>
    <v>BigBear.ai Holdings, Inc. operates as a specialized provider of artificial intelligence (AI) technology. The Company provides decision intelligence solutions for supply chains and logistics, enterprise operations, manned-unmanned teaming in autonomous systems, and cybersecurity. Its solutions include AI orchestration and sensor function, digital identity management, computer vision, cybersecurity, predictive intelligence, modeling &amp; simulation, enterprise automation and professional services. It offers Trueface, which performs one-to-many (1:N) facial matches with real-time photos, delivering identity verification. It also offers veriScan, which captures and transmits real-time photos into a biometric matching service supporting access control and biometric boarding/bag tags. The Company serves homeland &amp; border security, defense, intelligence, manufacturing &amp; suppy chain, travel and trade industries.</v>
    <v>579</v>
    <v>New York Stock Exchange</v>
    <v>XNYS</v>
    <v>XNYS</v>
    <v>7950 Jones Branch Drive, MCLEAN, VA, 22102 US</v>
    <v>4.3799000000000001</v>
    <v>Software &amp; IT Services</v>
    <v>Stock</v>
    <v>46182.797850693751</v>
    <v>51</v>
    <v>3.83</v>
    <v>1908613757</v>
    <v>BIGBEAR.AI HOLDINGS, INC.</v>
    <v>BIGBEAR.AI HOLDINGS, INC.</v>
    <v>4.2699999999999996</v>
    <v>0</v>
    <v>4.3099999999999996</v>
    <v>3.9849999999999999</v>
    <v>478949500</v>
    <v>BBAI</v>
    <v>BIGBEAR.AI HOLDINGS, INC. (XNYS:BBAI)</v>
    <v>37027749</v>
    <v>48768934</v>
    <v>2020</v>
  </rv>
  <rv s="2">
    <v>52</v>
  </rv>
  <rv s="0">
    <v>https://www.bing.com/financeapi/forcetrigger?t=af5lim&amp;q=XFRA%3aBMW&amp;form=skydnc</v>
    <v>Learn more on Bing</v>
  </rv>
  <rv s="1">
    <v>en-GB</v>
    <v>af5lim</v>
    <v>268435456</v>
    <v>1</v>
    <v>Powered by Refinitiv</v>
    <v>0</v>
    <v>Bayerische Motoren Werke AG (XFRA:BMW)</v>
    <v>2</v>
    <v>19</v>
    <v>Finance</v>
    <v>20</v>
    <v>115.25</v>
    <v>36.884999999999998</v>
    <v>0.96489999999999998</v>
    <v>-0.32</v>
    <v>-4.5770000000000003E-3</v>
    <v>EUR</v>
    <v>Bayerische Motoren Werke AG (BMW) is a Germany-based company. The Company is engaged in the development and manufacturing of automobiles and motorcycles. Its business is divided into three segments: Automotive segment, Motorcycles segment, and Financial Services segment. The Automotive segment has three brands BMW, MINI and Rolls-Royce. The product range includes automobiles ranging from the compact class to the luxury class. The Motorcycles segment develops manufactures and sells motorcycles and scooters in the Sport, Tour, Roadster, Heritage, Adventure and Urban Mobility categories, as well as motorcycles for private use and special-purpose vehicles for operational use. The Financial Services segment offers credit financing and the leasing of BMW Group brand automobiles and motorcycles to retail customers. It also handles financing for dealerships and customer deposits.</v>
    <v>154540</v>
    <v>Deutsche Boerse AG</v>
    <v>XFRA</v>
    <v>XFRA</v>
    <v>Petuelring 130, MUNICH, BAYERN, 80809 DE</v>
    <v>70.08</v>
    <v>Automobiles &amp; Auto Parts</v>
    <v>Stock</v>
    <v>46182.772222222222</v>
    <v>54</v>
    <v>68.88</v>
    <v>54471310000</v>
    <v>Bayerische Motoren Werke AG</v>
    <v>Bayerische Motoren Werke AG</v>
    <v>69.88</v>
    <v>6.2702999999999998</v>
    <v>69.92</v>
    <v>69.599999999999994</v>
    <v>615810400</v>
    <v>BMW</v>
    <v>Bayerische Motoren Werke AG (XFRA:BMW)</v>
    <v>5054</v>
    <v>1247220</v>
    <v>1995</v>
  </rv>
  <rv s="2">
    <v>55</v>
  </rv>
  <rv s="0">
    <v>https://www.bing.com/financeapi/forcetrigger?t=a1pejc&amp;q=XNAS%3aCDNS&amp;form=skydnc</v>
    <v>Learn more on Bing</v>
  </rv>
  <rv s="1">
    <v>en-GB</v>
    <v>a1pejc</v>
    <v>268435456</v>
    <v>1</v>
    <v>Powered by Refinitiv</v>
    <v>0</v>
    <v>CADENCE DESIGN SYSTEMS, INC. (XNAS:CDNS)</v>
    <v>2</v>
    <v>3</v>
    <v>Finance</v>
    <v>4</v>
    <v>416.69</v>
    <v>262.74900000000002</v>
    <v>1.1277999999999999</v>
    <v>-2.5499999999999998</v>
    <v>-6.4680000000000007E-3</v>
    <v>USD</v>
    <v>Cadence Design Systems, Inc. is an electronic systems designing company. The Company applies its Intelligent System Design strategy to deliver software, hardware and intellectual property (IP) that turn design concepts into reality. Its product categories include Core Electronic Design Automation (EDA), Semiconductor IP, and System Design and Analysis (SD&amp;A). Core EDA includes software, hardware, and services used to design and verify a wide variety of semiconductors. The semiconductor IP portfolio includes silicon subsystems, software, and services that are used in semiconductor design. The SD&amp;A category provides solutions and services that enable the design and verification of complete electronic systems, from PCBs to complex system assemblies. Its semiconductors are used in various industries, including automotive, aerospace, biotech, hyperscale and cloud computing, data centers, telecommunications, medical technology, industrial Internet of things, and artificial intelligence (AI).</v>
    <v>13800</v>
    <v>Nasdaq Stock Market</v>
    <v>XNAS</v>
    <v>XNAS</v>
    <v>2655 Seely Avenue Bldg 5, SAN JOSE, CA, 95134 US</v>
    <v>406.67</v>
    <v>Software &amp; IT Services</v>
    <v>Stock</v>
    <v>46182.797893032031</v>
    <v>57</v>
    <v>377.11309999999997</v>
    <v>108034369040</v>
    <v>CADENCE DESIGN SYSTEMS, INC.</v>
    <v>CADENCE DESIGN SYSTEMS, INC.</v>
    <v>396.51</v>
    <v>91.441599999999994</v>
    <v>394.24</v>
    <v>391.69</v>
    <v>275816000</v>
    <v>CDNS</v>
    <v>CADENCE DESIGN SYSTEMS, INC. (XNAS:CDNS)</v>
    <v>1295158</v>
    <v>2424361</v>
    <v>1987</v>
  </rv>
  <rv s="2">
    <v>58</v>
  </rv>
  <rv s="0">
    <v>https://www.bing.com/financeapi/forcetrigger?t=c4xjc7&amp;q=XNAS%3aCEG&amp;form=skydnc</v>
    <v>Learn more on Bing</v>
  </rv>
  <rv s="1">
    <v>en-GB</v>
    <v>c4xjc7</v>
    <v>268435456</v>
    <v>1</v>
    <v>Powered by Refinitiv</v>
    <v>0</v>
    <v>CONSTELLATION ENERGY CORPORATION. (XNAS:CEG)</v>
    <v>2</v>
    <v>3</v>
    <v>Finance</v>
    <v>4</v>
    <v>412.7</v>
    <v>243.3</v>
    <v>1.1339999999999999</v>
    <v>0.02</v>
    <v>7.9789999999999993E-5</v>
    <v>USD</v>
    <v>Constellation Energy Corporation is a producer of emissions-free energy and an energy supplier to businesses, homes and public sector customers nationwide. The Company’s nuclear, hydro, wind, and solar generation facilities have the generating capacity to power the equivalent of 27 million homes, providing about 10% of the nation’s clean energy. Its segments include Mid-Atlantic, Midwest, New York, ERCOT, and Other Power Regions. Through its integrated business operations, it sells electricity, natural gas, and other energy-related products and sustainable solutions to various types of customers, including distribution utilities, municipalities, cooperatives, commercial, industrial, public sector, and residential customers in markets across multiple geographic regions. It operates approximately 55 gigawatts of capacity from nuclear, natural gas, geothermal, hydro, wind and solar facilities.</v>
    <v>15291</v>
    <v>Nasdaq Stock Market</v>
    <v>XNAS</v>
    <v>XNAS</v>
    <v>1310 Point Street, BALTIMORE, MD, 21231 US</v>
    <v>256.4699</v>
    <v>Electrical Utilities &amp; IPPs</v>
    <v>Stock</v>
    <v>46182.797860878905</v>
    <v>60</v>
    <v>245.49</v>
    <v>90023280380</v>
    <v>CONSTELLATION ENERGY CORPORATION.</v>
    <v>CONSTELLATION ENERGY CORPORATION.</v>
    <v>253.44</v>
    <v>21.7791</v>
    <v>250.67</v>
    <v>250.69</v>
    <v>359102000</v>
    <v>CEG</v>
    <v>CONSTELLATION ENERGY CORPORATION. (XNAS:CEG)</v>
    <v>2374397</v>
    <v>4038269</v>
    <v>2021</v>
  </rv>
  <rv s="2">
    <v>61</v>
  </rv>
  <rv s="0">
    <v>https://www.bing.com/financeapi/forcetrigger?t=c4s6z2&amp;q=XNAS%3aCRDO&amp;form=skydnc</v>
    <v>Learn more on Bing</v>
  </rv>
  <rv s="9">
    <v>en-GB</v>
    <v>c4s6z2</v>
    <v>268435456</v>
    <v>1</v>
    <v>Powered by Refinitiv</v>
    <v>21</v>
    <v>Credo Technology Group Holding Ltd (XNAS:CRDO)</v>
    <v>2</v>
    <v>22</v>
    <v>Finance</v>
    <v>4</v>
    <v>252.7</v>
    <v>66.75</v>
    <v>3.2361</v>
    <v>14.7599</v>
    <v>6.6405000000000006E-2</v>
    <v>USD</v>
    <v>Credo Technology Group Holding Ltd is a Cayman Islands-based holding company. The Company delivers high-speed solutions to break bandwidth barriers on every wired connection in the data infrastructure market. It provides high-speed connectivity solutions that deliver improved power efficiency as data rates and corresponding bandwidth requirements increase exponentially throughout the data infrastructure market. Its connectivity solutions are optimized for optical and electrical Ethernet applications, including the emerging 100 gigabits per second (G), 200G, 400G, 800G and the emerging 1.6 terabits per second (T) port markets. Its products are based on its Serializer/Deserializer (SerDes) and Digital Signal Processor (DSP) technologies. Its product families include integrated circuits (ICs) for the optical and line card markets, active electrical cables (AECs) and SerDes Chiplets. The Company’s intellectual property (IP) solutions consist primarily of SerDes IP licensing.</v>
    <v>622</v>
    <v>Nasdaq Stock Market</v>
    <v>XNAS</v>
    <v>XNAS</v>
    <v>C/O Maples Corporate Services, Limited, Po Box 309, Ugland House, GRAND CAYMAN, KY1-1104 KY</v>
    <v>252.7</v>
    <v>Semiconductors &amp; Semiconductor Equipment</v>
    <v>Stock</v>
    <v>46182.797845242967</v>
    <v>63</v>
    <v>209.55</v>
    <v>43720141352</v>
    <v>Credo Technology Group Holding Ltd</v>
    <v>Credo Technology Group Holding Ltd</v>
    <v>226.5</v>
    <v>95.584299999999999</v>
    <v>222.27</v>
    <v>237.0299</v>
    <v>184449900</v>
    <v>CRDO</v>
    <v>Credo Technology Group Holding Ltd (XNAS:CRDO)</v>
    <v>12457076</v>
    <v>7792215</v>
  </rv>
  <rv s="2">
    <v>64</v>
  </rv>
  <rv s="0">
    <v>https://www.bing.com/financeapi/forcetrigger?t=a1qc1h&amp;q=XNYS%3aCRM&amp;form=skydnc</v>
    <v>Learn more on Bing</v>
  </rv>
  <rv s="1">
    <v>en-GB</v>
    <v>a1qc1h</v>
    <v>268435456</v>
    <v>1</v>
    <v>Powered by Refinitiv</v>
    <v>0</v>
    <v>SALESFORCE, INC. (XNYS:CRM)</v>
    <v>2</v>
    <v>3</v>
    <v>Finance</v>
    <v>4</v>
    <v>276.8</v>
    <v>163.52000000000001</v>
    <v>1.1532</v>
    <v>-7.7549999999999999</v>
    <v>-4.2481999999999999E-2</v>
    <v>USD</v>
    <v>Salesforce, Inc. is a customer relationship management (CRM) technology company. Its artificial intelligence (AI) powered Agentforce 360 Platform offers sales, service, marketing, commerce, collaboration, data management, integration, analytics, and information technology (IT) service solutions. It enables customers to build and deploy digital labor for employees and customers, leveraging autonomous AI agents across business functions. Its service offerings include Agentforce Sales, Agentforce Service, Agentforce 360 Platform, Slack and Others. The Agentforce Sales provides sales capabilities and tools built for organizations across prospecting, sales engagement, team collaboration, sales analytics and AI, sales programs, sales performance, partner management, and revenue and orders. The Agentforce Service provides field service solutions that enable companies to connect service agents, dispatchers and mobile employees through platform to schedule, dispatch and manage jobs.</v>
    <v>83334</v>
    <v>New York Stock Exchange</v>
    <v>XNYS</v>
    <v>XNYS</v>
    <v>SALESFORCE TOWER, 415 MISSION STREET 3RD FL, SAN FRANCISCO, CA, 94105 US</v>
    <v>182.46</v>
    <v>Software &amp; IT Services</v>
    <v>Stock</v>
    <v>46182.79780438594</v>
    <v>66</v>
    <v>171.56</v>
    <v>143157105000</v>
    <v>SALESFORCE, INC.</v>
    <v>SALESFORCE, INC.</v>
    <v>178.95</v>
    <v>20.223400000000002</v>
    <v>182.55</v>
    <v>174.79499999999999</v>
    <v>819000000</v>
    <v>CRM</v>
    <v>SALESFORCE, INC. (XNYS:CRM)</v>
    <v>11349157</v>
    <v>14773375</v>
    <v>1999</v>
  </rv>
  <rv s="2">
    <v>67</v>
  </rv>
  <rv s="0">
    <v>https://www.bing.com/financeapi/forcetrigger?t=bq8rqh&amp;q=XNAS%3aCRWD&amp;form=skydnc</v>
    <v>Learn more on Bing</v>
  </rv>
  <rv s="1">
    <v>en-GB</v>
    <v>bq8rqh</v>
    <v>268435456</v>
    <v>1</v>
    <v>Powered by Refinitiv</v>
    <v>0</v>
    <v>CROWDSTRIKE HOLDINGS, INC. (XNAS:CRWD)</v>
    <v>2</v>
    <v>3</v>
    <v>Finance</v>
    <v>4</v>
    <v>785.66</v>
    <v>342.72</v>
    <v>1.268</v>
    <v>-16.48</v>
    <v>-2.5015999999999997E-2</v>
    <v>USD</v>
    <v>CrowdStrike Holdings, Inc. is a global cybersecurity company. The Company provides a cloud-native platform for protecting critical areas of enterprise risk - endpoints and cloud workloads, identity, and data. The Company's artificial intelligence (AI)-native CrowdStrike Falcon platform is a cloud-native unified platform built with AI at the core, capable of harnessing security and enterprise data to deliver highly modular solutions through a single lightweight sensor. Using cloud-scale AI, its Security Cloud enriches and correlates cybersecurity events with indicators of attack, threat intelligence, and enterprise data (including data from across endpoints, workloads, identities, DevOps, IT assets, and configurations) to create actionable data, identify shifts in adversary tactics, and automatically prevent threats in real-time across its customer base. It sells its Falcon platform via a partner-first subscription model to organizations of all sizes across multiple industries globally.</v>
    <v>11157</v>
    <v>Nasdaq Stock Market</v>
    <v>XNAS</v>
    <v>XNAS</v>
    <v>206 E. 9TH STREET, SUITE 1400, AUSTIN, TX, 78701 US</v>
    <v>664.87</v>
    <v>Software &amp; IT Services</v>
    <v>Stock</v>
    <v>46182.797871839844</v>
    <v>69</v>
    <v>617.75</v>
    <v>163509516688</v>
    <v>CROWDSTRIKE HOLDINGS, INC.</v>
    <v>CROWDSTRIKE HOLDINGS, INC.</v>
    <v>658.79</v>
    <v>0</v>
    <v>658.79</v>
    <v>642.30999999999995</v>
    <v>254564800</v>
    <v>CRWD</v>
    <v>CROWDSTRIKE HOLDINGS, INC. (XNAS:CRWD)</v>
    <v>2687062</v>
    <v>3726491</v>
    <v>2011</v>
  </rv>
  <rv s="2">
    <v>70</v>
  </rv>
  <rv s="6">
    <v>en-GB</v>
    <v>cgblqh</v>
    <v>268435456</v>
    <v>1</v>
    <v>Powered by Refinitiv</v>
    <v>14</v>
    <v>COREWEAVE, INC. (XNAS:CRWV)</v>
    <v>11</v>
    <v>3</v>
    <v>Finance</v>
    <v>4</v>
    <v>187</v>
    <v>63.8</v>
    <v>2.4409999999999998</v>
    <v>-4.3499999999999996</v>
    <v>-4.2492999999999996E-2</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2189</v>
    <v>Nasdaq Stock Market</v>
    <v>XNAS</v>
    <v>XNAS</v>
    <v>290 W. Mt. Pleasant Avenue, Suite 4100, LIVINGSTON, NJ, 07039 US</v>
    <v>105.38</v>
    <v>Software &amp; IT Services</v>
    <v>Stock</v>
    <v>46182.797852661715</v>
    <v>93.62</v>
    <v>53476810608</v>
    <v>COREWEAVE, INC.</v>
    <v>COREWEAVE, INC.</v>
    <v>103.6</v>
    <v>0</v>
    <v>102.37</v>
    <v>98.02</v>
    <v>545570400</v>
    <v>CRWV</v>
    <v>COREWEAVE, INC. (XNAS:CRWV)</v>
    <v>20044617</v>
    <v>30000702</v>
    <v>2017</v>
  </rv>
  <rv s="2">
    <v>72</v>
  </rv>
  <rv s="0">
    <v>https://www.bing.com/financeapi/forcetrigger?t=a1qe5r&amp;q=XNAS%3aCSCO&amp;form=skydnc</v>
    <v>Learn more on Bing</v>
  </rv>
  <rv s="1">
    <v>en-GB</v>
    <v>a1qe5r</v>
    <v>268435456</v>
    <v>1</v>
    <v>Powered by Refinitiv</v>
    <v>0</v>
    <v>CISCO SYSTEMS, INC. (XNAS:CSCO)</v>
    <v>2</v>
    <v>3</v>
    <v>Finance</v>
    <v>4</v>
    <v>130.3656</v>
    <v>63.865000000000002</v>
    <v>0.98919999999999997</v>
    <v>-4.0199999999999996</v>
    <v>-3.2379999999999999E-2</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124.22</v>
    <v>Communications &amp; Networking</v>
    <v>Stock</v>
    <v>46182.797884536718</v>
    <v>74</v>
    <v>117.1</v>
    <v>473484586550</v>
    <v>CISCO SYSTEMS, INC.</v>
    <v>CISCO SYSTEMS, INC.</v>
    <v>123.14</v>
    <v>40.03</v>
    <v>124.15</v>
    <v>120.13</v>
    <v>3941435000</v>
    <v>CSCO</v>
    <v>CISCO SYSTEMS, INC. (XNAS:CSCO)</v>
    <v>14072140</v>
    <v>28437550</v>
    <v>2021</v>
  </rv>
  <rv s="2">
    <v>75</v>
  </rv>
  <rv s="0">
    <v>https://www.bing.com/financeapi/forcetrigger?t=brjvjc&amp;q=XNAS%3aDDOG&amp;form=skydnc</v>
    <v>Learn more on Bing</v>
  </rv>
  <rv s="1">
    <v>en-GB</v>
    <v>brjvjc</v>
    <v>268435456</v>
    <v>1</v>
    <v>Powered by Refinitiv</v>
    <v>0</v>
    <v>DATADOG, INC. (XNAS:DDOG)</v>
    <v>2</v>
    <v>3</v>
    <v>Finance</v>
    <v>4</v>
    <v>278.70499999999998</v>
    <v>98.010099999999994</v>
    <v>1.5625</v>
    <v>-3.97</v>
    <v>-1.7135999999999998E-2</v>
    <v>USD</v>
    <v>Datadog Inc provides an AI-powered observability and security platform for cloud applications. Its Software as a Service (SaaS) platform integrates and automates infrastructure monitoring, application performance monitoring, log management, user experience monitoring, cloud security and service management. Its proprietary platform combines the power of metrics, traces, logs, user sessions, security signals, and other data from a single agent and over 1,000 integrations to provide a unified view of infrastructure, application performance and real-time events impacting performance. Its solutions include built for dynamic cloud and hybrid infrastructures, simple but not simplistic, integrated data platform, built for collaboration, cloud-agnostic, ubiquitous, and integrates with its customers complex environments. Its platform is used by industries to enable digital transformation and cloud migration, and drive collaboration among development, operations, security and business teams.</v>
    <v>8100</v>
    <v>Nasdaq Stock Market</v>
    <v>XNAS</v>
    <v>XNAS</v>
    <v>620 8th Avenue, 45th Floor,, NEW YORK, NY, 10018 US</v>
    <v>236.83</v>
    <v>Software &amp; IT Services</v>
    <v>Stock</v>
    <v>46182.797864560154</v>
    <v>77</v>
    <v>219.08</v>
    <v>81055697142</v>
    <v>DATADOG, INC.</v>
    <v>DATADOG, INC.</v>
    <v>230.45</v>
    <v>576.91920000000005</v>
    <v>231.68</v>
    <v>227.71</v>
    <v>355960200</v>
    <v>DDOG</v>
    <v>DATADOG, INC. (XNAS:DDOG)</v>
    <v>3211401</v>
    <v>7402089</v>
    <v>2026</v>
  </rv>
  <rv s="2">
    <v>78</v>
  </rv>
  <rv s="0">
    <v>https://www.bing.com/financeapi/forcetrigger?t=a1retc&amp;q=XNYS%3aDELL&amp;form=skydnc</v>
    <v>Learn more on Bing</v>
  </rv>
  <rv s="1">
    <v>en-GB</v>
    <v>a1retc</v>
    <v>268435456</v>
    <v>1</v>
    <v>Powered by Refinitiv</v>
    <v>0</v>
    <v>DELL TECHNOLOGIES INC. (XNYS:DELL)</v>
    <v>2</v>
    <v>3</v>
    <v>Finance</v>
    <v>4</v>
    <v>469.47</v>
    <v>109.17</v>
    <v>1.3145</v>
    <v>-25.11</v>
    <v>-6.2654000000000001E-2</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97000</v>
    <v>New York Stock Exchange</v>
    <v>XNYS</v>
    <v>XNYS</v>
    <v>ONE DELL WAY, ROUND ROCK, TX, 78682 US</v>
    <v>407.73</v>
    <v>Computers, Phones &amp; Household Electronics</v>
    <v>Stock</v>
    <v>46182.797889501562</v>
    <v>80</v>
    <v>357.07</v>
    <v>244016827578</v>
    <v>DELL TECHNOLOGIES INC.</v>
    <v>DELL TECHNOLOGIES INC.</v>
    <v>404.11</v>
    <v>29.832000000000001</v>
    <v>400.77</v>
    <v>375.66</v>
    <v>649568300</v>
    <v>DELL</v>
    <v>DELL TECHNOLOGIES INC. (XNYS:DELL)</v>
    <v>7828047</v>
    <v>10921658</v>
    <v>2013</v>
  </rv>
  <rv s="2">
    <v>81</v>
  </rv>
  <rv s="0">
    <v>http://en.wikipedia.org/wiki/The_Walt_Disney_Company</v>
    <v>Wikipedia</v>
  </rv>
  <rv s="3">
    <v>6</v>
    <v>83</v>
  </rv>
  <rv s="4">
    <v>9</v>
    <v>https://www.bing.com/th?id=AMMS_0aa288ba528f6f45e3de87d97e250136&amp;qlt=95</v>
    <v>84</v>
    <v>0</v>
    <v>https://www.bing.com/images/search?form=xlimg&amp;q=the+walt+disney+company</v>
    <v>Image of THE WALT DISNEY COMPANY</v>
  </rv>
  <rv s="0">
    <v>https://www.bing.com/financeapi/forcetrigger?t=a1r2z2&amp;q=XNYS%3aDIS&amp;form=skydnc</v>
    <v>Learn more on Bing</v>
  </rv>
  <rv s="5">
    <v>en-GB</v>
    <v>a1r2z2</v>
    <v>268435456</v>
    <v>1</v>
    <v>Powered by Refinitiv</v>
    <v>5</v>
    <v>THE WALT DISNEY COMPANY (XNYS:DIS)</v>
    <v>7</v>
    <v>8</v>
    <v>Finance</v>
    <v>4</v>
    <v>124.69</v>
    <v>92.185000000000002</v>
    <v>1.3876999999999999</v>
    <v>0.66</v>
    <v>6.6749999999999995E-3</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100.09</v>
    <v>85</v>
    <v>Media &amp; Publishing</v>
    <v>Stock</v>
    <v>46182.797879108592</v>
    <v>86</v>
    <v>98.51</v>
    <v>172834939830</v>
    <v>THE WALT DISNEY COMPANY</v>
    <v>THE WALT DISNEY COMPANY</v>
    <v>99.05</v>
    <v>15.9268</v>
    <v>98.87</v>
    <v>99.53</v>
    <v>1736511000</v>
    <v>DIS</v>
    <v>THE WALT DISNEY COMPANY (XNYS:DIS)</v>
    <v>5000974</v>
    <v>9333509</v>
    <v>2018</v>
  </rv>
  <rv s="2">
    <v>87</v>
  </rv>
  <rv s="0">
    <v>https://www.bing.com/financeapi/forcetrigger?t=br39hw&amp;q=XNYS%3aDT&amp;form=skydnc</v>
    <v>Learn more on Bing</v>
  </rv>
  <rv s="1">
    <v>en-GB</v>
    <v>br39hw</v>
    <v>268435456</v>
    <v>1</v>
    <v>Powered by Refinitiv</v>
    <v>0</v>
    <v>DYNATRACE, INC. (XNYS:DT)</v>
    <v>2</v>
    <v>3</v>
    <v>Finance</v>
    <v>4</v>
    <v>57.55</v>
    <v>31.635000000000002</v>
    <v>0.73740000000000006</v>
    <v>-1.39</v>
    <v>-3.3158E-2</v>
    <v>USD</v>
    <v>Dynatrace, Inc. is an artificial intelligence (AI)-powered observability platform. It is advancing observability for digital businesses and transforming the complexity of modern digital ecosystems into business assets. It enables organizations to analyze and automate. Its platform combines broad and deep observability, continuous runtime application security, and advanced AI to support information technology (IT) operations, development, security, and business teams, enabling organizations to optimize cloud and IT operations, accelerate secure software delivery, and improve digital performance. Its platform's solutions include infrastructure observability, application observability, AI observability, digital experience, business analytics, software delivery, threat observability, application security, and log management. Its application security detects, analyses, and remediates runtime application vulnerabilities and attacks in real time.</v>
    <v>5600</v>
    <v>New York Stock Exchange</v>
    <v>XNYS</v>
    <v>XNYS</v>
    <v>280 CONGRESS STREET, 11TH FLOOR, BOSTON, MA, 02210 US</v>
    <v>41.89</v>
    <v>Software &amp; IT Services</v>
    <v>Stock</v>
    <v>46182.797871666407</v>
    <v>89</v>
    <v>39.909999999999997</v>
    <v>11813510121</v>
    <v>DYNATRACE, INC.</v>
    <v>DYNATRACE, INC.</v>
    <v>41.21</v>
    <v>75.643900000000002</v>
    <v>41.92</v>
    <v>40.53</v>
    <v>291475700</v>
    <v>DT</v>
    <v>DYNATRACE, INC. (XNYS:DT)</v>
    <v>3566952</v>
    <v>6396143</v>
    <v>2014</v>
  </rv>
  <rv s="2">
    <v>90</v>
  </rv>
  <rv s="0">
    <v>https://www.bing.com/financeapi/forcetrigger?t=bxb5p2&amp;q=XNAS%3aENVX&amp;form=skydnc</v>
    <v>Learn more on Bing</v>
  </rv>
  <rv s="1">
    <v>en-GB</v>
    <v>bxb5p2</v>
    <v>268435456</v>
    <v>1</v>
    <v>Powered by Refinitiv</v>
    <v>0</v>
    <v>Enovix Corporation (XNAS:ENVX)</v>
    <v>2</v>
    <v>3</v>
    <v>Finance</v>
    <v>4</v>
    <v>16.489999999999998</v>
    <v>4.6150000000000002</v>
    <v>2.2206000000000001</v>
    <v>-0.54500000000000004</v>
    <v>-7.4454000000000006E-2</v>
    <v>USD</v>
    <v>Enovix Corporation is a high-performance battery company. The Company is focused on designing, developing, manufacturing, and commercializing Lithium-ion, or Li-ion, batteries, including silicon-anode architectures, for smartphones, smart eyewear, defense, industrial and emerging edge artificial intelligence (AI) applications. Its silicon-anode battery architecture enables energy density and performance relative to conventional battery cells, particularly in space-constrained devices. It focuses on developing a battery architecture that allows the use of active silicon and no graphite in the battery's anode, which is the negative electrode that stores lithium ions when a battery is charged. Its AI-1 battery platform is architected as a unified silicon-anode platform designed to address the high-performance consumer electronics and defense applications. The AI-1 platform is designed to support AI-enabled smartphones and smart eyewear, as well as other edge-AI devices.</v>
    <v>664</v>
    <v>Nasdaq Stock Market</v>
    <v>XNAS</v>
    <v>XNAS</v>
    <v>3501 W. Warren Avenue, FREMONT, CA, 94538 US</v>
    <v>7.55</v>
    <v>Machinery, Equipment &amp; Components</v>
    <v>Stock</v>
    <v>46182.797905485939</v>
    <v>92</v>
    <v>6.4206000000000003</v>
    <v>1477989285</v>
    <v>Enovix Corporation</v>
    <v>Enovix Corporation</v>
    <v>7.38</v>
    <v>0</v>
    <v>7.32</v>
    <v>6.7750000000000004</v>
    <v>218153400</v>
    <v>ENVX</v>
    <v>Enovix Corporation (XNAS:ENVX)</v>
    <v>5924745</v>
    <v>8483889</v>
    <v>2020</v>
  </rv>
  <rv s="2">
    <v>93</v>
  </rv>
  <rv s="0">
    <v>https://www.bing.com/financeapi/forcetrigger?t=a1safr&amp;q=XNYS%3aETN&amp;form=skydnc</v>
    <v>Learn more on Bing</v>
  </rv>
  <rv s="1">
    <v>en-GB</v>
    <v>a1safr</v>
    <v>268435456</v>
    <v>1</v>
    <v>Powered by Refinitiv</v>
    <v>0</v>
    <v>EATON CORPORATION PUBLIC LIMITED COMPANY (XNYS:ETN)</v>
    <v>2</v>
    <v>3</v>
    <v>Finance</v>
    <v>4</v>
    <v>435.43</v>
    <v>311.91500000000002</v>
    <v>1.1853</v>
    <v>-3.6150000000000002</v>
    <v>-8.967000000000001E-3</v>
    <v>USD</v>
    <v>Eaton Corporation plc is an intelligent power management company. Its Electrical Americas segment consists of electrical components, industrial components, power distribution and assemblies, residential products, circuit protection, utility power distribution, wiring devices and others. The Electrical Global segment consists of electrical components, industrial components, power distribution and assemblies, single phase and three phase power quality, and services. The Aerospace segment is a global supplier of aerospace fuel, hydraulics, and pneumatic systems for commercial and military use and filtration systems for industrial applications. The Vehicle segment designs, manufactures, markets, and supplies drivetrain, powertrain systems and critical components. The eMobility segment designs, manufactures, markets, and supplies mechanical, electrical, and electronic components and systems. The Company is also engaged in providing thermal monitoring for critical electrical equipment.</v>
    <v>97000</v>
    <v>New York Stock Exchange</v>
    <v>XNYS</v>
    <v>XNYS</v>
    <v>EATON HOUSE 30 PEMBROKE ROAD DUBLIN 4, DUBLIN, D04 Y0C2 IE</v>
    <v>413.13499999999999</v>
    <v>Machinery, Equipment &amp; Components</v>
    <v>Stock</v>
    <v>46182.79788927031</v>
    <v>95</v>
    <v>386.62009999999998</v>
    <v>155135557500</v>
    <v>EATON CORPORATION PUBLIC LIMITED COMPANY</v>
    <v>EATON CORPORATION PUBLIC LIMITED COMPANY</v>
    <v>406.8</v>
    <v>39.058799999999998</v>
    <v>403.14</v>
    <v>399.52499999999998</v>
    <v>388300000</v>
    <v>ETN</v>
    <v>EATON CORPORATION PUBLIC LIMITED COMPANY (XNYS:ETN)</v>
    <v>1505686</v>
    <v>2837174</v>
    <v>2012</v>
  </rv>
  <rv s="2">
    <v>96</v>
  </rv>
  <rv s="0">
    <v>https://www.bing.com/financeapi/forcetrigger?t=a1sxjc&amp;q=XNAS%3aFIVN&amp;form=skydnc</v>
    <v>Learn more on Bing</v>
  </rv>
  <rv s="1">
    <v>en-GB</v>
    <v>a1sxjc</v>
    <v>268435456</v>
    <v>1</v>
    <v>Powered by Refinitiv</v>
    <v>0</v>
    <v>FIVE9, INC. (XNAS:FIVN)</v>
    <v>2</v>
    <v>3</v>
    <v>Finance</v>
    <v>4</v>
    <v>30.38</v>
    <v>13.29</v>
    <v>1.4424999999999999</v>
    <v>-1.82</v>
    <v>-7.8617999999999993E-2</v>
    <v>USD</v>
    <v>Five9, Inc. helps organizations to create hyper-personalized artificial intelligence (AI)-driven customer experiences. The Company's Intelligent CX Platform, powered by its Five9 Genius AI suite, delivers a comprehensive suite of applications that enable customer service, sales, and marketing functions. It delivers a comprehensive, end-to-end cloud software solution for contact centers. Comprised of its Intelligent CX Platform and AI capabilities, including agentic AI agents, Agent Assist, Workflow Automation (WFA), AI Insights, AI Summaries, Workforce Engagement Management (WEM), and Revenue Execution, its solution allows simultaneous management and optimization of customer interactions across voice, chat, email, web, social media and mobile channels, either directly or through its application programming interfaces (APIs). The Company's agent interface is a browser-based design that provides visualization of customer profiles, context and cross-channel history.</v>
    <v>2910</v>
    <v>Nasdaq Stock Market</v>
    <v>XNAS</v>
    <v>XNAS</v>
    <v>3001 Bishop Drive, Suite 350, SAN RAMON, CA, 94583 US</v>
    <v>23.17</v>
    <v>Software &amp; IT Services</v>
    <v>Stock</v>
    <v>46182.79782461797</v>
    <v>98</v>
    <v>20.260000000000002</v>
    <v>1633109906</v>
    <v>FIVE9, INC.</v>
    <v>FIVE9, INC.</v>
    <v>22.72</v>
    <v>32.342700000000001</v>
    <v>23.15</v>
    <v>21.33</v>
    <v>76563990</v>
    <v>FIVN</v>
    <v>FIVE9, INC. (XNAS:FIVN)</v>
    <v>2528914</v>
    <v>3848763</v>
    <v>2001</v>
  </rv>
  <rv s="2">
    <v>99</v>
  </rv>
  <rv s="0">
    <v>https://www.bing.com/financeapi/forcetrigger?t=a1tg3m&amp;q=XNAS%3aFTNT&amp;form=skydnc</v>
    <v>Learn more on Bing</v>
  </rv>
  <rv s="1">
    <v>en-GB</v>
    <v>a1tg3m</v>
    <v>268435456</v>
    <v>1</v>
    <v>Powered by Refinitiv</v>
    <v>0</v>
    <v>FORTINET, INC. (XNAS:FTNT)</v>
    <v>2</v>
    <v>3</v>
    <v>Finance</v>
    <v>4</v>
    <v>150.07</v>
    <v>70.12</v>
    <v>1.0934999999999999</v>
    <v>-5.4</v>
    <v>-3.7752000000000001E-2</v>
    <v>USD</v>
    <v>Fortinet, Inc. is engaged in cybersecurity, driving the convergence of networking and security. The Company's integrated platform, Fortinet Security Fabric, spans secure networking, unified secure access service edge (SASE), and artificial intelligence (AI)-driven security operations (SecOps). Its products and services include FortiOS, FortiASIC, FortiCloud, FortiAI, FortiEndpoint, and OT Security. The FortiGuard Labs is a cybersecurity threat intelligence and research organization comprised of experienced threat hunters, researchers, analysts, engineers, and data scientists who develop and utilize machine learning and AI technologies. FortiGuard and Other Security Services is an AI-powered security that is integrated as part of the Fortinet Security Fabric to deliver detection and enforcement across the entire attack surface. FortiCare Technical Support Service is a technical support service which provides customers with access to operations and maintenance of Fortinet solutions.</v>
    <v>15311</v>
    <v>Nasdaq Stock Market</v>
    <v>XNAS</v>
    <v>XNAS</v>
    <v>909 Kifer Road, SUNNYVALE, CA, 94086 US</v>
    <v>144.30000000000001</v>
    <v>Software &amp; IT Services</v>
    <v>Stock</v>
    <v>46182.797895497657</v>
    <v>101</v>
    <v>133.05000000000001</v>
    <v>100841725775</v>
    <v>FORTINET, INC.</v>
    <v>FORTINET, INC.</v>
    <v>143.13</v>
    <v>53.175699999999999</v>
    <v>143.04</v>
    <v>137.63999999999999</v>
    <v>732648400</v>
    <v>FTNT</v>
    <v>FORTINET, INC. (XNAS:FTNT)</v>
    <v>5336358</v>
    <v>6805393</v>
    <v>2000</v>
  </rv>
  <rv s="2">
    <v>102</v>
  </rv>
  <rv s="0">
    <v>https://www.bing.com/financeapi/forcetrigger?t=a1u3p2&amp;q=XNAS%3aGOOG&amp;form=skydnc</v>
    <v>Learn more on Bing</v>
  </rv>
  <rv s="1">
    <v>en-GB</v>
    <v>a1u3p2</v>
    <v>268435456</v>
    <v>1</v>
    <v>Powered by Refinitiv</v>
    <v>0</v>
    <v>ALPHABET INC. (XNAS:GOOG)</v>
    <v>2</v>
    <v>3</v>
    <v>Finance</v>
    <v>4</v>
    <v>404.47</v>
    <v>163.33000000000001</v>
    <v>1.2437</v>
    <v>3.04</v>
    <v>8.4170000000000009E-3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369.69220000000001</v>
    <v>Software &amp; IT Services</v>
    <v>Stock</v>
    <v>46182.797885810156</v>
    <v>104</v>
    <v>354.72</v>
    <v>4434096497600</v>
    <v>ALPHABET INC.</v>
    <v>ALPHABET INC.</v>
    <v>365</v>
    <v>27.815200000000001</v>
    <v>361.17</v>
    <v>364.21</v>
    <v>12174560000</v>
    <v>GOOG</v>
    <v>ALPHABET INC. (XNAS:GOOG)</v>
    <v>14054190</v>
    <v>21451766</v>
    <v>2015</v>
  </rv>
  <rv s="2">
    <v>105</v>
  </rv>
  <rv s="0">
    <v>https://www.bing.com/financeapi/forcetrigger?t=c2mtww&amp;q=XNAS%3aHOOD&amp;form=skydnc</v>
    <v>Learn more on Bing</v>
  </rv>
  <rv s="1">
    <v>en-GB</v>
    <v>c2mtww</v>
    <v>268435456</v>
    <v>1</v>
    <v>Powered by Refinitiv</v>
    <v>0</v>
    <v>ROBINHOOD MARKETS, INC. (XNAS:HOOD)</v>
    <v>2</v>
    <v>3</v>
    <v>Finance</v>
    <v>4</v>
    <v>153.85990000000001</v>
    <v>63.515000000000001</v>
    <v>2.3628</v>
    <v>-1.1499999999999999</v>
    <v>-1.3523E-2</v>
    <v>USD</v>
    <v>Robinhood Markets, Inc. is focused on providing financial services offering retail brokerage, crypto, advisory, digital banking services, and private markets access to investors. Its offerings include Brokerage, Robinhood Crypto, Custody, Robinhood Wallet, Robinhood Gold, and Robinhood Gold Card.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 also operates regulated crypto platforms including Bitbuy and Coinsquare. Its self-clearing system, order routing system, data platform, and other back-end infrastructure allow its customers to focus on investing, saving and spending.</v>
    <v>2900</v>
    <v>Nasdaq Stock Market</v>
    <v>XNAS</v>
    <v>XNAS</v>
    <v>85 Willow Road, MENLO PARK, CA, 94025 US</v>
    <v>88.08</v>
    <v>Financial Technology (Fintech) &amp; Infrastructure</v>
    <v>Stock</v>
    <v>46182.797851029689</v>
    <v>107</v>
    <v>78.930000000000007</v>
    <v>75543372839</v>
    <v>ROBINHOOD MARKETS, INC.</v>
    <v>ROBINHOOD MARKETS, INC.</v>
    <v>85.95</v>
    <v>46.6678</v>
    <v>85.04</v>
    <v>83.89</v>
    <v>900505100</v>
    <v>HOOD</v>
    <v>ROBINHOOD MARKETS, INC. (XNAS:HOOD)</v>
    <v>24235132</v>
    <v>26161324</v>
    <v>2013</v>
  </rv>
  <rv s="2">
    <v>108</v>
  </rv>
  <rv s="0">
    <v>http://en.wikipedia.org/wiki/IBM</v>
    <v>Wikipedia</v>
  </rv>
  <rv s="3">
    <v>6</v>
    <v>110</v>
  </rv>
  <rv s="4">
    <v>9</v>
    <v>https://www.bing.com/th?id=AMMS_41da901be1b295dc42c72dadb9c0f67d&amp;qlt=95</v>
    <v>111</v>
    <v>0</v>
    <v>https://www.bing.com/images/search?form=xlimg&amp;q=ibm</v>
    <v>Image of INTERNATIONAL BUSINESS MACHINES CORPORATION</v>
  </rv>
  <rv s="0">
    <v>https://www.bing.com/financeapi/forcetrigger?t=a1v6nm&amp;q=XNYS%3aIBM&amp;form=skydnc</v>
    <v>Learn more on Bing</v>
  </rv>
  <rv s="5">
    <v>en-GB</v>
    <v>a1v6nm</v>
    <v>268435456</v>
    <v>1</v>
    <v>Powered by Refinitiv</v>
    <v>5</v>
    <v>INTERNATIONAL BUSINESS MACHINES CORPORATION (XNYS:IBM)</v>
    <v>7</v>
    <v>8</v>
    <v>Finance</v>
    <v>4</v>
    <v>332.46</v>
    <v>212.34</v>
    <v>0.67200000000000004</v>
    <v>-2.6</v>
    <v>-9.2589999999999999E-3</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283.58999999999997</v>
    <v>112</v>
    <v>Software &amp; IT Services</v>
    <v>Stock</v>
    <v>46182.797884478903</v>
    <v>113</v>
    <v>271.29000000000002</v>
    <v>261494888166</v>
    <v>INTERNATIONAL BUSINESS MACHINES CORPORATION</v>
    <v>INTERNATIONAL BUSINESS MACHINES CORPORATION</v>
    <v>280.60000000000002</v>
    <v>22.264700000000001</v>
    <v>280.82</v>
    <v>278.22000000000003</v>
    <v>939885300</v>
    <v>IBM</v>
    <v>INTERNATIONAL BUSINESS MACHINES CORPORATION (XNYS:IBM)</v>
    <v>5963332</v>
    <v>10950805</v>
    <v>1911</v>
  </rv>
  <rv s="2">
    <v>114</v>
  </rv>
  <rv s="0">
    <v>https://www.bing.com/financeapi/forcetrigger?t=a1vla2&amp;q=XNAS%3aINOD&amp;form=skydnc</v>
    <v>Learn more on Bing</v>
  </rv>
  <rv s="1">
    <v>en-GB</v>
    <v>a1vla2</v>
    <v>268435456</v>
    <v>1</v>
    <v>Powered by Refinitiv</v>
    <v>0</v>
    <v>INNODATA INC. (XNAS:INOD)</v>
    <v>2</v>
    <v>3</v>
    <v>Finance</v>
    <v>4</v>
    <v>125.14</v>
    <v>34.2301</v>
    <v>2.8401999999999998</v>
    <v>-4.51</v>
    <v>-4.3875999999999998E-2</v>
    <v>USD</v>
    <v>Innodata Inc. is a global data engineering company. It provides a range of transferable solutions, platforms, and services for generative artificial intelligence (AI)/AI builders and adopters. Its Digital Data Solutions segment provides AI data preparation services, collecting or creating training data, annotating training data, and training AI algorithms for its customers, and AI model deployment and integration. It also provides a range of data engineering support services. Its Synodex segment provides an industry platform that transforms medical records into useable digital data organized in accordance with its proprietary data models or customer data models. Its Agility segment provides an industry platform that provides marketing communications and public relations professionals with the ability to target and distribute content to journalists and social media influencers worldwide and to monitor and analyze global news channels (print, Web, radio and TV) and social media channels.</v>
    <v>10020</v>
    <v>Nasdaq Stock Market</v>
    <v>XNAS</v>
    <v>XNAS</v>
    <v>55 Challenger Road, Suite 202, RIDGEFIELD PARK, NJ, 07660 US</v>
    <v>109.2068</v>
    <v>Software &amp; IT Services</v>
    <v>Stock</v>
    <v>46182.797818760941</v>
    <v>116</v>
    <v>89.6</v>
    <v>1490374656</v>
    <v>INNODATA INC.</v>
    <v>INNODATA INC.</v>
    <v>103.92</v>
    <v>88.429000000000002</v>
    <v>102.79</v>
    <v>98.28</v>
    <v>32655360</v>
    <v>INOD</v>
    <v>INNODATA INC. (XNAS:INOD)</v>
    <v>1599969</v>
    <v>3123350</v>
    <v>1988</v>
  </rv>
  <rv s="2">
    <v>117</v>
  </rv>
  <rv s="0">
    <v>https://www.bing.com/financeapi/forcetrigger?t=a1vmf2&amp;q=XNAS%3aINTC&amp;form=skydnc</v>
    <v>Learn more on Bing</v>
  </rv>
  <rv s="1">
    <v>en-GB</v>
    <v>a1vmf2</v>
    <v>268435456</v>
    <v>1</v>
    <v>Powered by Refinitiv</v>
    <v>0</v>
    <v>INTEL CORPORATION (XNAS:INTC)</v>
    <v>2</v>
    <v>3</v>
    <v>Finance</v>
    <v>4</v>
    <v>132.75</v>
    <v>18.965</v>
    <v>2.2233000000000001</v>
    <v>-3.2099000000000002</v>
    <v>-2.9108999999999999E-2</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83200</v>
    <v>Nasdaq Stock Market</v>
    <v>XNAS</v>
    <v>XNAS</v>
    <v>2200 Mission College Blvd, Rnb-4-151, SANTA CLARA, CA, 95054 US</v>
    <v>113.998</v>
    <v>Semiconductors &amp; Semiconductor Equipment</v>
    <v>Stock</v>
    <v>46182.797927846877</v>
    <v>119</v>
    <v>99.46</v>
    <v>538084062600</v>
    <v>INTEL CORPORATION</v>
    <v>INTEL CORPORATION</v>
    <v>112.59</v>
    <v>0</v>
    <v>110.27</v>
    <v>107.06010000000001</v>
    <v>5026000000</v>
    <v>INTC</v>
    <v>INTEL CORPORATION (XNAS:INTC)</v>
    <v>119666332</v>
    <v>136107768</v>
    <v>1989</v>
  </rv>
  <rv s="2">
    <v>120</v>
  </rv>
  <rv s="0">
    <v>https://www.bing.com/financeapi/forcetrigger?t=bxb5m7&amp;q=XNYS%3aIONQ&amp;form=skydnc</v>
    <v>Learn more on Bing</v>
  </rv>
  <rv s="1">
    <v>en-GB</v>
    <v>bxb5m7</v>
    <v>268435456</v>
    <v>1</v>
    <v>Powered by Refinitiv</v>
    <v>0</v>
    <v>IONQ, INC. (XNYS:IONQ)</v>
    <v>2</v>
    <v>3</v>
    <v>Finance</v>
    <v>4</v>
    <v>84.64</v>
    <v>25.89</v>
    <v>3.2101000000000002</v>
    <v>-6.4188000000000001</v>
    <v>-0.10221</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1132</v>
    <v>New York Stock Exchange</v>
    <v>XNYS</v>
    <v>XNYS</v>
    <v>4505 Campus Drive, Suite 100, COLLEGE PARK, MD, 20740 US</v>
    <v>63.948399999999999</v>
    <v>Computers, Phones &amp; Household Electronics</v>
    <v>Stock</v>
    <v>46182.797852904689</v>
    <v>122</v>
    <v>53.264600000000002</v>
    <v>21045410524</v>
    <v>IONQ, INC.</v>
    <v>IONQ, INC.</v>
    <v>62.15</v>
    <v>962.13649999999996</v>
    <v>62.8</v>
    <v>56.3812</v>
    <v>373270000</v>
    <v>IONQ</v>
    <v>IONQ, INC. (XNYS:IONQ)</v>
    <v>28468692</v>
    <v>35123330</v>
    <v>2020</v>
  </rv>
  <rv s="2">
    <v>123</v>
  </rv>
  <rv s="0">
    <v>https://www.bing.com/financeapi/forcetrigger?t=c438im&amp;q=XNAS%3aIREN&amp;form=skydnc</v>
    <v>Learn more on Bing</v>
  </rv>
  <rv s="1">
    <v>en-GB</v>
    <v>c438im</v>
    <v>268435456</v>
    <v>1</v>
    <v>Powered by Refinitiv</v>
    <v>0</v>
    <v>IREN LIMITED (XNAS:IREN)</v>
    <v>2</v>
    <v>3</v>
    <v>Finance</v>
    <v>4</v>
    <v>76.87</v>
    <v>9.52</v>
    <v>4.2286999999999999</v>
    <v>-4.9450000000000003</v>
    <v>-8.3544999999999994E-2</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Nasdaq Stock Market</v>
    <v>XNAS</v>
    <v>XNAS</v>
    <v>Level 5, 55 Market Street, SYDNEY, NEW SOUTH WALES, 2000 AU</v>
    <v>60.86</v>
    <v>Financial Technology (Fintech) &amp; Infrastructure</v>
    <v>Stock</v>
    <v>46182.797914270312</v>
    <v>125</v>
    <v>51.145000000000003</v>
    <v>19386007581</v>
    <v>IREN LIMITED</v>
    <v>IREN LIMITED</v>
    <v>59</v>
    <v>118.2581</v>
    <v>59.19</v>
    <v>54.244999999999997</v>
    <v>357378700</v>
    <v>IREN</v>
    <v>IREN LIMITED (XNAS:IREN)</v>
    <v>46529028</v>
    <v>57875893</v>
    <v>2018</v>
  </rv>
  <rv s="2">
    <v>126</v>
  </rv>
  <rv s="0">
    <v>https://www.bing.com/financeapi/forcetrigger?t=a1vxfr&amp;q=ARCX%3aIWM&amp;form=skydnc</v>
    <v>Learn more on Bing</v>
  </rv>
  <rv s="7">
    <v>en-GB</v>
    <v>a1vxfr</v>
    <v>268435456</v>
    <v>1</v>
    <v>Powered by Refinitiv</v>
    <v>15</v>
    <v>iShares:Russ 2000 ETF (ARCX:IWM)</v>
    <v>16</v>
    <v>17</v>
    <v>Finance</v>
    <v>18</v>
    <v>292.875</v>
    <v>206.81</v>
    <v>0.99929999999999997</v>
    <v>1.33</v>
    <v>4.6810000000000003E-3</v>
    <v>USD</v>
    <v>NYSE Arca</v>
    <v>ARCX</v>
    <v>1.9E-3</v>
    <v>290.87</v>
    <v>ETF</v>
    <v>46182.797916712501</v>
    <v>128</v>
    <v>277.62</v>
    <v>80933362748.720001</v>
    <v>iShares:Russ 2000 ETF</v>
    <v>286.95999999999998</v>
    <v>284.11</v>
    <v>285.44</v>
    <v>IWM</v>
    <v>iShares:Russ 2000 ETF (ARCX:IWM)</v>
    <v>34041308</v>
    <v>26074585</v>
  </rv>
  <rv s="2">
    <v>129</v>
  </rv>
  <rv s="0">
    <v>https://www.bing.com/financeapi/forcetrigger?t=a1wjkr&amp;q=XNAS%3aKLAC&amp;form=skydnc</v>
    <v>Learn more on Bing</v>
  </rv>
  <rv s="1">
    <v>en-GB</v>
    <v>a1wjkr</v>
    <v>268435456</v>
    <v>1</v>
    <v>Powered by Refinitiv</v>
    <v>0</v>
    <v>KLA CORPORATION (XNAS:KLAC)</v>
    <v>2</v>
    <v>3</v>
    <v>Finance</v>
    <v>4</v>
    <v>2262.8188</v>
    <v>811</v>
    <v>1.4698</v>
    <v>27.43</v>
    <v>1.3011999999999999E-2</v>
    <v>USD</v>
    <v>KLA Corporation (KLA) develops industry equipment and services. The Company provides advanced process control and process-enabling solutions for manufacturing wafers and reticles, integrated circuits, packaging, and printed circuit boards. It operates through three segments, which include Semiconductor Process Control, Specialty Semiconductor Process, and PCB and Component Inspection. The Semiconductor Process Control segment offers a portfolio of inspection, metrology and data analytics products, and related services. The Specialty Semiconductor Process segment develops and sells advanced vacuum deposition and etching process tools. The PCB and Component Inspection segment enables electronic device manufacturers to inspect, test and measure PCBs, flat panel displays, and integrated circuits (ICs) to verify their quality, pattern the desired electronic circuitry on the relevant substrate and perform three-dimensional shaping of metalized circuits on multiple surfaces.</v>
    <v>15000</v>
    <v>Nasdaq Stock Market</v>
    <v>XNAS</v>
    <v>XNAS</v>
    <v>One Technology Drive, MILPITAS, CA, 95035 US</v>
    <v>2262.8188</v>
    <v>Semiconductors &amp; Semiconductor Equipment</v>
    <v>Stock</v>
    <v>46182.797897661716</v>
    <v>131</v>
    <v>1995.5</v>
    <v>278953719975</v>
    <v>KLA CORPORATION</v>
    <v>KLA CORPORATION</v>
    <v>2170</v>
    <v>604.61210000000005</v>
    <v>2108.06</v>
    <v>2135.4899999999998</v>
    <v>130627500</v>
    <v>KLAC</v>
    <v>KLA CORPORATION (XNAS:KLAC)</v>
    <v>1023891</v>
    <v>1045595</v>
    <v>1975</v>
  </rv>
  <rv s="2">
    <v>132</v>
  </rv>
  <rv s="0">
    <v>https://www.bing.com/financeapi/forcetrigger?t=a1wljc&amp;q=XNYS%3aKO&amp;form=skydnc</v>
    <v>Learn more on Bing</v>
  </rv>
  <rv s="1">
    <v>en-GB</v>
    <v>a1wljc</v>
    <v>268435456</v>
    <v>1</v>
    <v>Powered by Refinitiv</v>
    <v>0</v>
    <v>THE COCA-COLA COMPANY (XNYS:KO)</v>
    <v>2</v>
    <v>3</v>
    <v>Finance</v>
    <v>4</v>
    <v>82.663499999999999</v>
    <v>65.353800000000007</v>
    <v>0.35120000000000001</v>
    <v>1.33</v>
    <v>1.6721E-2</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81.760000000000005</v>
    <v>Beverages</v>
    <v>Stock</v>
    <v>46182.797908032029</v>
    <v>134</v>
    <v>79.45</v>
    <v>347941719340</v>
    <v>THE COCA-COLA COMPANY</v>
    <v>THE COCA-COLA COMPANY</v>
    <v>79.5</v>
    <v>25.4588</v>
    <v>79.540000000000006</v>
    <v>80.87</v>
    <v>4302482000</v>
    <v>KO</v>
    <v>THE COCA-COLA COMPANY (XNYS:KO)</v>
    <v>11168531</v>
    <v>15208608</v>
    <v>1919</v>
  </rv>
  <rv s="2">
    <v>135</v>
  </rv>
  <rv s="0">
    <v>https://www.bing.com/financeapi/forcetrigger?t=a1x3r7&amp;q=XNAS%3aLPTH&amp;form=skydnc</v>
    <v>Learn more on Bing</v>
  </rv>
  <rv s="1">
    <v>en-GB</v>
    <v>a1x3r7</v>
    <v>268435456</v>
    <v>1</v>
    <v>Powered by Refinitiv</v>
    <v>0</v>
    <v>LIGHTPATH TECHNOLOGIES, INC. (XNAS:LPTH)</v>
    <v>2</v>
    <v>3</v>
    <v>Finance</v>
    <v>4</v>
    <v>18.940000000000001</v>
    <v>2.75</v>
    <v>1.3664000000000001</v>
    <v>-1.06</v>
    <v>-7.0479E-2</v>
    <v>USD</v>
    <v>LightPath Technologies, Inc. is a global, vertically integrated provider of optics, photonics and infrared solutions for the industrial, commercial, defense, telecommunications, and medical industries. The Company designs and manufactures optical and infrared components including molded glass aspheric lenses and assemblies, custom molded glass freeform lenses, infrared lenses and thermal imaging assemblies, fused fiber collimators, and BlackDiamond (BD6) chalcogenide-based glass lenses. It also offers custom optical assemblies, including full engineering design support. Its business is organized into four product groups: infrared components, visible components, assemblies and modules, and engineering services. Its infrared product group comprises both molded and turned infrared lenses and assemblies using a variety of infrared glass materials. Its assemblies and modules product group is comprised of other value-added products, including both infrared and visible components.</v>
    <v>345</v>
    <v>Nasdaq Stock Market</v>
    <v>XNAS</v>
    <v>XNAS</v>
    <v>2603 CHALLENGER TECH CT, STE 100, ORLANDO, FL, 32826-2716 US</v>
    <v>15.59</v>
    <v>Office Equipment</v>
    <v>Stock</v>
    <v>46182.79788450156</v>
    <v>137</v>
    <v>13.1107</v>
    <v>927724123</v>
    <v>LIGHTPATH TECHNOLOGIES, INC.</v>
    <v>LIGHTPATH TECHNOLOGIES, INC.</v>
    <v>15.27</v>
    <v>0</v>
    <v>15.04</v>
    <v>13.98</v>
    <v>66360810</v>
    <v>LPTH</v>
    <v>LIGHTPATH TECHNOLOGIES, INC. (XNAS:LPTH)</v>
    <v>3165816</v>
    <v>4284104</v>
    <v>1992</v>
  </rv>
  <rv s="2">
    <v>138</v>
  </rv>
  <rv s="0">
    <v>https://www.bing.com/financeapi/forcetrigger?t=a2nk77&amp;q=XNAS%3aLWLG&amp;form=skydnc</v>
    <v>Learn more on Bing</v>
  </rv>
  <rv s="1">
    <v>en-GB</v>
    <v>a2nk77</v>
    <v>268435456</v>
    <v>1</v>
    <v>Powered by Refinitiv</v>
    <v>0</v>
    <v>LIGHTWAVE LOGIC, INC. (XNAS:LWLG)</v>
    <v>2</v>
    <v>3</v>
    <v>Finance</v>
    <v>4</v>
    <v>18.709</v>
    <v>1.0900000000000001</v>
    <v>2.3978999999999999</v>
    <v>-0.86</v>
    <v>-8.3495000000000014E-2</v>
    <v>USD</v>
    <v>Lightwave Logic, Inc. is a technology platform company leveraging its proprietary engineered electro-optic (EO) polymers known as Perkinamine, to transmit data at higher speeds with less power in a small form factor. The Company’s organic polymers allow it to create next-generation photonic EO devices that convert data from electrical signals into light/optical signals for applications in telecommunications, and for data transmission potentially used to support generative Artificial Intelligence. It designs its own proprietary materials for electro-optical modulation devices. Electro-optical modulators convert data from electric signals into optical signals that can then be transmitted over high-speed fiber-optic cables. It is focused on testing and demonstrating the manufacturability and reliability of its devices. In polymer photonics, polymer devices such as modulators, waveguides, and multiplexers can be fabricated on to a silicon platform.</v>
    <v>34</v>
    <v>Nasdaq Stock Market</v>
    <v>XNAS</v>
    <v>XNAS</v>
    <v>369 Inverness Parkway, Suite 350, ENGLEWOOD, CO, 80112 US</v>
    <v>10.599500000000001</v>
    <v>Electronic Equipment &amp; Parts</v>
    <v>Stock</v>
    <v>46182.797893714844</v>
    <v>140</v>
    <v>8.83</v>
    <v>1454511424</v>
    <v>LIGHTWAVE LOGIC, INC.</v>
    <v>LIGHTWAVE LOGIC, INC.</v>
    <v>10.45</v>
    <v>0</v>
    <v>10.3</v>
    <v>9.44</v>
    <v>154079600</v>
    <v>LWLG</v>
    <v>LIGHTWAVE LOGIC, INC. (XNAS:LWLG)</v>
    <v>5416957</v>
    <v>8450456</v>
    <v>1997</v>
  </rv>
  <rv s="2">
    <v>141</v>
  </rv>
  <rv s="0">
    <v>http://en.wikipedia.org/wiki/McDonald's</v>
    <v>Wikipedia</v>
  </rv>
  <rv s="3">
    <v>6</v>
    <v>143</v>
  </rv>
  <rv s="4">
    <v>9</v>
    <v>https://www.bing.com/th?id=AMMS_7d8255243964a8970376f8dd41121106&amp;qlt=95</v>
    <v>144</v>
    <v>0</v>
    <v>https://www.bing.com/images/search?form=xlimg&amp;q=mcdonald%27s</v>
    <v>Image of MCDONALD'S CORPORATION</v>
  </rv>
  <rv s="0">
    <v>https://www.bing.com/financeapi/forcetrigger?t=a1xdec&amp;q=XNYS%3aMCD&amp;form=skydnc</v>
    <v>Learn more on Bing</v>
  </rv>
  <rv s="5">
    <v>en-GB</v>
    <v>a1xdec</v>
    <v>268435456</v>
    <v>1</v>
    <v>Powered by Refinitiv</v>
    <v>5</v>
    <v>MCDONALD'S CORPORATION (XNYS:MCD)</v>
    <v>7</v>
    <v>8</v>
    <v>Finance</v>
    <v>4</v>
    <v>341.75</v>
    <v>271.85000000000002</v>
    <v>0.41249999999999998</v>
    <v>4.6550000000000002</v>
    <v>1.6757999999999999E-2</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comprises markets or countries in which it operates and franchises restaurants, including Australia, Canada, France, Germany, Italy, Poland, Spain, and the United Kingdom. This segment is 89% franchised. The International Developmental Licensed Markets &amp; Corporate segment comprises development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285.3</v>
    <v>145</v>
    <v>Hotels &amp; Entertainment Services</v>
    <v>Stock</v>
    <v>46182.797917279684</v>
    <v>146</v>
    <v>276.0401</v>
    <v>200671733866</v>
    <v>MCDONALD'S CORPORATION</v>
    <v>MCDONALD'S CORPORATION</v>
    <v>277.45</v>
    <v>23.2807</v>
    <v>277.77999999999997</v>
    <v>282.435</v>
    <v>710505900</v>
    <v>MCD</v>
    <v>MCDONALD'S CORPORATION (XNYS:MCD)</v>
    <v>3260110</v>
    <v>4406861</v>
    <v>1964</v>
  </rv>
  <rv s="2">
    <v>147</v>
  </rv>
  <rv s="0">
    <v>http://commons.wikimedia.org/wiki/File:MongoDB_Logo.svg</v>
    <v>&lt;a rel="nofollow" class="external text" href="https://www.mongodb.com/legal/trademark-usage-guidelines"&gt;MongoDB, Inc.&lt;/a&gt;</v>
  </rv>
  <rv s="0">
    <v>http://en.wikipedia.org/wiki/MongoDB_Inc.</v>
    <v>Wikipedia</v>
  </rv>
  <rv s="3">
    <v>149</v>
    <v>150</v>
  </rv>
  <rv s="4">
    <v>9</v>
    <v>https://www.bing.com/th?id=AMMS_e1db2e3234bc1bb199e8aee07d2a0340&amp;qlt=95</v>
    <v>151</v>
    <v>0</v>
    <v>https://www.bing.com/images/search?form=xlimg&amp;q=10gen</v>
    <v>Image of MONGODB, INC.</v>
  </rv>
  <rv s="0">
    <v>https://www.bing.com/financeapi/forcetrigger?t=a1xf1h&amp;q=XNAS%3aMDB&amp;form=skydnc</v>
    <v>Learn more on Bing</v>
  </rv>
  <rv s="5">
    <v>en-GB</v>
    <v>a1xf1h</v>
    <v>268435456</v>
    <v>1</v>
    <v>Powered by Refinitiv</v>
    <v>5</v>
    <v>MONGODB, INC. (XNAS:MDB)</v>
    <v>7</v>
    <v>8</v>
    <v>Finance</v>
    <v>4</v>
    <v>444.72</v>
    <v>196</v>
    <v>1.5286999999999999</v>
    <v>-15.635</v>
    <v>-4.4347000000000004E-2</v>
    <v>USD</v>
    <v>MongoDB, Inc. is a developer data platform company. Its developer data platform is a globally distributed operational database integrated with a set of data services that allow development teams to address the growing variety of application requirements. Its customers can implement its developer data platform as a managed service offering, or they can choose a self-managed option. Its MongoDB Atlas is its managed multi-cloud database-as-a-service (DBaaS) offering that includes an integrated set of databases and related services. Atlas Vector Search allows the integration of an operational database and vector search in a unified, fully managed platform. MongoDB Enterprise Advanced is its proprietary self-managed commercial offering for enterprise customers that can run in the cloud, on-premises or in a hybrid environment. It also provides professional services for its customers.</v>
    <v>5636</v>
    <v>Nasdaq Stock Market</v>
    <v>XNAS</v>
    <v>XNAS</v>
    <v>1633 Broadway, 38th Floor, NEW YORK, NY, 10019 US</v>
    <v>356.46</v>
    <v>152</v>
    <v>Software &amp; IT Services</v>
    <v>Stock</v>
    <v>46182.7979021875</v>
    <v>153</v>
    <v>325.2167</v>
    <v>27099528015</v>
    <v>MONGODB, INC.</v>
    <v>MONGODB, INC.</v>
    <v>348.44</v>
    <v>0</v>
    <v>352.56</v>
    <v>336.92500000000001</v>
    <v>80431930</v>
    <v>MDB</v>
    <v>MONGODB, INC. (XNAS:MDB)</v>
    <v>1244166</v>
    <v>2758178</v>
    <v>2007</v>
  </rv>
  <rv s="2">
    <v>154</v>
  </rv>
  <rv s="0">
    <v>https://www.bing.com/financeapi/forcetrigger?t=a1slm7&amp;q=XNAS%3aMETA&amp;form=skydnc</v>
    <v>Learn more on Bing</v>
  </rv>
  <rv s="1">
    <v>en-GB</v>
    <v>a1slm7</v>
    <v>268435456</v>
    <v>1</v>
    <v>Powered by Refinitiv</v>
    <v>0</v>
    <v>META PLATFORMS, INC. (XNAS:META)</v>
    <v>2</v>
    <v>3</v>
    <v>Finance</v>
    <v>4</v>
    <v>796.25</v>
    <v>520.26</v>
    <v>1.2422</v>
    <v>5.74</v>
    <v>9.8050000000000012E-3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597.63</v>
    <v>Software &amp; IT Services</v>
    <v>Stock</v>
    <v>46182.79792240703</v>
    <v>156</v>
    <v>581.01</v>
    <v>1500537987990</v>
    <v>META PLATFORMS, INC.</v>
    <v>META PLATFORMS, INC.</v>
    <v>591.79999999999995</v>
    <v>17.9299</v>
    <v>585.39</v>
    <v>591.13</v>
    <v>2538423000</v>
    <v>META</v>
    <v>META PLATFORMS, INC. (XNAS:META)</v>
    <v>9597370</v>
    <v>16818516</v>
    <v>2004</v>
  </rv>
  <rv s="2">
    <v>157</v>
  </rv>
  <rv s="0">
    <v>https://www.bing.com/financeapi/forcetrigger?t=a1xygh&amp;q=XNAS%3aMRVL&amp;form=skydnc</v>
    <v>Learn more on Bing</v>
  </rv>
  <rv s="1">
    <v>en-GB</v>
    <v>a1xygh</v>
    <v>268435456</v>
    <v>1</v>
    <v>Powered by Refinitiv</v>
    <v>0</v>
    <v>MARVELL TECHNOLOGY, INC. (XNAS:MRVL)</v>
    <v>2</v>
    <v>3</v>
    <v>Finance</v>
    <v>4</v>
    <v>324.2</v>
    <v>61.44</v>
    <v>2.1436999999999999</v>
    <v>-25.89</v>
    <v>-8.9631000000000002E-2</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302.37</v>
    <v>Semiconductors &amp; Semiconductor Equipment</v>
    <v>Stock</v>
    <v>46182.797934050781</v>
    <v>159</v>
    <v>244.12</v>
    <v>230037407999</v>
    <v>MARVELL TECHNOLOGY, INC.</v>
    <v>MARVELL TECHNOLOGY, INC.</v>
    <v>300</v>
    <v>90.0702</v>
    <v>288.85000000000002</v>
    <v>262.95999999999998</v>
    <v>874800000</v>
    <v>MRVL</v>
    <v>MARVELL TECHNOLOGY, INC. (XNAS:MRVL)</v>
    <v>77815118</v>
    <v>42738515</v>
    <v>2020</v>
  </rv>
  <rv s="2">
    <v>160</v>
  </rv>
  <rv s="0">
    <v>https://en.wikipedia.org/wiki/Microsoft</v>
    <v>Wikipedia</v>
  </rv>
  <rv s="3">
    <v>6</v>
    <v>162</v>
  </rv>
  <rv s="4">
    <v>9</v>
    <v>https://www.bing.com/th?id=AMMS_e6e837c7bf3a77408619758b7447855a&amp;qlt=95</v>
    <v>163</v>
    <v>0</v>
    <v>https://www.bing.com/images/search?form=xlimg&amp;q=microsoft</v>
    <v>Image of MICROSOFT CORPORATION</v>
  </rv>
  <rv s="0">
    <v>https://www.bing.com/financeapi/forcetrigger?t=a1xzim&amp;q=XNAS%3aMSFT&amp;form=skydnc</v>
    <v>Learn more on Bing</v>
  </rv>
  <rv s="5">
    <v>en-GB</v>
    <v>a1xzim</v>
    <v>268435456</v>
    <v>1</v>
    <v>Powered by Refinitiv</v>
    <v>5</v>
    <v>MICROSOFT CORPORATION (XNAS:MSFT)</v>
    <v>7</v>
    <v>8</v>
    <v>Finance</v>
    <v>4</v>
    <v>555.45000000000005</v>
    <v>356.28</v>
    <v>1.1191</v>
    <v>-7.81</v>
    <v>-1.8967999999999999E-2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411.98</v>
    <v>164</v>
    <v>Software &amp; IT Services</v>
    <v>Stock</v>
    <v>46182.797944385937</v>
    <v>165</v>
    <v>398.48140000000001</v>
    <v>3000567749550</v>
    <v>MICROSOFT CORPORATION</v>
    <v>MICROSOFT CORPORATION</v>
    <v>408.91</v>
    <v>24.058299999999999</v>
    <v>411.74</v>
    <v>403.93</v>
    <v>7428435000</v>
    <v>MSFT</v>
    <v>MICROSOFT CORPORATION (XNAS:MSFT)</v>
    <v>22706202</v>
    <v>35642147</v>
    <v>1993</v>
  </rv>
  <rv s="2">
    <v>166</v>
  </rv>
  <rv s="0">
    <v>https://www.bing.com/financeapi/forcetrigger?t=a1y1qh&amp;q=XNAS%3aMSTR&amp;form=skydnc</v>
    <v>Learn more on Bing</v>
  </rv>
  <rv s="1">
    <v>en-GB</v>
    <v>a1y1qh</v>
    <v>268435456</v>
    <v>1</v>
    <v>Powered by Refinitiv</v>
    <v>0</v>
    <v>STRATEGY INC (XNAS:MSTR)</v>
    <v>2</v>
    <v>3</v>
    <v>Finance</v>
    <v>4</v>
    <v>457.22</v>
    <v>104.16500000000001</v>
    <v>3.5070999999999999</v>
    <v>-10.27</v>
    <v>-8.0739000000000005E-2</v>
    <v>USD</v>
    <v>Strategy Inc. is a bitcoin treasury and business intelligence company. The Company provides cloud-native, artificial intelligence (AI)-powered enterprise analytics software to thousands of global customers. Its Software Business segment is engaged in the design, development, marketing, and sales of enterprise analytics software platform through cloud subscriptions and licensing arrangements and related services. Its Strategy ONE platform provides access to AI-powered workflows, unlimited data sources, cloud-native technologies, and performance to speed up time from data to action. Strategy One delivers visualization, reporting, and embedded analytics capabilities across retail, banking, technology, manufacturing, insurance, consulting, healthcare, public sector, and others. Its Strategy Mosaic is a universal intelligence layer that provides enterprises with consistent definitions and governance across data sources, regardless of where that data resides or which tools access it.</v>
    <v>1511</v>
    <v>Nasdaq Stock Market</v>
    <v>XNAS</v>
    <v>XNAS</v>
    <v>1850 TOWERS CRESCENT PLAZA, TYSONS CORNER, VA, 22182 US</v>
    <v>125.55</v>
    <v>Software &amp; IT Services</v>
    <v>Stock</v>
    <v>46182.79788916641</v>
    <v>168</v>
    <v>114.206</v>
    <v>41884080447</v>
    <v>STRATEGY INC</v>
    <v>STRATEGY INC</v>
    <v>123</v>
    <v>0</v>
    <v>127.2</v>
    <v>116.93</v>
    <v>358197900</v>
    <v>MSTR</v>
    <v>STRATEGY INC (XNAS:MSTR)</v>
    <v>17022987</v>
    <v>17517825</v>
    <v>1989</v>
  </rv>
  <rv s="2">
    <v>169</v>
  </rv>
  <rv s="0">
    <v>https://www.bing.com/financeapi/forcetrigger?t=a1y4oc&amp;q=XNAS%3aMU&amp;form=skydnc</v>
    <v>Learn more on Bing</v>
  </rv>
  <rv s="1">
    <v>en-GB</v>
    <v>a1y4oc</v>
    <v>268435456</v>
    <v>1</v>
    <v>Powered by Refinitiv</v>
    <v>0</v>
    <v>MICRON TECHNOLOGY, INC. (XNAS:MU)</v>
    <v>2</v>
    <v>3</v>
    <v>Finance</v>
    <v>4</v>
    <v>1089.29</v>
    <v>103.38</v>
    <v>2.1724000000000001</v>
    <v>-39.04</v>
    <v>-4.1125999999999996E-2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989.15</v>
    <v>Semiconductors &amp; Semiconductor Equipment</v>
    <v>Stock</v>
    <v>46182.797850416406</v>
    <v>171</v>
    <v>854.35</v>
    <v>1026508596160</v>
    <v>MICRON TECHNOLOGY, INC.</v>
    <v>MICRON TECHNOLOGY, INC.</v>
    <v>987.27</v>
    <v>42.973799999999997</v>
    <v>949.28</v>
    <v>910.24</v>
    <v>1127734000</v>
    <v>MU</v>
    <v>MICRON TECHNOLOGY, INC. (XNAS:MU)</v>
    <v>59440552</v>
    <v>55912882</v>
    <v>1984</v>
  </rv>
  <rv s="2">
    <v>172</v>
  </rv>
  <rv s="0">
    <v>https://www.bing.com/financeapi/forcetrigger?t=brh6oc&amp;q=XNYS%3aNET&amp;form=skydnc</v>
    <v>Learn more on Bing</v>
  </rv>
  <rv s="10">
    <v>en-GB</v>
    <v>brh6oc</v>
    <v>268435456</v>
    <v>1</v>
    <v>Powered by Refinitiv</v>
    <v>23</v>
    <v>CLOUDFLARE, INC. (XNYS:NET)</v>
    <v>2</v>
    <v>24</v>
    <v>Finance</v>
    <v>4</v>
    <v>276.815</v>
    <v>158.83000000000001</v>
    <v>1.6607000000000001</v>
    <v>-11.8955</v>
    <v>-4.8006E-2</v>
    <v>USD</v>
    <v>Cloudflare, Inc. is a connectivity cloud company. The Company delivers a range of services to businesses of all sizes and in all geographies, enhancing the performance of business-critical applications. Its full suite of products consists of application services that help deliver security, performance, and reliability for any organization's applications connected to the Internet, including Websites and application programming interfaces (APIs) and its secure access service edge (SASE) platform, which contains its suite of and workplace security services and network services solutions to help ensure traffic in and out of an organization’s network and devices is verified and authorized and data is protected and secured, as well as to securely connect data centers, cloud services, and branch offices to an organization with its connectivity cloud. The Company also offers developer-based solutions which build and deploys serverless and artificial intelligence applications.</v>
    <v>5483</v>
    <v>New York Stock Exchange</v>
    <v>XNYS</v>
    <v>XNYS</v>
    <v>101 Townsend St, SAN FRANCISCO, CA, 94107-1934 US</v>
    <v>249.245</v>
    <v>Software &amp; IT Services</v>
    <v>Stock</v>
    <v>46182.797830046096</v>
    <v>174</v>
    <v>229.48</v>
    <v>83380732515</v>
    <v>CLOUDFLARE, INC.</v>
    <v>CLOUDFLARE, INC.</v>
    <v>245.62</v>
    <v>247.79</v>
    <v>235.89449999999999</v>
    <v>353466200</v>
    <v>NET</v>
    <v>CLOUDFLARE, INC. (XNYS:NET)</v>
    <v>3022302</v>
    <v>5109593</v>
    <v>2009</v>
  </rv>
  <rv s="2">
    <v>175</v>
  </rv>
  <rv s="0">
    <v>https://www.bing.com/financeapi/forcetrigger?t=afgp6h&amp;q=XFRA%3aNKE&amp;form=skydnc</v>
    <v>Learn more on Bing</v>
  </rv>
  <rv s="11">
    <v>en-GB</v>
    <v>afgp6h</v>
    <v>268435456</v>
    <v>1</v>
    <v>Powered by Refinitiv</v>
    <v>25</v>
    <v>NIKE, INC. (XFRA:NKE)</v>
    <v>2</v>
    <v>26</v>
    <v>Finance</v>
    <v>20</v>
    <v>1.1189</v>
    <v>1.2450000000000001</v>
    <v>3.3231000000000004E-2</v>
    <v>EUR</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Deutsche Boerse AG</v>
    <v>XFRA</v>
    <v>XFRA</v>
    <v>One Bowerman Dr, BEAVERTON, OR, 97005-6453 US</v>
    <v>39.104999999999997</v>
    <v>Textiles &amp; Apparel</v>
    <v>Stock</v>
    <v>46182.786805555559</v>
    <v>177</v>
    <v>37.130000000000003</v>
    <v>98149420000</v>
    <v>NIKE, INC.</v>
    <v>NIKE, INC.</v>
    <v>37.409999999999997</v>
    <v>30.0078</v>
    <v>37.465000000000003</v>
    <v>38.71</v>
    <v>1480887000</v>
    <v>NKE</v>
    <v>NIKE, INC. (XFRA:NKE)</v>
    <v>4643</v>
    <v>23286010</v>
    <v>1969</v>
  </rv>
  <rv s="2">
    <v>178</v>
  </rv>
  <rv s="8">
    <v>12</v>
    <v>52 week high</v>
    <v>0</v>
  </rv>
  <rv s="8">
    <v>12</v>
    <v>52 week low</v>
    <v>0</v>
  </rv>
  <rv s="0">
    <v>https://www.bing.com/financeapi/forcetrigger?t=a1ynp2&amp;q=XNYS%3aNOK&amp;form=skydnc</v>
    <v>Learn more on Bing</v>
  </rv>
  <rv s="1">
    <v>en-GB</v>
    <v>a1ynp2</v>
    <v>268435456</v>
    <v>1</v>
    <v>Powered by Refinitiv</v>
    <v>0</v>
    <v>Nokia Oyj (XNYS:NOK)</v>
    <v>2</v>
    <v>3</v>
    <v>Finance</v>
    <v>4</v>
    <v>17.45</v>
    <v>4</v>
    <v>1.1507000000000001</v>
    <v>-0.82</v>
    <v>-5.6203000000000003E-2</v>
    <v>USD</v>
    <v>Nokia Oyj is a Finland-based company engaged in the network and Internet protocol (IP) infrastructure, software, and related services market. The Company's businesses include Nokia Networks and Nokia Technologies. The Company's segments include Ultra Broadband Networks, IP Networks and Applications, and Nokia Technologies. The Ultra Broadband Networks segment comprises Mobile Networks and Fixed Networks operating segments. The IP Networks and Applications segment comprises IP/Optical Networks and Applications &amp; Analytics operating segments. The Applications &amp; Analytics operating segment offers software solutions spanning customer experience management, network operations and management, communications and collaboration, policy and charging, as well as Cloud, Internet of things (IoT), security, and analytics platforms that enable digital services providers and enterprises to accelerate and optimize their customer experience. The Company has Comptel Oyj among its subsidiaries.</v>
    <v>77586</v>
    <v>New York Stock Exchange</v>
    <v>XNYS</v>
    <v>XNYS</v>
    <v>Karakaari 7, Espoo, VLASENICE, 02610 FI</v>
    <v>14.62</v>
    <v>Communications &amp; Networking</v>
    <v>Stock</v>
    <v>46182.79791611094</v>
    <v>182</v>
    <v>13.18</v>
    <v>79070644800</v>
    <v>Nokia Oyj</v>
    <v>Nokia Oyj</v>
    <v>14.57</v>
    <v>85.581100000000006</v>
    <v>14.59</v>
    <v>13.77</v>
    <v>5742240000</v>
    <v>NOK</v>
    <v>Nokia Oyj (XNYS:NOK)</v>
    <v>163119240</v>
    <v>123058151</v>
    <v>1997</v>
  </rv>
  <rv s="2">
    <v>183</v>
  </rv>
  <rv s="0">
    <v>https://www.bing.com/financeapi/forcetrigger?t=a1yoa2&amp;q=XNYS%3aNOW&amp;form=skydnc</v>
    <v>Learn more on Bing</v>
  </rv>
  <rv s="1">
    <v>en-GB</v>
    <v>a1yoa2</v>
    <v>268435456</v>
    <v>1</v>
    <v>Powered by Refinitiv</v>
    <v>0</v>
    <v>SERVICENOW, INC. (XNYS:NOW)</v>
    <v>2</v>
    <v>3</v>
    <v>Finance</v>
    <v>4</v>
    <v>211.47800000000001</v>
    <v>81.239999999999995</v>
    <v>0.94210000000000005</v>
    <v>-7.71</v>
    <v>-6.7518999999999996E-2</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into four primary areas: Technology, CRM and Industry, Core Business and Creator. Its products include IT Service Management, IT Operations Management, HR Service Delivery, ServiceNow AI Agents, AI Experience, Build Agent, ServiceNow AI Control Tower, AI Agent Fabric, RaptorDB, Workflow Data Fabric, Workplace Service Delivery, ServiceNow Platform Encryption, Telecommunications Service Operations Management, and others. The Company also offers identity security, helping organizations secure access across the enterprise.</v>
    <v>29187</v>
    <v>New York Stock Exchange</v>
    <v>XNYS</v>
    <v>XNYS</v>
    <v>2225 Lawson Lane, SANTA CLARA, CA, 95054 US</v>
    <v>112.39</v>
    <v>Software &amp; IT Services</v>
    <v>Stock</v>
    <v>46182.797846863279</v>
    <v>185</v>
    <v>103.08</v>
    <v>109813675840</v>
    <v>SERVICENOW, INC.</v>
    <v>SERVICENOW, INC.</v>
    <v>110.3</v>
    <v>63.328200000000002</v>
    <v>114.19</v>
    <v>106.48</v>
    <v>1031308000</v>
    <v>NOW</v>
    <v>SERVICENOW, INC. (XNYS:NOW)</v>
    <v>27611363</v>
    <v>32672077</v>
    <v>2012</v>
  </rv>
  <rv s="2">
    <v>186</v>
  </rv>
  <rv s="0">
    <v>https://www.bing.com/financeapi/forcetrigger?t=a1yv52&amp;q=XNAS%3aNVDA&amp;form=skydnc</v>
    <v>Learn more on Bing</v>
  </rv>
  <rv s="1">
    <v>en-GB</v>
    <v>a1yv52</v>
    <v>268435456</v>
    <v>1</v>
    <v>Powered by Refinitiv</v>
    <v>0</v>
    <v>NVIDIA CORPORATION (XNAS:NVDA)</v>
    <v>2</v>
    <v>3</v>
    <v>Finance</v>
    <v>4</v>
    <v>236.54</v>
    <v>140.85499999999999</v>
    <v>2.1962000000000002</v>
    <v>-1.73</v>
    <v>-8.2920000000000008E-3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211.39</v>
    <v>Semiconductors &amp; Semiconductor Equipment</v>
    <v>Stock</v>
    <v>46182.797862789062</v>
    <v>188</v>
    <v>199.34</v>
    <v>5007222000000</v>
    <v>NVIDIA CORPORATION</v>
    <v>NVIDIA CORPORATION</v>
    <v>210.76</v>
    <v>31.6861</v>
    <v>208.64</v>
    <v>206.91</v>
    <v>24200000000</v>
    <v>NVDA</v>
    <v>NVIDIA CORPORATION (XNAS:NVDA)</v>
    <v>135373430</v>
    <v>171614589</v>
    <v>1998</v>
  </rv>
  <rv s="2">
    <v>189</v>
  </rv>
  <rv s="0">
    <v>https://www.bing.com/financeapi/forcetrigger?t=a1z8jc&amp;q=XNAS%3aON&amp;form=skydnc</v>
    <v>Learn more on Bing</v>
  </rv>
  <rv s="1">
    <v>en-GB</v>
    <v>a1z8jc</v>
    <v>268435456</v>
    <v>1</v>
    <v>Powered by Refinitiv</v>
    <v>0</v>
    <v>ON SEMICONDUCTOR CORPORATION (XNAS:ON)</v>
    <v>2</v>
    <v>3</v>
    <v>Finance</v>
    <v>4</v>
    <v>134.91999999999999</v>
    <v>44.56</v>
    <v>1.964</v>
    <v>-5.07</v>
    <v>-4.1935E-2</v>
    <v>USD</v>
    <v>ON Semiconductor Corporation is engaged in providing intelligent power and intelligent sensing solutions. The Company’s intelligent power technologies enable the electrification of drivetrain in the automotive industry to allow for lighter and longer-range electric vehicles. Its segments include Power Solutions Group (PSG), the Analog and Mixed-Signal Group (AMG) and the Intelligent Sensing Group (ISG). PSG segment provides a portfolio of discrete, module, and integrated semiconductor devices designed to enable conversion across artificial intelligence (AI) data centers, energy infrastructure, automotive and industrial. AMG segment designs and develops a range of analog and mixed-signal solutions including power‑management, sensor‑interface, connectivity, and products that serve automotive, industrial automation, AI data center, computing, and mobile end markets.</v>
    <v>22600</v>
    <v>Nasdaq Stock Market</v>
    <v>XNAS</v>
    <v>XNAS</v>
    <v>5701 NORTH PIMA ROAD, SCOTTSDALE, AZ, 85250 US</v>
    <v>124</v>
    <v>Semiconductors &amp; Semiconductor Equipment</v>
    <v>Stock</v>
    <v>46182.797831365628</v>
    <v>191</v>
    <v>108.3</v>
    <v>45394147656</v>
    <v>ON SEMICONDUCTOR CORPORATION</v>
    <v>ON SEMICONDUCTOR CORPORATION</v>
    <v>122.62</v>
    <v>82.712100000000007</v>
    <v>120.9</v>
    <v>115.83</v>
    <v>391903200</v>
    <v>ON</v>
    <v>ON SEMICONDUCTOR CORPORATION (XNAS:ON)</v>
    <v>10339535</v>
    <v>13146092</v>
    <v>2000</v>
  </rv>
  <rv s="2">
    <v>192</v>
  </rv>
  <rv s="0">
    <v>https://www.bing.com/financeapi/forcetrigger?t=bkgak2&amp;q=XNAS%3aONDS&amp;form=skydnc</v>
    <v>Learn more on Bing</v>
  </rv>
  <rv s="1">
    <v>en-GB</v>
    <v>bkgak2</v>
    <v>268435456</v>
    <v>1</v>
    <v>Powered by Refinitiv</v>
    <v>0</v>
    <v>ONDAS INC. (XNAS:ONDS)</v>
    <v>2</v>
    <v>3</v>
    <v>Finance</v>
    <v>4</v>
    <v>15.28</v>
    <v>1.36</v>
    <v>2.6795</v>
    <v>-0.7</v>
    <v>-6.7960999999999994E-2</v>
    <v>USD</v>
    <v>Ondas Inc. is a provider of autonomous systems, robotics, and mission-critical connectivity solutions for defense, security, and industrial markets. Through its business units, Ondas Autonomous Systems (OAS), Ondas Capital and Ondas Networks, it develops and deploys integrated technologies that deliver advanced sensing, mobility, and communications capabilities. OAS delivers a portfolio of artificial-intelligence (AI)-powered defense and security platforms to protect sensitive sites, populations, and critical infrastructure. OAS also provides an integrated suite of autonomous aerial, ground, and counter-UAS solutions through its operating companies. It also provides Airborne Missile Protection Systems (AMPS) and airborne intelligence, surveillance and reconnaissance (ISR) solutions for the military, government and others. It also specializes in the procurement, integration, and lifecycle support of heavy engineering equipment for military and national infrastructure programs.</v>
    <v>459</v>
    <v>Nasdaq Stock Market</v>
    <v>XNAS</v>
    <v>XNAS</v>
    <v>222 Lakeview Avenue, Suite 800, WEST PALM BEACH, FL, 33401 US</v>
    <v>10.41</v>
    <v>Communications &amp; Networking</v>
    <v>Stock</v>
    <v>46182.797879062498</v>
    <v>194</v>
    <v>9.0401000000000007</v>
    <v>4873007040</v>
    <v>ONDAS INC.</v>
    <v>ONDAS INC.</v>
    <v>10.31</v>
    <v>24.2057</v>
    <v>10.3</v>
    <v>9.6</v>
    <v>507604900</v>
    <v>ONDS</v>
    <v>ONDAS INC. (XNAS:ONDS)</v>
    <v>58843258</v>
    <v>82330955</v>
    <v>2014</v>
  </rv>
  <rv s="2">
    <v>195</v>
  </rv>
  <rv s="0">
    <v>http://pt.wikipedia.org/wiki/Oracle_Corporation</v>
    <v>Wikipedia</v>
  </rv>
  <rv s="3">
    <v>6</v>
    <v>197</v>
  </rv>
  <rv s="4">
    <v>9</v>
    <v>https://www.bing.com/th?id=AMMS_672116c618c664d13b2515d6587ba357&amp;qlt=95</v>
    <v>198</v>
    <v>0</v>
    <v>https://www.bing.com/images/search?form=xlimg&amp;q=oracle+corporation</v>
    <v>Image of ORACLE CORPORATION</v>
  </rv>
  <rv s="0">
    <v>https://www.bing.com/financeapi/forcetrigger?t=a1zbec&amp;q=XNYS%3aORCL&amp;form=skydnc</v>
    <v>Learn more on Bing</v>
  </rv>
  <rv s="5">
    <v>en-GB</v>
    <v>a1zbec</v>
    <v>268435456</v>
    <v>1</v>
    <v>Powered by Refinitiv</v>
    <v>5</v>
    <v>ORACLE CORPORATION (XNYS:ORCL)</v>
    <v>7</v>
    <v>8</v>
    <v>Finance</v>
    <v>4</v>
    <v>345.72</v>
    <v>134.57</v>
    <v>1.6625000000000001</v>
    <v>-6.8550000000000004</v>
    <v>-3.2362000000000002E-2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220.5</v>
    <v>199</v>
    <v>Software &amp; IT Services</v>
    <v>Stock</v>
    <v>46182.797926909378</v>
    <v>200</v>
    <v>197.7901</v>
    <v>589488768390</v>
    <v>ORACLE CORPORATION</v>
    <v>ORACLE CORPORATION</v>
    <v>214.45</v>
    <v>34.740400000000001</v>
    <v>211.82</v>
    <v>204.965</v>
    <v>2876046000</v>
    <v>ORCL</v>
    <v>ORACLE CORPORATION (XNYS:ORCL)</v>
    <v>20167237</v>
    <v>22642535</v>
    <v>2005</v>
  </rv>
  <rv s="2">
    <v>201</v>
  </rv>
  <rv s="0">
    <v>https://www.bing.com/financeapi/forcetrigger?t=a1zgm7&amp;q=XNAS%3aPANW&amp;form=skydnc</v>
    <v>Learn more on Bing</v>
  </rv>
  <rv s="1">
    <v>en-GB</v>
    <v>a1zgm7</v>
    <v>268435456</v>
    <v>1</v>
    <v>Powered by Refinitiv</v>
    <v>0</v>
    <v>PALO ALTO NETWORKS, INC. (XNAS:PANW)</v>
    <v>2</v>
    <v>3</v>
    <v>Finance</v>
    <v>4</v>
    <v>302.95</v>
    <v>139.57060000000001</v>
    <v>0.95740000000000003</v>
    <v>-6.915</v>
    <v>-2.5964000000000001E-2</v>
    <v>USD</v>
    <v>Palo Alto Networks, Inc. is a global artificial intelligence (AI) cybersecurity company, with a comprehensive portfolio of cybersecurity solutions and platforms across network, cloud, security operations, AI and Identity. Its network security platform includes Secure Access Service Edge (SASE), Next-Generation Firewalls, Cloud Delivered Security Services (CDSS), Prisma AIRS, and Strata Cloud Manager (SCM). It delivers security operations capabilities that unifies standalone Security Information and Event Management (SIEM) tools, endpoint security, security automation, cloud detection and response (CDR), as well as attack surface management (ASM) capabilities on its Cortex platform. It delivers comprehensive security across the cloud application development lifecycle through Cortex Cloud. Its Unit 42 brings together expertise across threat research, incident response, and security consulting to deliver intelligence-driven, response-ready outcomes that help customers reduce cyber risk.</v>
    <v>21491</v>
    <v>Nasdaq Stock Market</v>
    <v>XNAS</v>
    <v>XNAS</v>
    <v>3000 Tannery Way, SANTA CLARA, CA, 95054 US</v>
    <v>266.44</v>
    <v>Software &amp; IT Services</v>
    <v>Stock</v>
    <v>46182.797949687498</v>
    <v>203</v>
    <v>251.20500000000001</v>
    <v>211423225000</v>
    <v>PALO ALTO NETWORKS, INC.</v>
    <v>PALO ALTO NETWORKS, INC.</v>
    <v>265</v>
    <v>213.59819999999999</v>
    <v>266.33</v>
    <v>259.41500000000002</v>
    <v>815000000</v>
    <v>PANW</v>
    <v>PALO ALTO NETWORKS, INC. (XNAS:PANW)</v>
    <v>4763152</v>
    <v>9528069</v>
    <v>2005</v>
  </rv>
  <rv s="2">
    <v>204</v>
  </rv>
  <rv s="0">
    <v>https://www.bing.com/financeapi/forcetrigger?t=c1dbvh&amp;q=XNYS%3aPATH&amp;form=skydnc</v>
    <v>Learn more on Bing</v>
  </rv>
  <rv s="1">
    <v>en-GB</v>
    <v>c1dbvh</v>
    <v>268435456</v>
    <v>1</v>
    <v>Powered by Refinitiv</v>
    <v>0</v>
    <v>UIPATH, INC. (XNYS:PATH)</v>
    <v>2</v>
    <v>3</v>
    <v>Finance</v>
    <v>4</v>
    <v>19.84</v>
    <v>9.2002000000000006</v>
    <v>0.96719999999999995</v>
    <v>-0.55500000000000005</v>
    <v>-4.9687000000000002E-2</v>
    <v>USD</v>
    <v>UiPath, Inc. is focused on agentic automation and orchestration, empowering enterprises to harness the full potential of AI agents to autonomously execute and optimize complex business processes. It is focused on building and managing automations, starting with computer vision technology and user interface automation in its initial robotic process automation offering. Its AI-powered UiPath Platform offers a robust set of capabilities that allows its customers to discover opportunities for automation, automate using a digital workforce that seamlessly collaborates with humans, and operate a mission-critical automation program at scale. It enables employees to quickly build automations for both existing and new processes and to automate a range of actions including logging into applications, moving folders, filling in forms, reading emails and others. Its platform allows users to design and combine UI automations, API integrations and AI-based document understanding in a single workflow.</v>
    <v>3981</v>
    <v>New York Stock Exchange</v>
    <v>XNYS</v>
    <v>XNYS</v>
    <v>One Vanderbilt Avenue, 60th Floor, NEW YORK, NY, 10017 US</v>
    <v>11.239699999999999</v>
    <v>Software &amp; IT Services</v>
    <v>Stock</v>
    <v>46182.797924560153</v>
    <v>206</v>
    <v>10.3</v>
    <v>5499846984</v>
    <v>UIPATH, INC.</v>
    <v>UIPATH, INC.</v>
    <v>11.01</v>
    <v>17.644600000000001</v>
    <v>11.17</v>
    <v>10.615</v>
    <v>518120300</v>
    <v>PATH</v>
    <v>UIPATH, INC. (XNYS:PATH)</v>
    <v>43480238</v>
    <v>41623416</v>
    <v>2015</v>
  </rv>
  <rv s="2">
    <v>207</v>
  </rv>
  <rv s="0">
    <v>https://www.bing.com/financeapi/forcetrigger?t=a1zsjc&amp;q=XNYS%3aPG&amp;form=skydnc</v>
    <v>Learn more on Bing</v>
  </rv>
  <rv s="1">
    <v>en-GB</v>
    <v>a1zsjc</v>
    <v>268435456</v>
    <v>1</v>
    <v>Powered by Refinitiv</v>
    <v>0</v>
    <v>THE PROCTER &amp; GAMBLE COMPANY (XNYS:PG)</v>
    <v>2</v>
    <v>3</v>
    <v>Finance</v>
    <v>4</v>
    <v>167.25</v>
    <v>137.62</v>
    <v>0.379</v>
    <v>3.27</v>
    <v>2.2536E-2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149.4796</v>
    <v>Personal &amp; Household Products &amp; Services</v>
    <v>Stock</v>
    <v>46182.797894363284</v>
    <v>209</v>
    <v>144.53</v>
    <v>345494233630</v>
    <v>THE PROCTER &amp; GAMBLE COMPANY</v>
    <v>THE PROCTER &amp; GAMBLE COMPANY</v>
    <v>144.69</v>
    <v>21.699100000000001</v>
    <v>145.1</v>
    <v>148.37</v>
    <v>2328599000</v>
    <v>PG</v>
    <v>THE PROCTER &amp; GAMBLE COMPANY (XNYS:PG)</v>
    <v>4686996</v>
    <v>8575921</v>
    <v>1905</v>
  </rv>
  <rv s="2">
    <v>210</v>
  </rv>
  <rv s="0">
    <v>https://www.bing.com/financeapi/forcetrigger?t=a1zxr7&amp;q=XNAS%3aPLAB&amp;form=skydnc</v>
    <v>Learn more on Bing</v>
  </rv>
  <rv s="1">
    <v>en-GB</v>
    <v>a1zxr7</v>
    <v>268435456</v>
    <v>1</v>
    <v>Powered by Refinitiv</v>
    <v>0</v>
    <v>PHOTRONICS, INC. (XNAS:PLAB)</v>
    <v>2</v>
    <v>3</v>
    <v>Finance</v>
    <v>4</v>
    <v>56</v>
    <v>18</v>
    <v>1.3845000000000001</v>
    <v>-0.46</v>
    <v>-1.5354000000000001E-2</v>
    <v>USD</v>
    <v>Photronics, Inc. is a manufacturer of photomasks, which are high-precision photographic quartz or glass plates containing microscopic images of electronic circuits. The Company manufactures photomasks, which are used as masters to transfer circuit patterns onto semiconductor wafers and FPD substrates. The photomasks the Company manufactures incorporate circuit designs provided on a confidential basis by its customers. The Company sells its photomasks to semiconductor designers and manufacturers, and manufacturers of FPDs. Photomask technology is also being applied to the fabrication of other higher-performance electronic products such as virtual reality/augmented reality advanced IC packages, photonics, micro-electronic mechanical systems, and certain nanotechnology applications. The Company operates approximately 11 manufacturing facilities, which are located in Taiwan, China, Korea, the United States, and Europe.</v>
    <v>1908</v>
    <v>Nasdaq Stock Market</v>
    <v>XNAS</v>
    <v>XNAS</v>
    <v>15 Secor Rd, BROOKFIELD, CT, 06804-5226 US</v>
    <v>32.049999999999997</v>
    <v>Semiconductors &amp; Semiconductor Equipment</v>
    <v>Stock</v>
    <v>46182.79791693281</v>
    <v>212</v>
    <v>28.12</v>
    <v>1739508505</v>
    <v>PHOTRONICS, INC.</v>
    <v>PHOTRONICS, INC.</v>
    <v>30.68</v>
    <v>10.803900000000001</v>
    <v>29.96</v>
    <v>29.5</v>
    <v>58966390</v>
    <v>PLAB</v>
    <v>PHOTRONICS, INC. (XNAS:PLAB)</v>
    <v>1340617</v>
    <v>1858655</v>
    <v>1969</v>
  </rv>
  <rv s="2">
    <v>213</v>
  </rv>
  <rv s="0">
    <v>https://www.bing.com/financeapi/forcetrigger?t=a2si9c&amp;q=XNAS%3aPOET&amp;form=skydnc</v>
    <v>Learn more on Bing</v>
  </rv>
  <rv s="1">
    <v>en-GB</v>
    <v>a2si9c</v>
    <v>268435456</v>
    <v>1</v>
    <v>Powered by Refinitiv</v>
    <v>0</v>
    <v>POET Technologies Inc. (XNAS:POET)</v>
    <v>2</v>
    <v>3</v>
    <v>Finance</v>
    <v>4</v>
    <v>20.81</v>
    <v>3.87</v>
    <v>0.7359</v>
    <v>-1.5349999999999999</v>
    <v>-0.125</v>
    <v>USD</v>
    <v>POET Technologies Inc. is a design and development company. It offers high-speed optical engines, light source products and custom optical modules to the artificial intelligence (AI) systems market and to hyperscale data centers. Its photonic integration solutions are based on the POET Optical Interposer, a novel, patented platform that allows the integration of electronic and photonic devices into a single chip using wafer-level semiconductor manufacturing techniques. Its Optical Interposer-based products consume less power than comparable products, are smaller in size and are readily scalable to high production volumes. In addition, it has designed and produced novel light source products for chip-to-chip data communication within and between AI servers, the next frontier for solving bandwidth and latency problems in AI systems. Its Optical Interposer platform solves device integration challenges across a range of communication, computing and sensing applications.</v>
    <v>180</v>
    <v>Nasdaq Stock Market</v>
    <v>XNAS</v>
    <v>XNAS</v>
    <v>120 Eglinton Avenue East, Suite 1107, TORONTO, ON, M4P 1E2 CA</v>
    <v>12.47</v>
    <v>Semiconductors &amp; Semiconductor Equipment</v>
    <v>Stock</v>
    <v>46182.797888992965</v>
    <v>215</v>
    <v>10.11</v>
    <v>1854537572</v>
    <v>POET Technologies Inc.</v>
    <v>POET Technologies Inc.</v>
    <v>12.25</v>
    <v>0</v>
    <v>12.28</v>
    <v>10.744999999999999</v>
    <v>172595400</v>
    <v>POET</v>
    <v>POET Technologies Inc. (XNAS:POET)</v>
    <v>35470465</v>
    <v>56870046</v>
    <v>2010</v>
  </rv>
  <rv s="2">
    <v>216</v>
  </rv>
  <rv s="0">
    <v>http://en.wikipedia.org/wiki/Qualcomm</v>
    <v>Wikipedia</v>
  </rv>
  <rv s="3">
    <v>6</v>
    <v>218</v>
  </rv>
  <rv s="4">
    <v>9</v>
    <v>https://www.bing.com/th?id=AMMS_2b1c176dae370ecc0d55a1517537f595&amp;qlt=95</v>
    <v>219</v>
    <v>0</v>
    <v>https://www.bing.com/images/search?form=xlimg&amp;q=qualcomm</v>
    <v>Image of QUALCOMM INCORPORATED</v>
  </rv>
  <rv s="0">
    <v>https://www.bing.com/financeapi/forcetrigger?t=a21k2w&amp;q=XNAS%3aQCOM&amp;form=skydnc</v>
    <v>Learn more on Bing</v>
  </rv>
  <rv s="5">
    <v>en-GB</v>
    <v>a21k2w</v>
    <v>268435456</v>
    <v>1</v>
    <v>Powered by Refinitiv</v>
    <v>5</v>
    <v>QUALCOMM INCORPORATED (XNAS:QCOM)</v>
    <v>7</v>
    <v>8</v>
    <v>Finance</v>
    <v>4</v>
    <v>259.92</v>
    <v>121.99</v>
    <v>1.6220000000000001</v>
    <v>-15.355</v>
    <v>-7.0510000000000003E-2</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219.64</v>
    <v>220</v>
    <v>Semiconductors &amp; Semiconductor Equipment</v>
    <v>Stock</v>
    <v>46182.797949166408</v>
    <v>221</v>
    <v>192.67</v>
    <v>213345410000</v>
    <v>QUALCOMM INCORPORATED</v>
    <v>QUALCOMM INCORPORATED</v>
    <v>216</v>
    <v>22.017399999999999</v>
    <v>217.77</v>
    <v>202.41499999999999</v>
    <v>1054000000</v>
    <v>QCOM</v>
    <v>QUALCOMM INCORPORATED (XNAS:QCOM)</v>
    <v>23382765</v>
    <v>27070102</v>
    <v>1991</v>
  </rv>
  <rv s="2">
    <v>222</v>
  </rv>
  <rv s="0">
    <v>https://www.bing.com/financeapi/forcetrigger?t=a21m4c&amp;q=XNAS%3aQLYS&amp;form=skydnc</v>
    <v>Learn more on Bing</v>
  </rv>
  <rv s="1">
    <v>en-GB</v>
    <v>a21m4c</v>
    <v>268435456</v>
    <v>1</v>
    <v>Powered by Refinitiv</v>
    <v>0</v>
    <v>QUALYS, INC. (XNAS:QLYS)</v>
    <v>2</v>
    <v>3</v>
    <v>Finance</v>
    <v>4</v>
    <v>155.47</v>
    <v>74.510000000000005</v>
    <v>0.6431</v>
    <v>-1.19</v>
    <v>-1.0787999999999999E-2</v>
    <v>USD</v>
    <v>Qualys, Inc. is a provider of a cloud-based platform delivering information technology (IT), security and compliance solutions. The Company’s integrated suite of IT, security and compliance solutions delivered on Qualys' Enterprise TruRisk Platform enables its customers to identify and manage their IT and operational technology (OT) assets, collect, and analyze large amounts of IT security data, recommend, and implement remediation actions and verify the implementation of such actions. The Company provides its solutions through a software-as-a-service model, primarily with renewable annual subscriptions. Its cloud platform offers an integrated suite of solutions that automates the lifecycle of asset discovery and management, security and compliance assessments, and remediation for an organization’s IT infrastructure and assets, whether such infrastructure and assets reside inside the organization, on their network perimeter, on endpoints or in the cloud.</v>
    <v>2683</v>
    <v>Nasdaq Stock Market</v>
    <v>XNAS</v>
    <v>XNAS</v>
    <v>919 E. Hillsdale Blvd., FOSTER CITY, CA, 94404 US</v>
    <v>109.69</v>
    <v>Software &amp; IT Services</v>
    <v>Stock</v>
    <v>46182.797715520312</v>
    <v>224</v>
    <v>107.4</v>
    <v>3842880131</v>
    <v>QUALYS, INC.</v>
    <v>QUALYS, INC.</v>
    <v>108.66</v>
    <v>19.5945</v>
    <v>110.31</v>
    <v>109.12</v>
    <v>35217010</v>
    <v>QLYS</v>
    <v>QUALYS, INC. (XNAS:QLYS)</v>
    <v>398186</v>
    <v>783680</v>
    <v>1999</v>
  </rv>
  <rv s="2">
    <v>225</v>
  </rv>
  <rv s="0">
    <v>https://www.bing.com/financeapi/forcetrigger?t=a21mim&amp;q=XNAS%3aQQQ&amp;form=skydnc</v>
    <v>Learn more on Bing</v>
  </rv>
  <rv s="7">
    <v>en-GB</v>
    <v>a21mim</v>
    <v>268435456</v>
    <v>1</v>
    <v>Powered by Refinitiv</v>
    <v>15</v>
    <v>Invesco QQQ Trust 1 (XNAS:QQQ)</v>
    <v>16</v>
    <v>17</v>
    <v>Finance</v>
    <v>18</v>
    <v>748.65</v>
    <v>523.65</v>
    <v>1.0143</v>
    <v>-9.32</v>
    <v>-1.3015000000000001E-2</v>
    <v>USD</v>
    <v>Nasdaq Stock Market</v>
    <v>XNAS</v>
    <v>1.8E-3</v>
    <v>725.66</v>
    <v>ETF</v>
    <v>46182.797938020311</v>
    <v>227</v>
    <v>686.37</v>
    <v>493982650931.38</v>
    <v>Invesco QQQ Trust 1</v>
    <v>722.7</v>
    <v>716.07</v>
    <v>706.75</v>
    <v>QQQ</v>
    <v>Invesco QQQ Trust 1 (XNAS:QQQ)</v>
    <v>75461447</v>
    <v>41613710</v>
  </rv>
  <rv s="2">
    <v>228</v>
  </rv>
  <rv s="0">
    <v>https://www.bing.com/financeapi/forcetrigger?t=a226jc&amp;q=XNYS%3aROK&amp;form=skydnc</v>
    <v>Learn more on Bing</v>
  </rv>
  <rv s="1">
    <v>en-GB</v>
    <v>a226jc</v>
    <v>268435456</v>
    <v>1</v>
    <v>Powered by Refinitiv</v>
    <v>0</v>
    <v>ROCKWELL AUTOMATION, INC. (XNYS:ROK)</v>
    <v>2</v>
    <v>3</v>
    <v>Finance</v>
    <v>4</v>
    <v>468.11</v>
    <v>305.44009999999997</v>
    <v>1.5491999999999999</v>
    <v>6.95</v>
    <v>1.5387999999999999E-2</v>
    <v>USD</v>
    <v>Rockwell Automation, Inc. is engaged in industrial automation and digital transformation. The Company operates in three segments: Intelligent Devices, Software &amp; Control, and Lifecycle Services. The Intelligent Devices segment portfolio includes power control, motion control, safety, sensing, and industrial components, and micro control and distributed input/output. The Software &amp; Control operating segment contains a comprehensive portfolio of production automation and production operations platforms, including hardware and software. This integrated portfolio is merging information technology (IT) and operational technology (OT), bringing the benefits of the Connected Enterprise to the production system. The Lifecycle Services segment includes consulting services, including cybersecurity and digital transformation strategy and design and professional services, including global automation and information program and project management and delivery capabilities, and connected services.</v>
    <v>26000</v>
    <v>New York Stock Exchange</v>
    <v>XNYS</v>
    <v>XNYS</v>
    <v>1201 South 2Nd Street, MILWAUKEE, WI, 53204 US</v>
    <v>464.64</v>
    <v>Machinery, Equipment &amp; Components</v>
    <v>Stock</v>
    <v>46182.797801191409</v>
    <v>230</v>
    <v>445.51100000000002</v>
    <v>51031323279</v>
    <v>ROCKWELL AUTOMATION, INC.</v>
    <v>ROCKWELL AUTOMATION, INC.</v>
    <v>457.96</v>
    <v>47.6419</v>
    <v>451.66</v>
    <v>458.61</v>
    <v>111273900</v>
    <v>ROK</v>
    <v>ROCKWELL AUTOMATION, INC. (XNYS:ROK)</v>
    <v>274911</v>
    <v>815522</v>
    <v>1996</v>
  </rv>
  <rv s="2">
    <v>231</v>
  </rv>
  <rv s="0">
    <v>https://www.bing.com/financeapi/forcetrigger?t=c1db2w&amp;q=XNAS%3aRXRX&amp;form=skydnc</v>
    <v>Learn more on Bing</v>
  </rv>
  <rv s="1">
    <v>en-GB</v>
    <v>c1db2w</v>
    <v>268435456</v>
    <v>1</v>
    <v>Powered by Refinitiv</v>
    <v>0</v>
    <v>RECURSION PHARMACEUTICALS, INC. (XNAS:RXRX)</v>
    <v>2</v>
    <v>3</v>
    <v>Finance</v>
    <v>4</v>
    <v>7.18</v>
    <v>2.77</v>
    <v>1.0119</v>
    <v>-7.4999999999999997E-2</v>
    <v>-2.2589999999999999E-2</v>
    <v>USD</v>
    <v>Recursion Pharmaceuticals, Inc. is a clinical-stage TechBio company decoding biology and chemistry to industrialize drug discovery. Its Recursion Operating System (OS), a platform built across diverse technologies, enables the Company to map and navigate trillions of biological and chemical relationships within the Recursion Data Universe. The Company integrates physical and digital components as iterative loops of atoms and bits, scaling wet lab biology and chemistry data organized into virtuous cycles with computational tools to rapidly translate silico hypotheses into validated insights and novel chemistry. Its clinical programs in oncology and rare diseases include REC-617, REC-1245, REC-3565 and REC-4539. Its REC-617 is an orally bioavailable, cyclin-dependent kinase 7 (CDK7) inhibitor for the treatment of advanced solid tumors. Its REV102 program targets ectonucleotide pyrophosphatase/phosphodiesterase 1 (ENPP1), an enzyme implicated in the pathogenesis of HPP.</v>
    <v>600</v>
    <v>Nasdaq Stock Market</v>
    <v>XNAS</v>
    <v>XNAS</v>
    <v>41S Rio Grande Street, SALT LAKE CITY, UT, 84101 US</v>
    <v>3.4899</v>
    <v>Biotechnology &amp; Medical Research</v>
    <v>Stock</v>
    <v>46182.797909803128</v>
    <v>233</v>
    <v>3.13</v>
    <v>1719542374</v>
    <v>RECURSION PHARMACEUTICALS, INC.</v>
    <v>RECURSION PHARMACEUTICALS, INC.</v>
    <v>3.33</v>
    <v>0</v>
    <v>3.32</v>
    <v>3.2450000000000001</v>
    <v>529905200</v>
    <v>RXRX</v>
    <v>RECURSION PHARMACEUTICALS, INC. (XNAS:RXRX)</v>
    <v>14532314</v>
    <v>19210821</v>
    <v>2013</v>
  </rv>
  <rv s="2">
    <v>234</v>
  </rv>
  <rv s="0">
    <v>https://www.bing.com/financeapi/forcetrigger?t=c2kadm&amp;q=XNYS%3aS&amp;form=skydnc</v>
    <v>Learn more on Bing</v>
  </rv>
  <rv s="1">
    <v>en-GB</v>
    <v>c2kadm</v>
    <v>268435456</v>
    <v>1</v>
    <v>Powered by Refinitiv</v>
    <v>0</v>
    <v>SENTINELONE, INC. (XNYS:S)</v>
    <v>2</v>
    <v>3</v>
    <v>Finance</v>
    <v>4</v>
    <v>21.4</v>
    <v>11.81</v>
    <v>0.83689999999999998</v>
    <v>-0.495</v>
    <v>-3.1428999999999999E-2</v>
    <v>USD</v>
    <v>SentinelOne, Inc. is an artificial intelligence (AI)-powered cybersecurity provider. The Company’s Singularity Platform delivers AI-powered autonomous threat prevention, detection, response, and exposure management capabilities across an organization’s endpoints, cloud workloads, and identity credentials. The Company’s Singularity platform ingests, correlates, and queries petabytes of structured and unstructured data from a myriad of ever-expanding disparate external and internal sources in real time. Its distributed AI models run both locally on every endpoint and every cloud workload, as well as on its cloud platform. The Company through PingSafe Pte. Ltd. (PingSafe), which is a cloud native application protection platform (CNAPP) to bolster its cloud security product suite. By adding PingSafe’s CNAPP to its Cloud Workload Security (CWS), it provides enterprises with a comprehensive cloud security coverage that drives security, improved posture, and autonomous protection.</v>
    <v>2700</v>
    <v>New York Stock Exchange</v>
    <v>XNYS</v>
    <v>XNYS</v>
    <v>444 Castro Street, Suite 400, MOUNTAIN VIEW, CA, 94041 US</v>
    <v>15.61</v>
    <v>Software &amp; IT Services</v>
    <v>Stock</v>
    <v>46182.797932407033</v>
    <v>236</v>
    <v>14.795</v>
    <v>5229470443</v>
    <v>SENTINELONE, INC.</v>
    <v>SENTINELONE, INC.</v>
    <v>15.49</v>
    <v>0</v>
    <v>15.75</v>
    <v>15.255000000000001</v>
    <v>342803700</v>
    <v>S</v>
    <v>SENTINELONE, INC. (XNYS:S)</v>
    <v>4495933</v>
    <v>9901358</v>
    <v>2013</v>
  </rv>
  <rv s="2">
    <v>237</v>
  </rv>
  <rv s="0">
    <v>https://www.bing.com/financeapi/forcetrigger?t=aftlr7&amp;q=XETR%3aSAP&amp;form=skydnc</v>
    <v>Learn more on Bing</v>
  </rv>
  <rv s="1">
    <v>en-GB</v>
    <v>aftlr7</v>
    <v>268435456</v>
    <v>1</v>
    <v>Powered by Refinitiv</v>
    <v>0</v>
    <v>SAP SE (XETR:SAP)</v>
    <v>2</v>
    <v>19</v>
    <v>Finance</v>
    <v>20</v>
    <v>271.2</v>
    <v>135.44</v>
    <v>1.1022000000000001</v>
    <v>-3.4</v>
    <v>-2.1505E-2</v>
    <v>EUR</v>
    <v>SAP SE (SAP) is a Germany-based application software company. The Company operates through two segments Applications, Technology &amp; Support (ATS) segment and its Core Services segment. The ATS segment covers the Company’s integrated product portfolio and includes cloud subscription offerings, support services, and training solutions. It also encompasses activities related to operating cloud technologies and delivering customer support associated with its software products. The Core Services segment complements the Company’s product portfolio by delivering consulting and premium support services to assist customers in adopting its innovations. Revenue in this segment is primarily derived from professional services and enhanced support offerings, while costs arise from the execution of these service activities.</v>
    <v>111038</v>
    <v>Xetra</v>
    <v>XETR</v>
    <v>XETR</v>
    <v>Dietmar-Hopp-Allee 16, WALLDORF, BADEN-WUERTTEMBERG, 69190 DE</v>
    <v>157.94</v>
    <v>Software &amp; IT Services</v>
    <v>Stock</v>
    <v>46182.786724537036</v>
    <v>239</v>
    <v>153.74</v>
    <v>262224200000</v>
    <v>SAP SE</v>
    <v>SAP SE</v>
    <v>157</v>
    <v>24.653400000000001</v>
    <v>158.1</v>
    <v>154.69999999999999</v>
    <v>1228504000</v>
    <v>SAP</v>
    <v>SAP SE (XETR:SAP)</v>
    <v>2387427</v>
    <v>3211530</v>
    <v>2014</v>
  </rv>
  <rv s="2">
    <v>240</v>
  </rv>
  <rv s="0">
    <v>https://www.bing.com/financeapi/forcetrigger?t=a22n4c&amp;q=XNYS%3aSCHW&amp;form=skydnc</v>
    <v>Learn more on Bing</v>
  </rv>
  <rv s="1">
    <v>en-GB</v>
    <v>a22n4c</v>
    <v>268435456</v>
    <v>1</v>
    <v>Powered by Refinitiv</v>
    <v>0</v>
    <v>THE CHARLES SCHWAB CORPORATION (XNYS:SCHW)</v>
    <v>2</v>
    <v>3</v>
    <v>Finance</v>
    <v>4</v>
    <v>107.5</v>
    <v>83.96</v>
    <v>0.76570000000000005</v>
    <v>0.40989999999999999</v>
    <v>4.6540000000000002E-3</v>
    <v>USD</v>
    <v>The Charles Schwab Corporation is a savings and loan holding company. The Company, through its subsidiaries, engages in wealth management, securities brokerage, banking, asset management, custody, and financial advisory services. The Company provides financial services to individuals and institutional clients through two segments: Investor Services, and Advisor Services. The Investor Services segment provides retail brokerage, investment advisory, and banking and trust services to individual investors, and retirement plan and business services, as well as other corporate brokerage services, to businesses and their employees. The Advisor Services segment provides custodial, trading, banking and trust, and support services to independent registered investment advisors (RIAs), independent retirement advisors, and recordkeepers. Its products and services include brokerage, mutual funds, exchange-traded funds (ETFs), managed investing solutions, alternative investments, banking, and trust.</v>
    <v>33500</v>
    <v>New York Stock Exchange</v>
    <v>XNYS</v>
    <v>XNYS</v>
    <v>3000 Schwab Way, WESTLAKE, TX, 76262 US</v>
    <v>88.59</v>
    <v>Investment Banking &amp; Investment Services</v>
    <v>Stock</v>
    <v>46182.797946284372</v>
    <v>242</v>
    <v>87.18</v>
    <v>153895882236</v>
    <v>THE CHARLES SCHWAB CORPORATION</v>
    <v>THE CHARLES SCHWAB CORPORATION</v>
    <v>88.25</v>
    <v>17.547799999999999</v>
    <v>88.08</v>
    <v>88.489900000000006</v>
    <v>1739135000</v>
    <v>SCHW</v>
    <v>THE CHARLES SCHWAB CORPORATION (XNYS:SCHW)</v>
    <v>7650352</v>
    <v>11158064</v>
    <v>1986</v>
  </rv>
  <rv s="2">
    <v>243</v>
  </rv>
  <rv s="0">
    <v>https://www.bing.com/financeapi/forcetrigger?t=aodipr&amp;q=XLON%3aSGE&amp;form=skydnc</v>
    <v>Learn more on Bing</v>
  </rv>
  <rv s="1">
    <v>en-GB</v>
    <v>aodipr</v>
    <v>268435456</v>
    <v>1</v>
    <v>Powered by Refinitiv</v>
    <v>0</v>
    <v>THE SAGE GROUP PLC. (XLON:SGE)</v>
    <v>2</v>
    <v>27</v>
    <v>Finance</v>
    <v>28</v>
    <v>1335</v>
    <v>771.66</v>
    <v>0.35210000000000002</v>
    <v>-10.8</v>
    <v>-1.2525999999999999E-2</v>
    <v>GBp</v>
    <v>The Sage Group plc is a United Kingdom-based company. It provides accounting, financial, human resources (HR) and payroll technology for small and mid-sized businesses. Its segments include North America, United Kingdom, Ireland, Africa and APAC (UKIA) and Europe. Its products include Sage Accounting, Payroll software, Sage Intacct, Sage X3, Sage HR, Sage People, Sage Earth, Sage Ai and Payments and Banking. Sage Accounting is designed to enable small businesses operating in any industry, and accountants and bookkeepers, to manage customer data, accounts, and people in a single solution. Sage Intacct helps growing mid-sized organizations thrive in with digital world with solutions across accounting, planning, and analytics. Sage People is an HR and people management solution for mid-sized businesses. Sage Payroll is an intuitive solution that helps small businesses to run their payroll reliably and flexibly. Sage People is an HR and people management solution for mid-sized businesses.</v>
    <v>11074</v>
    <v>London Stock Exchange</v>
    <v>XLON</v>
    <v>XLON</v>
    <v>C23-5 &amp; 6 Cobalt Park Way, Cobalt Park, NEWCASTLE UPON TYNE, NORTHUMBERLAND, NE28 9EJ GB</v>
    <v>859.4</v>
    <v>Software &amp; IT Services</v>
    <v>Stock</v>
    <v>46182.659016203703</v>
    <v>245</v>
    <v>838.8</v>
    <v>10571700000</v>
    <v>THE SAGE GROUP PLC.</v>
    <v>THE SAGE GROUP PLC.</v>
    <v>856.4</v>
    <v>0</v>
    <v>862.2</v>
    <v>851.4</v>
    <v>907731600</v>
    <v>SGE</v>
    <v>THE SAGE GROUP PLC. (XLON:SGE)</v>
    <v>2413758</v>
    <v>5144340</v>
    <v>1988</v>
  </rv>
  <rv s="2">
    <v>246</v>
  </rv>
  <rv s="0">
    <v>https://www.bing.com/financeapi/forcetrigger?t=c1db5r&amp;q=XNAS%3aSKYT&amp;form=skydnc</v>
    <v>Learn more on Bing</v>
  </rv>
  <rv s="1">
    <v>en-GB</v>
    <v>c1db5r</v>
    <v>268435456</v>
    <v>1</v>
    <v>Powered by Refinitiv</v>
    <v>0</v>
    <v>SKYWATER TECHNOLOGY, INC. (XNAS:SKYT)</v>
    <v>2</v>
    <v>3</v>
    <v>Finance</v>
    <v>4</v>
    <v>39.93</v>
    <v>8.18</v>
    <v>3.3212000000000002</v>
    <v>-1.55</v>
    <v>-4.2062000000000002E-2</v>
    <v>USD</v>
    <v>SkyWater Technology, Inc. is an independent, pure-play technology foundry that offers advanced semiconductor development and manufacturing services. The Company’s Technology-as-a-Service (TaaS) model leverages a foundation of proprietary technology, engineering know-how capabilities, and microelectronics manufacturing capacity to co-develop process technology intellectual property (IP) with its customers that enable disruptive concepts through its Advanced Technology Services (ATS) for diverse microelectronics (integrated circuits (ICs)) and related micro- and nanotechnology applications. In addition to differentiated technology development services, it supports customers with volume production of ICs for high-growth markets through its Wafer Services. Its Wafer Services include the manufacture of silicon-based analog and mixed-signal ICs for its end markets. Through its ATS model, it specializes in co-creating advanced solutions with its customers that directly serve its end markets.</v>
    <v>1551</v>
    <v>Nasdaq Stock Market</v>
    <v>XNAS</v>
    <v>XNAS</v>
    <v>2401 East 86Th Street, BLOOMINGTON, MN, 55425 US</v>
    <v>37.1</v>
    <v>Semiconductors &amp; Semiconductor Equipment</v>
    <v>Stock</v>
    <v>46182.797841596876</v>
    <v>248</v>
    <v>33.85</v>
    <v>1736922379</v>
    <v>SKYWATER TECHNOLOGY, INC.</v>
    <v>SKYWATER TECHNOLOGY, INC.</v>
    <v>36.909999999999997</v>
    <v>15.131399999999999</v>
    <v>36.85</v>
    <v>35.299999999999997</v>
    <v>49204600</v>
    <v>SKYT</v>
    <v>SKYWATER TECHNOLOGY, INC. (XNAS:SKYT)</v>
    <v>652131</v>
    <v>1190616</v>
    <v>2016</v>
  </rv>
  <rv s="2">
    <v>249</v>
  </rv>
  <rv s="0">
    <v>https://www.bing.com/financeapi/forcetrigger?t=a234r7&amp;q=XNAS%3aSMCI&amp;form=skydnc</v>
    <v>Learn more on Bing</v>
  </rv>
  <rv s="1">
    <v>en-GB</v>
    <v>a234r7</v>
    <v>268435456</v>
    <v>1</v>
    <v>Powered by Refinitiv</v>
    <v>0</v>
    <v>SUPER MICRO COMPUTER, INC. (XNAS:SMCI)</v>
    <v>2</v>
    <v>3</v>
    <v>Finance</v>
    <v>4</v>
    <v>62.357999999999997</v>
    <v>19.48</v>
    <v>1.8836999999999999</v>
    <v>-3.6749000000000001</v>
    <v>-8.3538999999999988E-2</v>
    <v>USD</v>
    <v>Super Micro Computer, Inc. is an application-optimized Total IT solutions provider including server, artificial intelligence (AI) systems, storage, Internet of Things (IoT) devices, switches, software, and support services. Total IT Solutions include complete servers, storage systems, modular blade servers, workstations, full-rack scale solutions, networking devices, server sub-systems, and server management. Its products are designed and manufactured in-house (in the United States, Taiwan, and the Netherlands). The Company's portfolio of Server Building Block Solutions allows customers to optimize for their exact workload and application by selecting from a broad family of systems built from the Company's flexible and reusable building blocks that support a comprehensive set of form factors, processors, memory, GPUs, storage, networking, power, and cooling solutions (air-conditioned, free air cooling or liquid cooling).</v>
    <v>6238</v>
    <v>Nasdaq Stock Market</v>
    <v>XNAS</v>
    <v>XNAS</v>
    <v>980 Rock Avenue, CA, 95131 US</v>
    <v>44.9</v>
    <v>Computers, Phones &amp; Household Electronics</v>
    <v>Stock</v>
    <v>46182.797954895315</v>
    <v>251</v>
    <v>38.04</v>
    <v>24246246969</v>
    <v>SUPER MICRO COMPUTER, INC.</v>
    <v>SUPER MICRO COMPUTER, INC.</v>
    <v>44.87</v>
    <v>21.9665</v>
    <v>43.99</v>
    <v>40.315100000000001</v>
    <v>601418500</v>
    <v>SMCI</v>
    <v>SUPER MICRO COMPUTER, INC. (XNAS:SMCI)</v>
    <v>33987989</v>
    <v>46254626</v>
    <v>2006</v>
  </rv>
  <rv s="2">
    <v>252</v>
  </rv>
  <rv s="0">
    <v>https://www.bing.com/financeapi/forcetrigger?t=a235f2&amp;q=XNAS%3aSMH&amp;form=skydnc</v>
    <v>Learn more on Bing</v>
  </rv>
  <rv s="7">
    <v>en-GB</v>
    <v>a235f2</v>
    <v>268435456</v>
    <v>1</v>
    <v>Powered by Refinitiv</v>
    <v>15</v>
    <v>VanEck:Semiconductor (XNAS:SMH)</v>
    <v>16</v>
    <v>17</v>
    <v>Finance</v>
    <v>18</v>
    <v>642.77</v>
    <v>255</v>
    <v>1.5568</v>
    <v>-11.775</v>
    <v>-1.9684999999999998E-2</v>
    <v>USD</v>
    <v>Nasdaq Stock Market</v>
    <v>XNAS</v>
    <v>3.4999999999999996E-3</v>
    <v>613.69000000000005</v>
    <v>ETF</v>
    <v>46182.79795172422</v>
    <v>254</v>
    <v>554.66</v>
    <v>67822489502.050003</v>
    <v>VanEck:Semiconductor</v>
    <v>609.4</v>
    <v>598.16</v>
    <v>586.38499999999999</v>
    <v>SMH</v>
    <v>VanEck:Semiconductor (XNAS:SMH)</v>
    <v>17052277</v>
    <v>10811909</v>
  </rv>
  <rv s="2">
    <v>255</v>
  </rv>
  <rv s="0">
    <v>https://www.bing.com/financeapi/forcetrigger?t=bx1rdm&amp;q=XNYS%3aSMR&amp;form=skydnc</v>
    <v>Learn more on Bing</v>
  </rv>
  <rv s="1">
    <v>en-GB</v>
    <v>bx1rdm</v>
    <v>268435456</v>
    <v>1</v>
    <v>Powered by Refinitiv</v>
    <v>0</v>
    <v>NUSCALE POWER CORPORATION (XNYS:SMR)</v>
    <v>2</v>
    <v>3</v>
    <v>Finance</v>
    <v>4</v>
    <v>57.42</v>
    <v>8.85</v>
    <v>2.2486999999999999</v>
    <v>-0.76</v>
    <v>-7.0632E-2</v>
    <v>USD</v>
    <v>NuScale Power Corporation is a provider of proprietary advanced small modular reactor (SMR) nuclear technology. The NuScale Power Module, the Company's SMR technology, is a small pressurized water reactor that can generate approximately 77 megawatts of electricity (MWe) or 250 megawatts thermal (gross) and can be scaled to meet customer needs through an array of flexible configurations of up to 924 MWe (12 modules) of output. In addition to the sale of NPMs, it offers a diversified suite of services throughout the development and operating life of the power plant. The Company's suite of services is planned to include licensing support, testing, training, fuel supply services and program management, among others. It serves a range of customers consisting of domestic and international governments, utilities, state-owned enterprises and technology and industrial companies in need of carbon-free, reliable energy.</v>
    <v>428</v>
    <v>New York Stock Exchange</v>
    <v>XNYS</v>
    <v>XNYS</v>
    <v>1100 Ne Circle Blvd., Suite 350, CORVALLIS, OR, 97330 US</v>
    <v>11.019</v>
    <v>Electrical Utilities &amp; IPPs</v>
    <v>Stock</v>
    <v>46182.797938240627</v>
    <v>257</v>
    <v>9.59</v>
    <v>3654812000</v>
    <v>NUSCALE POWER CORPORATION</v>
    <v>NUSCALE POWER CORPORATION</v>
    <v>10.73</v>
    <v>0</v>
    <v>10.76</v>
    <v>10</v>
    <v>365481200</v>
    <v>SMR</v>
    <v>NUSCALE POWER CORPORATION (XNYS:SMR)</v>
    <v>31826711</v>
    <v>35104020</v>
    <v>2022</v>
  </rv>
  <rv s="2">
    <v>258</v>
  </rv>
  <rv s="6">
    <v>en-GB</v>
    <v>cfwqww</v>
    <v>268435456</v>
    <v>1</v>
    <v>Powered by Refinitiv</v>
    <v>14</v>
    <v>SANDISK CORPORATION (XNAS:SNDK)</v>
    <v>11</v>
    <v>3</v>
    <v>Finance</v>
    <v>4</v>
    <v>1861</v>
    <v>39.44</v>
    <v>2.746</v>
    <v>33.65</v>
    <v>2.0493000000000001E-2</v>
    <v>USD</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11000</v>
    <v>Nasdaq Stock Market</v>
    <v>XNAS</v>
    <v>XNAS</v>
    <v>951 Sandisk Drive, MILPITAS, CA, 95035 US</v>
    <v>1802.9999</v>
    <v>Computers, Phones &amp; Household Electronics</v>
    <v>Stock</v>
    <v>46182.797971539061</v>
    <v>1536.0001</v>
    <v>248146673370</v>
    <v>SANDISK CORPORATION</v>
    <v>SANDISK CORPORATION</v>
    <v>1700</v>
    <v>59.240400000000001</v>
    <v>1642</v>
    <v>1675.65</v>
    <v>148089800</v>
    <v>SNDK</v>
    <v>SANDISK CORPORATION (XNAS:SNDK)</v>
    <v>13191666</v>
    <v>13177149</v>
    <v>2024</v>
  </rv>
  <rv s="2">
    <v>260</v>
  </rv>
  <rv s="0">
    <v>https://www.bing.com/financeapi/forcetrigger?t=bvlqa2&amp;q=XNYS%3aSNOW&amp;form=skydnc</v>
    <v>Learn more on Bing</v>
  </rv>
  <rv s="10">
    <v>en-GB</v>
    <v>bvlqa2</v>
    <v>268435456</v>
    <v>1</v>
    <v>Powered by Refinitiv</v>
    <v>23</v>
    <v>SNOWFLAKE INC. (XNYS:SNOW)</v>
    <v>2</v>
    <v>24</v>
    <v>Finance</v>
    <v>4</v>
    <v>284.99</v>
    <v>118.3</v>
    <v>1.3622000000000001</v>
    <v>-3.22</v>
    <v>-1.3391999999999999E-2</v>
    <v>USD</v>
    <v>Snowflake Inc. is an artificial intelligence (AI) data cloud company. The Company provides a platform which powers the AI data cloud, enabling customers to consolidate data into a single source of truth to drive insights, apply AI to solve business problems, build data applications, and share data and data products. Its cloud-native architecture includes three independently scalable but logically integrated layers across storage, compute, and cloud services. The storage layer ingests massive amounts and varieties of structured, semi-structured, and unstructured data. The compute layer provides dedicated resources to enable users to simultaneously access common data sets for many use cases with minimal latency. The cloud services layer enables users to securely use AI within applications, tools, and processes. Its platform supports a wide range of product categories for customers’ business objectives, including analytics, data engineering, AI, applications and collaboration.</v>
    <v>9060</v>
    <v>New York Stock Exchange</v>
    <v>XNYS</v>
    <v>XNYS</v>
    <v>106 East Babcock Street, Suite 3A, BOZEMAN, MT, 59715 US</v>
    <v>245.95</v>
    <v>Software &amp; IT Services</v>
    <v>Stock</v>
    <v>46182.797932661721</v>
    <v>262</v>
    <v>229.6</v>
    <v>60745624254</v>
    <v>SNOWFLAKE INC.</v>
    <v>SNOWFLAKE INC.</v>
    <v>239.24</v>
    <v>240.45</v>
    <v>237.23</v>
    <v>346600000</v>
    <v>SNOW</v>
    <v>SNOWFLAKE INC. (XNYS:SNOW)</v>
    <v>4447620</v>
    <v>10663365</v>
    <v>2012</v>
  </rv>
  <rv s="2">
    <v>263</v>
  </rv>
  <rv s="0">
    <v>https://www.bing.com/financeapi/forcetrigger?t=a239hw&amp;q=XNAS%3aSNPS&amp;form=skydnc</v>
    <v>Learn more on Bing</v>
  </rv>
  <rv s="1">
    <v>en-GB</v>
    <v>a239hw</v>
    <v>268435456</v>
    <v>1</v>
    <v>Powered by Refinitiv</v>
    <v>0</v>
    <v>SYNOPSYS, INC. (XNAS:SNPS)</v>
    <v>2</v>
    <v>3</v>
    <v>Finance</v>
    <v>4</v>
    <v>651.73</v>
    <v>376.18</v>
    <v>1.2060999999999999</v>
    <v>-8.99</v>
    <v>-1.8987E-2</v>
    <v>USD</v>
    <v>Synopsys, Inc. is engaged in providing engineering solutions from silicon to systems, enabling customers to innovate artificial intelligence (AI)-powered products. It delivers silicon design, intellectual property (IP), simulation and analysis solutions, and design services. It supplies mission-critical electronic design automation (EDA) software that engineers use to design and test integrated circuits (ICs). Its Design Automation segment includes its silicon design, verification products and services, Ansys products, system integration products and services, digital, custom and field programmable gate array integrated circuit design software, verification software and hardware products, manufacturing software products and others. Its Design IP segment's portfolio includes logic libraries, embedded memories, interface IP, security IP, and subsystems that serve companies in the semiconductor and electronics industries.</v>
    <v>28000</v>
    <v>Nasdaq Stock Market</v>
    <v>XNAS</v>
    <v>XNAS</v>
    <v>675 Almanor Ave, SUNNYVALE, CA, 94085 US</v>
    <v>487.55</v>
    <v>Software &amp; IT Services</v>
    <v>Stock</v>
    <v>46182.797928483596</v>
    <v>265</v>
    <v>451</v>
    <v>88940220057</v>
    <v>SYNOPSYS, INC.</v>
    <v>SYNOPSYS, INC.</v>
    <v>475.81</v>
    <v>107.64790000000001</v>
    <v>473.48</v>
    <v>464.49</v>
    <v>191479300</v>
    <v>SNPS</v>
    <v>SYNOPSYS, INC. (XNAS:SNPS)</v>
    <v>1319526</v>
    <v>1934008</v>
    <v>1987</v>
  </rv>
  <rv s="2">
    <v>266</v>
  </rv>
  <rv s="0">
    <v>https://www.bing.com/financeapi/forcetrigger?t=c62ogh&amp;q=XNAS%3aSOUN&amp;form=skydnc</v>
    <v>Learn more on Bing</v>
  </rv>
  <rv s="1">
    <v>en-GB</v>
    <v>c62ogh</v>
    <v>268435456</v>
    <v>1</v>
    <v>Powered by Refinitiv</v>
    <v>0</v>
    <v>SOUNDHOUND AI, INC. (XNAS:SOUN)</v>
    <v>2</v>
    <v>3</v>
    <v>Finance</v>
    <v>4</v>
    <v>22.17</v>
    <v>5.83</v>
    <v>2.7942</v>
    <v>-0.48499999999999999</v>
    <v>-6.4753000000000005E-2</v>
    <v>USD</v>
    <v>SoundHound AI, Inc. is engaged in conversational intelligence, offering voice and conversational artificial intelligence (AI) solutions that let businesses offer experiences to their customers. Through its proprietary technology, its voice AI delivers speed and accuracy in numerous languages to product creators and service providers across retail, financial services, healthcare, automotive, smart devices, and restaurants via AI-driven products, such as Smart Answering, Smart Ordering, Dynamic Drive Thru, and Amelia AI Agents. Along with SoundHound Chat AI, a voice assistant with integrated Generative AI, it powers various products and services, and processes billions of interactions each year for businesses. Its developer platform, Houndify, is an open-access platform that allows developers to leverage its Voice AI technology and a library of over 100 content domains, including commonly used domains for points of interest, weather, flight status, sports and more.</v>
    <v>954</v>
    <v>Nasdaq Stock Market</v>
    <v>XNAS</v>
    <v>XNAS</v>
    <v>5400 Betsy Ross Drive, SANTA CLARA, CA, 95054 US</v>
    <v>7.6059999999999999</v>
    <v>Software &amp; IT Services</v>
    <v>Stock</v>
    <v>46182.797943159378</v>
    <v>268</v>
    <v>6.76</v>
    <v>3031551048</v>
    <v>SOUNDHOUND AI, INC.</v>
    <v>SOUNDHOUND AI, INC.</v>
    <v>7.51</v>
    <v>0</v>
    <v>7.49</v>
    <v>7.0049999999999999</v>
    <v>432769600</v>
    <v>SOUN</v>
    <v>SOUNDHOUND AI, INC. (XNAS:SOUN)</v>
    <v>21053544</v>
    <v>29246290</v>
    <v>2020</v>
  </rv>
  <rv s="2">
    <v>269</v>
  </rv>
  <rv s="0">
    <v>https://www.bing.com/financeapi/forcetrigger?t=a23bxm&amp;q=XNAS%3aSOXX&amp;form=skydnc</v>
    <v>Learn more on Bing</v>
  </rv>
  <rv s="7">
    <v>en-GB</v>
    <v>a23bxm</v>
    <v>268435456</v>
    <v>1</v>
    <v>Powered by Refinitiv</v>
    <v>15</v>
    <v>iShares:Semiconductor (XNAS:SOXX)</v>
    <v>16</v>
    <v>17</v>
    <v>Finance</v>
    <v>18</v>
    <v>618.84</v>
    <v>219.13</v>
    <v>1.7036</v>
    <v>-14.77</v>
    <v>-2.5847000000000002E-2</v>
    <v>USD</v>
    <v>Nasdaq Stock Market</v>
    <v>XNAS</v>
    <v>3.4000000000000002E-3</v>
    <v>588.55999999999995</v>
    <v>ETF</v>
    <v>46182.797948923435</v>
    <v>271</v>
    <v>522.24</v>
    <v>38373488686.160004</v>
    <v>iShares:Semiconductor</v>
    <v>584.29999999999995</v>
    <v>571.45000000000005</v>
    <v>556.67999999999995</v>
    <v>SOXX</v>
    <v>iShares:Semiconductor (XNAS:SOXX)</v>
    <v>20909510</v>
    <v>9367969</v>
  </rv>
  <rv s="2">
    <v>272</v>
  </rv>
  <rv s="0">
    <v>https://www.bing.com/financeapi/forcetrigger?t=a23hqh&amp;q=ARCX%3aSPY&amp;form=skydnc</v>
    <v>Learn more on Bing</v>
  </rv>
  <rv s="7">
    <v>en-GB</v>
    <v>a23hqh</v>
    <v>268435456</v>
    <v>1</v>
    <v>Powered by Refinitiv</v>
    <v>15</v>
    <v>State Street SPDR S&amp;P500 (ARCX:SPY)</v>
    <v>16</v>
    <v>17</v>
    <v>Finance</v>
    <v>18</v>
    <v>760.4</v>
    <v>591.89</v>
    <v>0.99870000000000003</v>
    <v>-2.3525</v>
    <v>-3.1819999999999999E-3</v>
    <v>USD</v>
    <v>NYSE Arca</v>
    <v>ARCX</v>
    <v>9.4499999999999998E-4</v>
    <v>746.9</v>
    <v>ETF</v>
    <v>46182.797959860938</v>
    <v>274</v>
    <v>722.59</v>
    <v>783796407176.76001</v>
    <v>State Street SPDR S&amp;P500</v>
    <v>743.51</v>
    <v>739.22</v>
    <v>736.86749999999995</v>
    <v>SPY</v>
    <v>State Street SPDR S&amp;P500 (ARCX:SPY)</v>
    <v>60974325</v>
    <v>46799314</v>
  </rv>
  <rv s="2">
    <v>275</v>
  </rv>
  <rv s="0">
    <v>https://www.bing.com/financeapi/forcetrigger?t=a23tz2&amp;q=XNAS%3aSWKS&amp;form=skydnc</v>
    <v>Learn more on Bing</v>
  </rv>
  <rv s="1">
    <v>en-GB</v>
    <v>a23tz2</v>
    <v>268435456</v>
    <v>1</v>
    <v>Powered by Refinitiv</v>
    <v>0</v>
    <v>SKYWORKS SOLUTIONS, INC. (XNAS:SWKS)</v>
    <v>2</v>
    <v>3</v>
    <v>Finance</v>
    <v>4</v>
    <v>90.9</v>
    <v>51.93</v>
    <v>1.4730000000000001</v>
    <v>-2.3650000000000002</v>
    <v>-3.1379000000000004E-2</v>
    <v>USD</v>
    <v>Skyworks Solutions, Inc. provides wireless networking services. The Company’s analog and mixed-signal semiconductors are connecting people, places, and things, spanning a number of new applications within the aerospace, automotive, broadband, cellular infrastructure, connected home, defense, entertainment and gaming, industrial, medical, smartphone, tablet, and wearable markets. It operates engineering, manufacturing, sales, and service facilities throughout Asia, Europe, and North America. The Company offers a range of products, such as Amplifiers, Attenuators, Diodes, Audio And Radio, Clocks And Timing, Front-End Modules, Isolation, Modems And DAAs, Optocouplers, Power Management, Power Over Ethernet, RF Passives, Television (TV) And Video, Switches, and Voice. Its engineering, marketing, operations, sales, and support facilities are located throughout Asia, Europe, and North America.</v>
    <v>10000</v>
    <v>Nasdaq Stock Market</v>
    <v>XNAS</v>
    <v>XNAS</v>
    <v>5260 California Avenue, IRVINE, CA, 92617 US</v>
    <v>77.27</v>
    <v>Semiconductors &amp; Semiconductor Equipment</v>
    <v>Stock</v>
    <v>46182.797952256253</v>
    <v>277</v>
    <v>69.37</v>
    <v>10980382729</v>
    <v>SKYWORKS SOLUTIONS, INC.</v>
    <v>SKYWORKS SOLUTIONS, INC.</v>
    <v>75.91</v>
    <v>28.842099999999999</v>
    <v>75.37</v>
    <v>73.004999999999995</v>
    <v>150405900</v>
    <v>SWKS</v>
    <v>SKYWORKS SOLUTIONS, INC. (XNAS:SWKS)</v>
    <v>3233830</v>
    <v>5563748</v>
    <v>2002</v>
  </rv>
  <rv s="2">
    <v>278</v>
  </rv>
  <rv s="0">
    <v>https://www.bing.com/financeapi/forcetrigger?t=bzwqf2&amp;q=XNAS%3aSYM&amp;form=skydnc</v>
    <v>Learn more on Bing</v>
  </rv>
  <rv s="1">
    <v>en-GB</v>
    <v>bzwqf2</v>
    <v>268435456</v>
    <v>1</v>
    <v>Powered by Refinitiv</v>
    <v>0</v>
    <v>SYMBOTIC INC. (XNAS:SYM)</v>
    <v>2</v>
    <v>3</v>
    <v>Finance</v>
    <v>4</v>
    <v>87.88</v>
    <v>27.26</v>
    <v>1.9341999999999999</v>
    <v>-1.63</v>
    <v>-3.6769999999999997E-2</v>
    <v>USD</v>
    <v>Symbotic Inc. is an automation technology company, which focuses on reimagining the supply chain with its end-to-end, artificial intelligence-powered robotic and software platform. It is engaged in developing, commercializing, and deploying innovative and comprehensive technology solutions that improve supply chain operations. The Company automates the processing of pallets, cases and individual items in warehouses. Its systems enhance operations at the front end of the supply chain and therefore benefit all supply partners further down the chain, irrespective of fulfillment strategy. Its robotic-based automation systems, which include hardware and essential software, move, store and sort cases and reach in warehouses. Its systems are operational in a number of retailers, including Walmart, wholesale distributors, including C&amp;S Wholesale Grocers, and are being deployed in GreenBox Systems LLC, which is doing business as Exol (Exol), its warehouse-as-a-service joint venture.</v>
    <v>2000</v>
    <v>Nasdaq Stock Market</v>
    <v>XNAS</v>
    <v>XNAS</v>
    <v>200 Research Drive, WILMINGTON, MA, 01887 US</v>
    <v>45.34</v>
    <v>Machinery, Equipment &amp; Components</v>
    <v>Stock</v>
    <v>46182.79797157344</v>
    <v>280</v>
    <v>40.6999</v>
    <v>25735580360</v>
    <v>SYMBOTIC INC.</v>
    <v>SYMBOTIC INC.</v>
    <v>44.9</v>
    <v>0</v>
    <v>44.33</v>
    <v>42.7</v>
    <v>602706800</v>
    <v>SYM</v>
    <v>SYMBOTIC INC. (XNAS:SYM)</v>
    <v>2022201</v>
    <v>2646577</v>
    <v>2022</v>
  </rv>
  <rv s="2">
    <v>281</v>
  </rv>
  <rv s="6">
    <v>en-GB</v>
    <v>cd9jsm</v>
    <v>268435456</v>
    <v>1</v>
    <v>Powered by Refinitiv</v>
    <v>14</v>
    <v>TEMPUS AI, INC. (XNAS:TEM)</v>
    <v>11</v>
    <v>3</v>
    <v>Finance</v>
    <v>4</v>
    <v>104.32</v>
    <v>41.73</v>
    <v>3.121</v>
    <v>1.4999999999999999E-2</v>
    <v>3.0870000000000002E-4</v>
    <v>USD</v>
    <v>Tempus AI, Inc. is a technology company advancing precision medicine through the practical application of artificial intelligence in healthcare. It offers AI-enabled precision medicine solutions to physicians to deliver personalized patient care and, in parallel, facilitates discovery, development and delivery of optimal therapeutics. It provides three product lines: Genomics, Data and artificial intelligence applications (AI). The Genomics product line leverages its laboratories to provide next generation sequencing (NGS) diagnostics, polymerase chain reaction, profiling, molecular genotyping and other anatomic and molecular pathology testing. The data generated in its lab or ingested into its platform is structured and de-identified, prior to commercialization. Its AI Applications is focused on developing and providing diagnostics that are algorithmic in nature, implementing new software as a medical device, and building and deploying clinical decision support tools.</v>
    <v>3800</v>
    <v>Nasdaq Stock Market</v>
    <v>XNAS</v>
    <v>XNAS</v>
    <v>600 West Chicago Avenue, Suite 510, CHICAGO, IL, 60654 US</v>
    <v>49.48</v>
    <v>Biotechnology &amp; Medical Research</v>
    <v>Stock</v>
    <v>46182.797922638281</v>
    <v>45.31</v>
    <v>8727747104</v>
    <v>TEMPUS AI, INC.</v>
    <v>TEMPUS AI, INC.</v>
    <v>48.76</v>
    <v>0</v>
    <v>48.59</v>
    <v>48.604999999999997</v>
    <v>179564800</v>
    <v>TEM</v>
    <v>TEMPUS AI, INC. (XNAS:TEM)</v>
    <v>5720418</v>
    <v>7235499</v>
    <v>2025</v>
  </rv>
  <rv s="2">
    <v>283</v>
  </rv>
  <rv s="0">
    <v>https://www.bing.com/financeapi/forcetrigger?t=a244ur&amp;q=XNAS%3aTER&amp;form=skydnc</v>
    <v>Learn more on Bing</v>
  </rv>
  <rv s="1">
    <v>en-GB</v>
    <v>a244ur</v>
    <v>268435456</v>
    <v>1</v>
    <v>Powered by Refinitiv</v>
    <v>0</v>
    <v>TERADYNE, INC. (XNAS:TER)</v>
    <v>2</v>
    <v>3</v>
    <v>Finance</v>
    <v>4</v>
    <v>422.11</v>
    <v>83</v>
    <v>1.7825</v>
    <v>-8.7550000000000008</v>
    <v>-2.3365999999999998E-2</v>
    <v>USD</v>
    <v>Teradyne, Inc. is a global supplier of automated test equipment and robotics solutions. It designs, develops, manufactures and sells automated test systems and robotics products. Its segment includes Semiconductor Test, Robotics, and Product Test. The Semiconductor Test segment includes operations related to the design, manufacturing and marketing of semiconductor test products and services, inclusive of storage and system level test products. The Robotics segment includes operations related to the design, manufacturing and marketing of collaborative robotic arms and autonomous mobile robots. The Product Test segment includes operations related to the design, manufacturing and marketing of products and services for defense/aerospace test, circuit-board test, wireless test systems, and silicon photonics testing. Its offerings also include defense/aerospace test instrumentation and systems, circuit-board test and inspection (production board test) systems, and wireless test systems.</v>
    <v>6600</v>
    <v>Nasdaq Stock Market</v>
    <v>XNAS</v>
    <v>XNAS</v>
    <v>600 Riverpark Dr, NORTH READING, MA, 01864-2634 US</v>
    <v>395.65</v>
    <v>Semiconductors &amp; Semiconductor Equipment</v>
    <v>Stock</v>
    <v>46182.797951562497</v>
    <v>285</v>
    <v>340.34010000000001</v>
    <v>57284269957</v>
    <v>TERADYNE, INC.</v>
    <v>TERADYNE, INC.</v>
    <v>386.7</v>
    <v>67.726900000000001</v>
    <v>374.69</v>
    <v>365.935</v>
    <v>156542200</v>
    <v>TER</v>
    <v>TERADYNE, INC. (XNAS:TER)</v>
    <v>2421503</v>
    <v>3725780</v>
    <v>1960</v>
  </rv>
  <rv s="2">
    <v>286</v>
  </rv>
  <rv s="0">
    <v>https://www.bing.com/financeapi/forcetrigger?t=a24kar&amp;q=XNAS%3aTSLA&amp;form=skydnc</v>
    <v>Learn more on Bing</v>
  </rv>
  <rv s="1">
    <v>en-GB</v>
    <v>a24kar</v>
    <v>268435456</v>
    <v>1</v>
    <v>Powered by Refinitiv</v>
    <v>0</v>
    <v>TESLA, INC. (XNAS:TSLA)</v>
    <v>2</v>
    <v>3</v>
    <v>Finance</v>
    <v>4</v>
    <v>498.83</v>
    <v>281.85000000000002</v>
    <v>1.8043</v>
    <v>-11.97</v>
    <v>-2.9270000000000001E-2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418.5</v>
    <v>Automobiles &amp; Auto Parts</v>
    <v>Stock</v>
    <v>46182.797978193747</v>
    <v>288</v>
    <v>384.24</v>
    <v>1490947313520</v>
    <v>TESLA, INC.</v>
    <v>TESLA, INC.</v>
    <v>410.88</v>
    <v>362.83699999999999</v>
    <v>408.95</v>
    <v>396.98</v>
    <v>3755724000</v>
    <v>TSLA</v>
    <v>TESLA, INC. (XNAS:TSLA)</v>
    <v>48887293</v>
    <v>50495530</v>
    <v>2024</v>
  </rv>
  <rv s="2">
    <v>289</v>
  </rv>
  <rv s="0">
    <v>https://www.bing.com/financeapi/forcetrigger?t=a24kjc&amp;q=XNYS%3aTSM&amp;form=skydnc</v>
    <v>Learn more on Bing</v>
  </rv>
  <rv s="1">
    <v>en-GB</v>
    <v>a24kjc</v>
    <v>268435456</v>
    <v>1</v>
    <v>Powered by Refinitiv</v>
    <v>0</v>
    <v>Taiwan Semiconductor Manufacturing Company Limited (XNYS:TSM)</v>
    <v>2</v>
    <v>3</v>
    <v>Finance</v>
    <v>4</v>
    <v>450.16359999999997</v>
    <v>205.87</v>
    <v>1.3828</v>
    <v>1.1100000000000001</v>
    <v>2.601E-3</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438.16030000000001</v>
    <v>Semiconductors &amp; Semiconductor Equipment</v>
    <v>Stock</v>
    <v>46182.797986400001</v>
    <v>291</v>
    <v>405.6</v>
    <v>2219344089340</v>
    <v>Taiwan Semiconductor Manufacturing Company Limited</v>
    <v>Taiwan Semiconductor Manufacturing Company Limited</v>
    <v>431.61</v>
    <v>36.204999999999998</v>
    <v>426.8</v>
    <v>427.91</v>
    <v>5186474000</v>
    <v>TSM</v>
    <v>Taiwan Semiconductor Manufacturing Company Limited (XNYS:TSM)</v>
    <v>12944295</v>
    <v>13134837</v>
    <v>1987</v>
  </rv>
  <rv s="2">
    <v>292</v>
  </rv>
  <rv s="0">
    <v>https://www.bing.com/financeapi/forcetrigger?t=a24nyc&amp;q=XNYS%3aTWLO&amp;form=skydnc</v>
    <v>Learn more on Bing</v>
  </rv>
  <rv s="1">
    <v>en-GB</v>
    <v>a24nyc</v>
    <v>268435456</v>
    <v>1</v>
    <v>Powered by Refinitiv</v>
    <v>0</v>
    <v>TWILIO INC. (XNYS:TWLO)</v>
    <v>2</v>
    <v>3</v>
    <v>Finance</v>
    <v>4</v>
    <v>238.47989999999999</v>
    <v>91.84</v>
    <v>1.3371</v>
    <v>-8.8000000000000007</v>
    <v>-4.1403999999999996E-2</v>
    <v>USD</v>
    <v>Twilio Inc. provides a customer engagement platform to build direct, personalized relationships with their customers everywhere in the world. Its platform provides developers with tools to build, scale, and deploy real-time communications within software applications. Its segments include Twilio Communications (Communications) and Twilio Segment (Segment). The Communications segment consists of a variety of application programming interfaces (APIs) and software solutions to optimize communications between its customers and their end users. Its key offerings in its Communications segment include Messaging, Voice, Email (includes Marketing Campaigns), Flex and User Authentication and Identity. Its Twilio Flex is a digital engagement center for the entire customer journey. Twilio Segment is a customer data platform that provides businesses with the tools to harness the power of contextual data by unifying real-time information collected throughout each customer’s journey into a profile.</v>
    <v>5558</v>
    <v>New York Stock Exchange</v>
    <v>XNYS</v>
    <v>XNYS</v>
    <v>101 Spear Street, Fifth Floor, SAN FRANCISCO, CA, 94105 US</v>
    <v>213.89</v>
    <v>Software &amp; IT Services</v>
    <v>Stock</v>
    <v>46182.797982140626</v>
    <v>294</v>
    <v>194.5309</v>
    <v>30922414386</v>
    <v>TWILIO INC.</v>
    <v>TWILIO INC.</v>
    <v>211.11</v>
    <v>316.71069999999997</v>
    <v>212.54</v>
    <v>203.74</v>
    <v>151773900</v>
    <v>TWLO</v>
    <v>TWILIO INC. (XNYS:TWLO)</v>
    <v>1561308</v>
    <v>3121554</v>
    <v>2008</v>
  </rv>
  <rv s="2">
    <v>295</v>
  </rv>
  <rv s="0">
    <v>https://www.bing.com/financeapi/forcetrigger?t=b19hc7&amp;q=XNYS%3aVRT&amp;form=skydnc</v>
    <v>Learn more on Bing</v>
  </rv>
  <rv s="1">
    <v>en-GB</v>
    <v>b19hc7</v>
    <v>268435456</v>
    <v>1</v>
    <v>Powered by Refinitiv</v>
    <v>0</v>
    <v>VERTIV HOLDINGS CO (XNYS:VRT)</v>
    <v>2</v>
    <v>3</v>
    <v>Finance</v>
    <v>4</v>
    <v>379.935</v>
    <v>107.38</v>
    <v>2.0467</v>
    <v>-11.93</v>
    <v>-3.9691000000000004E-2</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307.07</v>
    <v>Machinery, Equipment &amp; Components</v>
    <v>Stock</v>
    <v>46182.797949189066</v>
    <v>297</v>
    <v>276.5</v>
    <v>110869164032</v>
    <v>VERTIV HOLDINGS CO</v>
    <v>VERTIV HOLDINGS CO</v>
    <v>300</v>
    <v>72.468000000000004</v>
    <v>300.57</v>
    <v>288.64</v>
    <v>384108800</v>
    <v>VRT</v>
    <v>VERTIV HOLDINGS CO (XNYS:VRT)</v>
    <v>8475026</v>
    <v>5729579</v>
    <v>2016</v>
  </rv>
  <rv s="2">
    <v>298</v>
  </rv>
  <rv s="0">
    <v>https://www.bing.com/financeapi/forcetrigger?t=a25rkr&amp;q=XNAS%3aWDAY&amp;form=skydnc</v>
    <v>Learn more on Bing</v>
  </rv>
  <rv s="1">
    <v>en-GB</v>
    <v>a25rkr</v>
    <v>268435456</v>
    <v>1</v>
    <v>Powered by Refinitiv</v>
    <v>0</v>
    <v>WORKDAY, INC. (XNAS:WDAY)</v>
    <v>2</v>
    <v>3</v>
    <v>Finance</v>
    <v>4</v>
    <v>257.08999999999997</v>
    <v>110.36</v>
    <v>1.0731999999999999</v>
    <v>-4.6399999999999997</v>
    <v>-3.2275999999999999E-2</v>
    <v>USD</v>
    <v>Workday, Inc. is an enterprise artificial intelligence (AI) platform for managing people, money, and agents. The Company provides organizations with cloud solutions powered by artificial intelligence (AI) to solve business challenges, including supporting and empowering the workforce, managing finances and spending. It offers a suite of cloud-based enterprise solutions that address the needs of the C-suite on a platform designed to be open, extensible, and configurable, allowing integration with other applications and the ability for customers and partners to build custom applications. It offers Workday Build, which is an open developer platform that provides customers and partners with the ability to create and share AI-powered solutions. It serves financial services, government, healthcare, higher education, hospitality, manufacturing, professional and business services, retail, technology and media, and transportation.</v>
    <v>20834</v>
    <v>Nasdaq Stock Market</v>
    <v>XNAS</v>
    <v>XNAS</v>
    <v>6110 Stoneridge Mall Road, PLEASANTON, CA, 94588 US</v>
    <v>140.58000000000001</v>
    <v>Software &amp; IT Services</v>
    <v>Stock</v>
    <v>46182.797925462502</v>
    <v>300</v>
    <v>134.86000000000001</v>
    <v>34362640000</v>
    <v>WORKDAY, INC.</v>
    <v>WORKDAY, INC.</v>
    <v>139.80000000000001</v>
    <v>43.427500000000002</v>
    <v>143.76</v>
    <v>139.12</v>
    <v>247000000</v>
    <v>WDAY</v>
    <v>WORKDAY, INC. (XNAS:WDAY)</v>
    <v>3002545</v>
    <v>5342673</v>
    <v>2012</v>
  </rv>
  <rv s="2">
    <v>301</v>
  </rv>
  <rv s="0">
    <v>https://www.bing.com/financeapi/forcetrigger?t=azbtyc&amp;q=XNAS%3aZS&amp;form=skydnc</v>
    <v>Learn more on Bing</v>
  </rv>
  <rv s="1">
    <v>en-GB</v>
    <v>azbtyc</v>
    <v>268435456</v>
    <v>1</v>
    <v>Powered by Refinitiv</v>
    <v>0</v>
    <v>ZSCALER, INC. (XNAS:ZS)</v>
    <v>2</v>
    <v>3</v>
    <v>Finance</v>
    <v>4</v>
    <v>336.99</v>
    <v>114.625</v>
    <v>0.97489999999999999</v>
    <v>-4.55</v>
    <v>-3.5203000000000005E-2</v>
    <v>USD</v>
    <v>Zscaler, Inc. is a cloud security company. The Company has developed a platform incorporating core security functionalities needed to enable fast and secure access to cloud resources based on identity, context and an organization's policies. Its Zscaler Zero Trust Exchange is a cloud-native platform that securely connects users, devices, applications and workloads, including artificial intelligence (AI) agents, without relying on hub-and-spoke network architecture and firewall-centric security. It delivers its solutions using a software-as-a-service (SaaS) business model and sells subscriptions to customers to access its cloud platform, together with related support services. Its services include Zscaler Internet Access (ZIA), Zscaler Private Access (ZPA), and Zscaler Digital Experience (ZDX). ZIA provides secure access to externally managed applications, including SaaS applications and internet destinations, regardless of device, location or network.</v>
    <v>7923</v>
    <v>Nasdaq Stock Market</v>
    <v>XNAS</v>
    <v>XNAS</v>
    <v>120 Holger Way, SAN JOSE, CA, 95134 US</v>
    <v>130.14490000000001</v>
    <v>Software &amp; IT Services</v>
    <v>Stock</v>
    <v>46182.797968251565</v>
    <v>303</v>
    <v>120.851</v>
    <v>20165174650</v>
    <v>ZSCALER, INC.</v>
    <v>ZSCALER, INC.</v>
    <v>128.11000000000001</v>
    <v>0</v>
    <v>129.25</v>
    <v>124.7</v>
    <v>161709500</v>
    <v>ZS</v>
    <v>ZSCALER, INC. (XNAS:ZS)</v>
    <v>3520353</v>
    <v>6397211</v>
    <v>2007</v>
  </rv>
  <rv s="2">
    <v>304</v>
  </rv>
  <rv s="12">
    <v>en-GB</v>
    <v>avyu4c</v>
    <v>268435456</v>
    <v>1</v>
    <v>Powered by Refinitiv</v>
    <v>29</v>
    <v>USD/GBP</v>
    <v>30</v>
    <v>31</v>
    <v>Finance</v>
    <v>32</v>
    <v>0.76859999999999995</v>
    <v>0.72099999999999997</v>
    <v>-2.562E-3</v>
    <v>-3.418E-3</v>
    <v>GBP</v>
    <v>USD</v>
    <v>0.75009999999999999</v>
    <v>Currency Pair</v>
    <v>46182.797974537039</v>
    <v>0.74570000000000003</v>
    <v>US Dollar/UK Pound Sterling FX Cross Rate</v>
    <v>0.74950000000000006</v>
    <v>0.74950000000000006</v>
    <v>0.74690000000000001</v>
    <v>USDGBP</v>
    <v>USD/GBP</v>
  </rv>
  <rv s="2">
    <v>306</v>
  </rv>
</rvData>
</file>

<file path=xl/richData/rdrichvaluestructure.xml><?xml version="1.0" encoding="utf-8"?>
<rvStructures xmlns="http://schemas.microsoft.com/office/spreadsheetml/2017/richdata" count="1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9">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3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9">
      <v>2</v>
      <v>Name</v>
    </spb>
    <spb s="10">
      <v>1</v>
      <v>1</v>
      <v>1</v>
    </spb>
    <spb s="3">
      <v>11</v>
      <v>2</v>
      <v>2</v>
      <v>11</v>
      <v>3</v>
      <v>11</v>
      <v>11</v>
      <v>11</v>
      <v>4</v>
      <v>4</v>
      <v>5</v>
      <v>12</v>
      <v>11</v>
      <v>11</v>
      <v>11</v>
      <v>4</v>
      <v>7</v>
      <v>8</v>
      <v>9</v>
      <v>4</v>
    </spb>
    <spb s="11">
      <v>from previous close</v>
      <v>from previous close</v>
      <v>GMT</v>
    </spb>
    <spb s="9">
      <v>3</v>
      <v>Name</v>
    </spb>
    <spb s="0">
      <v>4</v>
      <v>Name</v>
      <v>LearnMoreOnLink</v>
    </spb>
    <spb s="12">
      <v>1</v>
      <v>1</v>
      <v>1</v>
    </spb>
    <spb s="13">
      <v>1</v>
      <v>2</v>
      <v>1</v>
      <v>3</v>
      <v>1</v>
      <v>1</v>
      <v>1</v>
      <v>4</v>
      <v>5</v>
      <v>6</v>
      <v>1</v>
      <v>1</v>
      <v>5</v>
      <v>1</v>
      <v>4</v>
      <v>7</v>
      <v>9</v>
    </spb>
    <spb s="14">
      <v>Real-Time Nasdaq Last Sale</v>
      <v>from previous close</v>
      <v>Source: Nasdaq Last Sale</v>
      <v>from previous close</v>
      <v>GMT</v>
    </spb>
    <spb s="3">
      <v>13</v>
      <v>2</v>
      <v>2</v>
      <v>13</v>
      <v>3</v>
      <v>13</v>
      <v>13</v>
      <v>13</v>
      <v>4</v>
      <v>4</v>
      <v>5</v>
      <v>14</v>
      <v>13</v>
      <v>13</v>
      <v>13</v>
      <v>4</v>
      <v>7</v>
      <v>8</v>
      <v>9</v>
      <v>4</v>
    </spb>
    <spb s="15">
      <v>Delayed 15 minutes</v>
      <v>from previous close</v>
      <v>from previous close</v>
      <v>GMT</v>
    </spb>
    <spb s="0">
      <v>5</v>
      <v>Name</v>
      <v>LearnMoreOnLink</v>
    </spb>
    <spb s="16">
      <v>1</v>
      <v>2</v>
      <v>2</v>
      <v>1</v>
      <v>3</v>
      <v>1</v>
      <v>1</v>
      <v>1</v>
      <v>4</v>
      <v>4</v>
      <v>5</v>
      <v>6</v>
      <v>1</v>
      <v>1</v>
      <v>1</v>
      <v>4</v>
      <v>7</v>
      <v>9</v>
      <v>4</v>
    </spb>
    <spb s="0">
      <v>6</v>
      <v>Name</v>
      <v>LearnMoreOnLink</v>
    </spb>
    <spb s="17">
      <v>1</v>
      <v>2</v>
      <v>1</v>
      <v>3</v>
      <v>1</v>
      <v>1</v>
      <v>1</v>
      <v>4</v>
      <v>4</v>
      <v>5</v>
      <v>6</v>
      <v>1</v>
      <v>1</v>
      <v>1</v>
      <v>4</v>
      <v>7</v>
      <v>8</v>
      <v>9</v>
      <v>4</v>
    </spb>
    <spb s="0">
      <v>7</v>
      <v>Name</v>
      <v>LearnMoreOnLink</v>
    </spb>
    <spb s="18">
      <v>13</v>
      <v>2</v>
      <v>2</v>
      <v>13</v>
      <v>3</v>
      <v>13</v>
      <v>13</v>
      <v>13</v>
      <v>4</v>
      <v>4</v>
      <v>5</v>
      <v>6</v>
      <v>13</v>
      <v>4</v>
      <v>7</v>
      <v>8</v>
      <v>9</v>
      <v>4</v>
    </spb>
    <spb s="3">
      <v>15</v>
      <v>2</v>
      <v>2</v>
      <v>15</v>
      <v>3</v>
      <v>15</v>
      <v>15</v>
      <v>15</v>
      <v>4</v>
      <v>4</v>
      <v>5</v>
      <v>16</v>
      <v>15</v>
      <v>15</v>
      <v>15</v>
      <v>4</v>
      <v>7</v>
      <v>8</v>
      <v>9</v>
      <v>4</v>
    </spb>
    <spb s="4">
      <v>Delayed 15 minutes</v>
      <v>from previous close</v>
      <v>from previous close</v>
      <v>LSE</v>
      <v>GMT</v>
    </spb>
    <spb s="9">
      <v>8</v>
      <v>Name</v>
    </spb>
    <spb s="19">
      <v>1</v>
      <v>1</v>
    </spb>
    <spb s="20">
      <v>17</v>
      <v>17</v>
      <v>3</v>
      <v>17</v>
      <v>17</v>
      <v>17</v>
      <v>5</v>
      <v>17</v>
      <v>17</v>
      <v>17</v>
      <v>7</v>
      <v>9</v>
    </spb>
    <spb s="21">
      <v>GMT</v>
    </spb>
  </spbData>
</supportingPropertyBags>
</file>

<file path=xl/richData/rdsupportingpropertybagstructure.xml><?xml version="1.0" encoding="utf-8"?>
<spbStructures xmlns="http://schemas.microsoft.com/office/spreadsheetml/2017/richdata2" count="2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Order" t="spba"/>
    <k n="TitleProperty" t="s"/>
  </s>
  <s>
    <k n="ExchangeID" t="spb"/>
    <k n="UniqueName" t="spb"/>
    <k n="`%ProviderInfo" t="spb"/>
  </s>
  <s>
    <k n="Change" t="s"/>
    <k n="Change (%)"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35" formatCode="_-* #,##0.00_-;\-* #,##0.00_-;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_-[$$-en-CA]* #,##0.00_-;-[$$-en-CA]* #,##0.00_-;_-[$$-en-CA]* "-"??_-;_-@_-</rpv>
    </rSty>
    <rSty dxfid="1">
      <rpv i="0">_-[$$-en-CA]* #,##0_-;-[$$-en-CA]* #,##0_-;_-[$$-en-CA]* "-"_-;_-@_-</rpv>
    </rSty>
    <rSty dxfid="1">
      <rpv i="0">_([$€-x-euro2] * #,##0.00_);_([$€-x-euro2] * (#,##0.00);_([$€-x-euro2] * "-"??_);_(@_)</rpv>
    </rSty>
    <rSty dxfid="1">
      <rpv i="0">_([$€-x-euro2] * #,##0_);_([$€-x-euro2] * (#,##0);_([$€-x-euro2] * "-"_);_(@_)</rpv>
    </rSty>
    <rSty dxfid="7">
      <rpv i="0">_(* #,##0.00_);_(* (#,##0.00);_(* "-"??_);_(@_)</rpv>
    </rSty>
    <rSty dxfid="1">
      <rpv i="0">_-[$£-en-GB]* #,##0_-;-[$£-en-GB]* #,##0_-;_-[$£-en-GB]* "-"_-;_-@_-</rpv>
    </rSty>
    <rSty dxfid="1">
      <rpv i="0">_-[$£-en-GB]* #,##0.00_-;-[$£-en-GB]* #,##0.00_-;_-[$£-en-GB]*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2495E7-9F34-4C1F-83EC-FA45D59FA2BD}" name="tblContributions" displayName="tblContributions" ref="A1:C2" totalsRowShown="0">
  <autoFilter ref="A1:C2" xr:uid="{F82495E7-9F34-4C1F-83EC-FA45D59FA2BD}"/>
  <tableColumns count="3">
    <tableColumn id="1" xr3:uid="{EAE9033F-E950-4D8F-AC60-78CCDA7A0C9E}" name="DATE" dataDxfId="44"/>
    <tableColumn id="2" xr3:uid="{1D40F1FF-D66C-4703-9DEC-93C768793D8F}" name="AMMOUNT"/>
    <tableColumn id="3" xr3:uid="{49855D82-DE07-4257-837D-DD0BE41E988B}"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D2F70-2765-43A5-94CB-6AA0CBF0815D}" name="tblCashReserve" displayName="tblCashReserve" ref="A1:B6" totalsRowShown="0">
  <autoFilter ref="A1:B6" xr:uid="{0F5D2F70-2765-43A5-94CB-6AA0CBF0815D}"/>
  <tableColumns count="2">
    <tableColumn id="1" xr3:uid="{A6D3B042-E459-4CE1-A73F-81F35D8391E9}" name="ACCOUNT"/>
    <tableColumn id="2" xr3:uid="{451C6194-1379-4F9D-9B38-9F46572D49A1}" name="CASH_BAL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3C696C-9B9A-4DF4-8083-AEEF5BFB0BEF}" name="tblPortfolioHistory" displayName="tblPortfolioHistory" ref="A1:G2" insertRow="1" totalsRowShown="0">
  <autoFilter ref="A1:G2" xr:uid="{B03C696C-9B9A-4DF4-8083-AEEF5BFB0BEF}"/>
  <tableColumns count="7">
    <tableColumn id="1" xr3:uid="{6C62F8CF-E181-45AD-8AD9-36C86E98B4C2}" name="snapshot_date"/>
    <tableColumn id="2" xr3:uid="{E6A148BC-2B70-4684-B956-DC22D11A8698}" name="portfolio_value"/>
    <tableColumn id="3" xr3:uid="{E8F619ED-6945-43D0-A62B-D247D8DED2E4}" name="invested_value"/>
    <tableColumn id="4" xr3:uid="{AB349802-7A2A-4AB2-B41A-BE9C4FF30ABB}" name="cash"/>
    <tableColumn id="5" xr3:uid="{440B81BE-0BF2-4664-869C-00A1528E8ED0}" name="cash_contributions"/>
    <tableColumn id="6" xr3:uid="{8C5EF52E-CD35-41F5-A473-3AE9322B6A8D}" name="capital_status"/>
    <tableColumn id="7" xr3:uid="{7CF9F54C-328F-4A6D-9387-8AB88F9C04B8}" name="cash_funding_rati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Watchlist" displayName="tblWatchlist" ref="A1:AE95" totalsRowShown="0">
  <autoFilter ref="A1:AE95" xr:uid="{00000000-0009-0000-0100-000001000000}"/>
  <sortState xmlns:xlrd2="http://schemas.microsoft.com/office/spreadsheetml/2017/richdata2" ref="A2:AE95">
    <sortCondition ref="A1:A95"/>
  </sortState>
  <tableColumns count="31">
    <tableColumn id="1" xr3:uid="{00000000-0010-0000-0000-000001000000}" name="symbol"/>
    <tableColumn id="2" xr3:uid="{00000000-0010-0000-0000-000002000000}" name="StockName"/>
    <tableColumn id="3" xr3:uid="{00000000-0010-0000-0000-000003000000}" name="LastTradeTime" dataDxfId="43">
      <calculatedColumnFormula array="1">_FV(B2,"Last trade time",TRUE)</calculatedColumnFormula>
    </tableColumn>
    <tableColumn id="4" xr3:uid="{00000000-0010-0000-0000-000004000000}" name="TradeCurrency">
      <calculatedColumnFormula array="1">_FV(B2,"Currency")</calculatedColumnFormula>
    </tableColumn>
    <tableColumn id="5" xr3:uid="{00000000-0010-0000-0000-000005000000}" name="StockPrice" dataDxfId="42">
      <calculatedColumnFormula array="1">_FV(B2,"Price")</calculatedColumnFormula>
    </tableColumn>
    <tableColumn id="6" xr3:uid="{00000000-0010-0000-0000-000006000000}" name="ChangePercent" dataDxfId="41">
      <calculatedColumnFormula array="1">_FV(B2,"Change (%)",TRUE)</calculatedColumnFormula>
    </tableColumn>
    <tableColumn id="7" xr3:uid="{00000000-0010-0000-0000-000007000000}" name="Change" dataDxfId="40">
      <calculatedColumnFormula array="1">_FV(B2,"Change")</calculatedColumnFormula>
    </tableColumn>
    <tableColumn id="8" xr3:uid="{00000000-0010-0000-0000-000008000000}" name="P/E" dataDxfId="39">
      <calculatedColumnFormula array="1">_FV(B2,"P/E",TRUE)</calculatedColumnFormula>
    </tableColumn>
    <tableColumn id="9" xr3:uid="{00000000-0010-0000-0000-000009000000}" name="Beta" dataDxfId="38">
      <calculatedColumnFormula array="1">_FV(B2,"Beta")</calculatedColumnFormula>
    </tableColumn>
    <tableColumn id="10" xr3:uid="{00000000-0010-0000-0000-00000A000000}" name="52WkHigh" dataDxfId="37">
      <calculatedColumnFormula array="1">_FV(B2,"52 week high",TRUE)</calculatedColumnFormula>
    </tableColumn>
    <tableColumn id="11" xr3:uid="{00000000-0010-0000-0000-00000B000000}" name="52WkLow" dataDxfId="36">
      <calculatedColumnFormula array="1">_FV(B2,"52 week low",TRUE)</calculatedColumnFormula>
    </tableColumn>
    <tableColumn id="12" xr3:uid="{00000000-0010-0000-0000-00000C000000}" name="DayHigh" dataDxfId="35">
      <calculatedColumnFormula array="1">_FV(B2,"High")</calculatedColumnFormula>
    </tableColumn>
    <tableColumn id="13" xr3:uid="{00000000-0010-0000-0000-00000D000000}" name="DayLow" dataDxfId="34">
      <calculatedColumnFormula array="1">_FV(B2,"Low")</calculatedColumnFormula>
    </tableColumn>
    <tableColumn id="14" xr3:uid="{00000000-0010-0000-0000-00000E000000}" name="Open" dataDxfId="33">
      <calculatedColumnFormula array="1">_FV(B2,"Open")</calculatedColumnFormula>
    </tableColumn>
    <tableColumn id="15" xr3:uid="{00000000-0010-0000-0000-00000F000000}" name="PreviousClose" dataDxfId="32">
      <calculatedColumnFormula array="1">_FV(B2,"Previous close",TRUE)</calculatedColumnFormula>
    </tableColumn>
    <tableColumn id="16" xr3:uid="{00000000-0010-0000-0000-000010000000}" name="Volume" dataDxfId="31">
      <calculatedColumnFormula array="1">_FV(B2,"Volume")</calculatedColumnFormula>
    </tableColumn>
    <tableColumn id="17" xr3:uid="{00000000-0010-0000-0000-000011000000}" name="AverageVolume" dataDxfId="30">
      <calculatedColumnFormula array="1">_FV(B2,"Volume average",TRUE)</calculatedColumnFormula>
    </tableColumn>
    <tableColumn id="18" xr3:uid="{00000000-0010-0000-0000-000012000000}" name="YearIncorported" dataDxfId="29">
      <calculatedColumnFormula array="1">_FV(B2,"Year incorporated",TRUE)</calculatedColumnFormula>
    </tableColumn>
    <tableColumn id="19" xr3:uid="{00000000-0010-0000-0000-000013000000}" name="Employees" dataDxfId="28">
      <calculatedColumnFormula array="1">_FV(B2,"Employees")</calculatedColumnFormula>
    </tableColumn>
    <tableColumn id="20" xr3:uid="{00000000-0010-0000-0000-000014000000}" name="Industry">
      <calculatedColumnFormula array="1">_FV(B2,"Industry")</calculatedColumnFormula>
    </tableColumn>
    <tableColumn id="21" xr3:uid="{00000000-0010-0000-0000-000015000000}" name="MarketCap" dataDxfId="27">
      <calculatedColumnFormula array="1">_FV(B2,"Market cap",TRUE)</calculatedColumnFormula>
    </tableColumn>
    <tableColumn id="22" xr3:uid="{00000000-0010-0000-0000-000016000000}" name="SharesOutstanding" dataDxfId="26">
      <calculatedColumnFormula array="1">_FV(B2,"Shares outstanding",TRUE)</calculatedColumnFormula>
    </tableColumn>
    <tableColumn id="23" xr3:uid="{00000000-0010-0000-0000-000017000000}" name="50SMA"/>
    <tableColumn id="24" xr3:uid="{00000000-0010-0000-0000-000018000000}" name="100SMA"/>
    <tableColumn id="25" xr3:uid="{00000000-0010-0000-0000-000019000000}" name="150SMA"/>
    <tableColumn id="26" xr3:uid="{00000000-0010-0000-0000-00001A000000}" name="200SMA"/>
    <tableColumn id="27" xr3:uid="{00000000-0010-0000-0000-00001B000000}" name="EMA"/>
    <tableColumn id="28" xr3:uid="{00000000-0010-0000-0000-00001C000000}" name="RSI"/>
    <tableColumn id="29" xr3:uid="{00000000-0010-0000-0000-00001D000000}" name="MACD"/>
    <tableColumn id="30" xr3:uid="{00000000-0010-0000-0000-00001E000000}" name="UpperBB"/>
    <tableColumn id="31" xr3:uid="{00000000-0010-0000-0000-00001F000000}" name="LowerBB"/>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9CE96F-8D2C-4A60-A43A-B3602E27FDC2}" name="tblHoldings" displayName="tblHoldings" ref="A1:N10" totalsRowShown="0" headerRowDxfId="25" dataDxfId="24" tableBorderDxfId="23">
  <autoFilter ref="A1:N10" xr:uid="{D39CE96F-8D2C-4A60-A43A-B3602E27FDC2}"/>
  <tableColumns count="14">
    <tableColumn id="1" xr3:uid="{AE3CE10F-629F-414E-93DE-8949C4E58E7D}" name="Symbol" dataDxfId="22"/>
    <tableColumn id="2" xr3:uid="{40700DF4-EB97-4DB9-BA32-772C3F8E34CC}" name="StockName" dataDxfId="21"/>
    <tableColumn id="3" xr3:uid="{BED1527E-0498-4FF1-8E69-ECDB2EB30C25}" name="TradeCurrency" dataDxfId="20">
      <calculatedColumnFormula>_FV(B2,"Currency")</calculatedColumnFormula>
    </tableColumn>
    <tableColumn id="4" xr3:uid="{2218CAC2-8A57-48EA-B1D3-CD7E0BA08ECA}" name="TotalBought" dataDxfId="19"/>
    <tableColumn id="5" xr3:uid="{77160EAF-769F-4559-B5AE-C08A0AC76566}" name="TotalSold" dataDxfId="18"/>
    <tableColumn id="6" xr3:uid="{324BA50C-3A95-4946-A384-C4EF731BD7F3}" name="NetPosition" dataDxfId="17"/>
    <tableColumn id="7" xr3:uid="{24A211AE-9FE1-4D72-98D4-96F240F7DCFD}" name="AvgCost" dataDxfId="16"/>
    <tableColumn id="8" xr3:uid="{E1C8BF44-8957-447E-B3C1-A76A00A619B8}" name="AvgBuyCost" dataDxfId="15">
      <calculatedColumnFormula>F2*G2</calculatedColumnFormula>
    </tableColumn>
    <tableColumn id="9" xr3:uid="{73ED87C5-FB66-49D5-B1EF-4BE32DC6D51F}" name="StockPrice" dataDxfId="14">
      <calculatedColumnFormula>_FV(B2,"Price")</calculatedColumnFormula>
    </tableColumn>
    <tableColumn id="10" xr3:uid="{1E08B942-A194-43F5-A7DB-404EC54A5C02}" name="FXRate" dataDxfId="13">
      <calculatedColumnFormula>Config!$C$1</calculatedColumnFormula>
    </tableColumn>
    <tableColumn id="14" xr3:uid="{42171935-FB72-4173-A1EB-132DDE8201DD}" name="ChangePercent" dataDxfId="12">
      <calculatedColumnFormula array="1">_FV(B2,"Change (%)",TRUE)</calculatedColumnFormula>
    </tableColumn>
    <tableColumn id="11" xr3:uid="{96D6E4C8-F5BD-4A3E-88A2-BF403C882136}" name="MarketValue" dataDxfId="11">
      <calculatedColumnFormula>F2*I2*J2</calculatedColumnFormula>
    </tableColumn>
    <tableColumn id="12" xr3:uid="{E928C781-D2C4-42A1-A053-38B541581BCB}" name="P&amp;L" dataDxfId="10">
      <calculatedColumnFormula>L2-H2</calculatedColumnFormula>
    </tableColumn>
    <tableColumn id="13" xr3:uid="{53BE744D-B35A-4E6B-8EA9-E422203F974E}" name="P&amp;LPercent" dataDxfId="9">
      <calculatedColumnFormula>IF(H2=0,"",M2/H2)</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651C-E5A5-45D7-803C-513765CEA831}">
  <dimension ref="A1:C2"/>
  <sheetViews>
    <sheetView topLeftCell="A1048562" workbookViewId="0">
      <selection activeCell="B6" sqref="B6"/>
    </sheetView>
  </sheetViews>
  <sheetFormatPr defaultRowHeight="14.25"/>
  <cols>
    <col min="1" max="1" width="9.9296875" bestFit="1" customWidth="1"/>
    <col min="2" max="2" width="11.06640625" customWidth="1"/>
  </cols>
  <sheetData>
    <row r="1" spans="1:3">
      <c r="A1" t="s">
        <v>591</v>
      </c>
      <c r="B1" t="s">
        <v>592</v>
      </c>
      <c r="C1" t="s">
        <v>593</v>
      </c>
    </row>
    <row r="2" spans="1:3">
      <c r="A2" s="1">
        <v>46170</v>
      </c>
      <c r="B2">
        <v>33738.31</v>
      </c>
      <c r="C2"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C0B5F-D414-47E1-932F-9CDB777530FB}">
  <dimension ref="A1:I15"/>
  <sheetViews>
    <sheetView workbookViewId="0">
      <selection activeCell="C18" sqref="C18"/>
    </sheetView>
  </sheetViews>
  <sheetFormatPr defaultRowHeight="14.25"/>
  <cols>
    <col min="1" max="1" width="24.19921875" customWidth="1"/>
    <col min="2" max="2" width="14.46484375" bestFit="1" customWidth="1"/>
    <col min="3" max="3" width="14.9296875" bestFit="1" customWidth="1"/>
    <col min="4" max="4" width="15.73046875" bestFit="1" customWidth="1"/>
    <col min="5" max="5" width="14.46484375" customWidth="1"/>
    <col min="7" max="7" width="14.73046875" bestFit="1" customWidth="1"/>
  </cols>
  <sheetData>
    <row r="1" spans="1:9">
      <c r="A1" t="s">
        <v>589</v>
      </c>
      <c r="B1" t="s">
        <v>590</v>
      </c>
      <c r="C1" t="s">
        <v>454</v>
      </c>
      <c r="D1" t="s">
        <v>452</v>
      </c>
      <c r="E1" t="s">
        <v>453</v>
      </c>
    </row>
    <row r="2" spans="1:9">
      <c r="A2" t="s">
        <v>601</v>
      </c>
      <c r="B2">
        <v>20000</v>
      </c>
      <c r="C2">
        <v>11.84</v>
      </c>
      <c r="D2">
        <v>19.654800000000002</v>
      </c>
      <c r="E2">
        <v>27.814800000000002</v>
      </c>
      <c r="G2" t="s">
        <v>457</v>
      </c>
      <c r="H2">
        <v>6833.0347999999976</v>
      </c>
      <c r="I2" s="4">
        <v>0.31723937685273945</v>
      </c>
    </row>
    <row r="3" spans="1:9">
      <c r="A3" t="s">
        <v>602</v>
      </c>
      <c r="B3">
        <v>12000</v>
      </c>
      <c r="C3">
        <v>21527.21</v>
      </c>
      <c r="D3">
        <v>28153.17</v>
      </c>
      <c r="E3">
        <v>28344.269999999997</v>
      </c>
      <c r="G3" t="s">
        <v>455</v>
      </c>
      <c r="H3">
        <v>12199.26</v>
      </c>
    </row>
    <row r="4" spans="1:9">
      <c r="A4" t="s">
        <v>603</v>
      </c>
      <c r="B4">
        <v>12000</v>
      </c>
      <c r="G4" t="s">
        <v>456</v>
      </c>
      <c r="H4">
        <f>+E5</f>
        <v>28372.084799999997</v>
      </c>
    </row>
    <row r="5" spans="1:9">
      <c r="A5" t="s">
        <v>604</v>
      </c>
      <c r="B5">
        <v>21539.08</v>
      </c>
      <c r="C5">
        <v>21539.05</v>
      </c>
      <c r="D5">
        <v>28172.824799999999</v>
      </c>
      <c r="E5">
        <v>28372.084799999997</v>
      </c>
      <c r="G5" t="s">
        <v>458</v>
      </c>
      <c r="H5" t="s">
        <v>459</v>
      </c>
      <c r="I5" t="s">
        <v>459</v>
      </c>
    </row>
    <row r="6" spans="1:9">
      <c r="A6" t="s">
        <v>605</v>
      </c>
      <c r="B6">
        <v>70</v>
      </c>
    </row>
    <row r="7" spans="1:9">
      <c r="D7">
        <f>+C5/D9</f>
        <v>0.64220753819126819</v>
      </c>
      <c r="G7" t="s">
        <v>460</v>
      </c>
      <c r="H7">
        <f>+H4+H3</f>
        <v>40571.344799999999</v>
      </c>
    </row>
    <row r="9" spans="1:9">
      <c r="A9" s="33" t="s">
        <v>445</v>
      </c>
      <c r="B9" s="34">
        <v>8.16</v>
      </c>
      <c r="C9">
        <f>SUM(B7:B7)</f>
        <v>0</v>
      </c>
      <c r="D9">
        <f>+B5+B4</f>
        <v>33539.08</v>
      </c>
    </row>
    <row r="10" spans="1:9">
      <c r="A10" s="32" t="s">
        <v>321</v>
      </c>
      <c r="B10" s="35">
        <v>191.1</v>
      </c>
    </row>
    <row r="11" spans="1:9">
      <c r="A11" t="s">
        <v>595</v>
      </c>
      <c r="B11">
        <v>10000</v>
      </c>
      <c r="F11" t="s">
        <v>596</v>
      </c>
    </row>
    <row r="12" spans="1:9">
      <c r="B12">
        <f>SUM(B9:B11)</f>
        <v>10199.26</v>
      </c>
      <c r="C12">
        <f>SUM(C2:C3)</f>
        <v>21539.05</v>
      </c>
      <c r="F12" t="s">
        <v>597</v>
      </c>
    </row>
    <row r="13" spans="1:9">
      <c r="C13">
        <f>SUM(B7:B7)</f>
        <v>0</v>
      </c>
      <c r="D13">
        <f>+SUM(C12:C13)</f>
        <v>21539.05</v>
      </c>
      <c r="E13">
        <f>+C5/D13</f>
        <v>1</v>
      </c>
      <c r="F13" t="s">
        <v>598</v>
      </c>
    </row>
    <row r="14" spans="1:9">
      <c r="F14" t="s">
        <v>599</v>
      </c>
    </row>
    <row r="15" spans="1:9">
      <c r="F15" t="s">
        <v>600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workbookViewId="0">
      <selection activeCell="J6" sqref="J6"/>
    </sheetView>
  </sheetViews>
  <sheetFormatPr defaultRowHeight="14.25"/>
  <cols>
    <col min="1" max="1" width="10.46484375" style="1" bestFit="1" customWidth="1"/>
    <col min="2" max="2" width="10.46484375" bestFit="1" customWidth="1"/>
    <col min="7" max="7" width="11.73046875" bestFit="1" customWidth="1"/>
    <col min="9" max="9" width="19.33203125" bestFit="1" customWidth="1"/>
    <col min="10" max="10" width="17.9296875" bestFit="1" customWidth="1"/>
  </cols>
  <sheetData>
    <row r="1" spans="1:10">
      <c r="A1" t="s">
        <v>82</v>
      </c>
      <c r="B1" t="s">
        <v>83</v>
      </c>
      <c r="C1" t="s">
        <v>3</v>
      </c>
      <c r="D1" t="s">
        <v>84</v>
      </c>
      <c r="E1" t="s">
        <v>85</v>
      </c>
      <c r="F1" t="s">
        <v>4</v>
      </c>
      <c r="G1" t="s">
        <v>86</v>
      </c>
      <c r="H1" t="s">
        <v>87</v>
      </c>
      <c r="I1" t="s">
        <v>88</v>
      </c>
      <c r="J1" t="s">
        <v>89</v>
      </c>
    </row>
    <row r="2" spans="1:10">
      <c r="A2" s="11">
        <v>45716</v>
      </c>
      <c r="B2" t="s">
        <v>321</v>
      </c>
      <c r="C2" t="s">
        <v>41</v>
      </c>
      <c r="D2" t="s">
        <v>90</v>
      </c>
      <c r="E2">
        <v>6</v>
      </c>
      <c r="F2" t="s">
        <v>12</v>
      </c>
      <c r="G2">
        <v>655.37890625</v>
      </c>
      <c r="H2">
        <v>47.51</v>
      </c>
      <c r="I2">
        <f>1/1.2413</f>
        <v>0.80560702489325697</v>
      </c>
    </row>
    <row r="3" spans="1:10">
      <c r="A3" s="11">
        <v>45716</v>
      </c>
      <c r="B3" t="s">
        <v>321</v>
      </c>
      <c r="C3" t="s">
        <v>60</v>
      </c>
      <c r="D3" t="s">
        <v>90</v>
      </c>
      <c r="E3">
        <v>44</v>
      </c>
      <c r="F3" t="s">
        <v>12</v>
      </c>
      <c r="G3">
        <v>48.313999180000003</v>
      </c>
      <c r="H3">
        <v>25.65</v>
      </c>
      <c r="I3">
        <f>1/1.2421</f>
        <v>0.80508815715320825</v>
      </c>
    </row>
    <row r="4" spans="1:10">
      <c r="A4" s="11">
        <v>45859</v>
      </c>
      <c r="B4" t="s">
        <v>321</v>
      </c>
      <c r="C4" t="s">
        <v>59</v>
      </c>
      <c r="D4" t="s">
        <v>90</v>
      </c>
      <c r="E4">
        <v>18</v>
      </c>
      <c r="F4" t="s">
        <v>12</v>
      </c>
      <c r="G4">
        <v>172.28919983</v>
      </c>
      <c r="H4">
        <v>34.909999999999997</v>
      </c>
      <c r="I4">
        <f>1/1.3296</f>
        <v>0.75210589651022874</v>
      </c>
    </row>
    <row r="5" spans="1:10">
      <c r="A5" s="11">
        <v>46059</v>
      </c>
      <c r="B5" t="s">
        <v>321</v>
      </c>
      <c r="C5" t="s">
        <v>63</v>
      </c>
      <c r="D5" t="s">
        <v>90</v>
      </c>
      <c r="E5">
        <v>12</v>
      </c>
      <c r="F5" t="s">
        <v>12</v>
      </c>
      <c r="G5">
        <v>207.69039917000001</v>
      </c>
      <c r="H5">
        <v>27.87</v>
      </c>
      <c r="I5">
        <f>1/1.3403</f>
        <v>0.74610161904051331</v>
      </c>
      <c r="J5">
        <f>+G5*E5*I5+H5</f>
        <v>1887.3677169588898</v>
      </c>
    </row>
    <row r="6" spans="1:10">
      <c r="A6" s="11">
        <v>46059</v>
      </c>
      <c r="B6" t="s">
        <v>321</v>
      </c>
      <c r="C6" t="s">
        <v>70</v>
      </c>
      <c r="D6" t="s">
        <v>90</v>
      </c>
      <c r="E6">
        <v>31</v>
      </c>
      <c r="F6" t="s">
        <v>12</v>
      </c>
      <c r="G6">
        <v>89.727600100000004</v>
      </c>
      <c r="H6">
        <v>31.08</v>
      </c>
      <c r="I6">
        <f>1/1.3411</f>
        <v>0.74565655059279701</v>
      </c>
    </row>
    <row r="7" spans="1:10">
      <c r="A7" s="11">
        <v>46059</v>
      </c>
      <c r="B7" t="s">
        <v>321</v>
      </c>
      <c r="C7" t="s">
        <v>60</v>
      </c>
      <c r="D7" t="s">
        <v>90</v>
      </c>
      <c r="E7">
        <v>31</v>
      </c>
      <c r="F7" t="s">
        <v>12</v>
      </c>
      <c r="G7">
        <v>83.737098689999996</v>
      </c>
      <c r="H7">
        <v>29.02</v>
      </c>
      <c r="I7">
        <f>1/1.3046</f>
        <v>0.7665184730952016</v>
      </c>
    </row>
    <row r="8" spans="1:10">
      <c r="A8" s="11">
        <v>46108</v>
      </c>
      <c r="B8" t="s">
        <v>321</v>
      </c>
      <c r="C8" t="s">
        <v>64</v>
      </c>
      <c r="D8" t="s">
        <v>90</v>
      </c>
      <c r="E8">
        <v>11</v>
      </c>
      <c r="F8" t="s">
        <v>12</v>
      </c>
      <c r="G8">
        <v>360.39498901000002</v>
      </c>
      <c r="H8">
        <v>45.5</v>
      </c>
      <c r="I8">
        <f>1/1.3068</f>
        <v>0.76522803795531069</v>
      </c>
    </row>
    <row r="9" spans="1:10">
      <c r="A9" s="11">
        <v>46119</v>
      </c>
      <c r="B9" t="s">
        <v>321</v>
      </c>
      <c r="C9" t="s">
        <v>64</v>
      </c>
      <c r="D9" t="s">
        <v>90</v>
      </c>
      <c r="E9">
        <v>7</v>
      </c>
      <c r="F9" t="s">
        <v>12</v>
      </c>
      <c r="G9">
        <v>339.65560913000002</v>
      </c>
      <c r="H9" s="50">
        <v>27.33</v>
      </c>
      <c r="I9">
        <f>1/1.3059</f>
        <v>0.76575541771958033</v>
      </c>
    </row>
    <row r="10" spans="1:10">
      <c r="A10" s="11">
        <v>46125</v>
      </c>
      <c r="B10" t="s">
        <v>321</v>
      </c>
      <c r="C10" t="s">
        <v>76</v>
      </c>
      <c r="D10" t="s">
        <v>90</v>
      </c>
      <c r="E10">
        <v>80</v>
      </c>
      <c r="F10" t="s">
        <v>12</v>
      </c>
      <c r="G10">
        <v>11.7038002</v>
      </c>
      <c r="H10">
        <v>8.19</v>
      </c>
      <c r="I10">
        <f>1/1.3275</f>
        <v>0.75329566854990593</v>
      </c>
    </row>
    <row r="11" spans="1:10">
      <c r="A11" s="11">
        <v>46125</v>
      </c>
      <c r="B11" t="s">
        <v>321</v>
      </c>
      <c r="C11" t="s">
        <v>76</v>
      </c>
      <c r="D11" t="s">
        <v>90</v>
      </c>
      <c r="E11">
        <v>44</v>
      </c>
      <c r="F11" t="s">
        <v>12</v>
      </c>
      <c r="G11">
        <v>11.7038002</v>
      </c>
      <c r="H11">
        <v>8.19</v>
      </c>
      <c r="I11">
        <f>1/1.3275</f>
        <v>0.75329566854990593</v>
      </c>
    </row>
    <row r="12" spans="1:10">
      <c r="A12" s="11">
        <v>46125</v>
      </c>
      <c r="B12" t="s">
        <v>321</v>
      </c>
      <c r="C12" t="s">
        <v>80</v>
      </c>
      <c r="D12" t="s">
        <v>90</v>
      </c>
      <c r="E12">
        <v>444</v>
      </c>
      <c r="F12" t="s">
        <v>12</v>
      </c>
      <c r="G12">
        <v>7.4671001400000003</v>
      </c>
      <c r="H12">
        <v>37.450000000000003</v>
      </c>
      <c r="I12">
        <f>1/1.3272</f>
        <v>0.75346594333936112</v>
      </c>
    </row>
    <row r="13" spans="1:10">
      <c r="A13" s="11">
        <v>46139</v>
      </c>
      <c r="B13" t="s">
        <v>91</v>
      </c>
      <c r="C13" t="s">
        <v>80</v>
      </c>
      <c r="D13" t="s">
        <v>90</v>
      </c>
      <c r="E13">
        <v>2</v>
      </c>
      <c r="F13" t="s">
        <v>12</v>
      </c>
      <c r="G13">
        <v>7.93</v>
      </c>
      <c r="H13">
        <v>0.12</v>
      </c>
      <c r="I13">
        <f>1/1.353</f>
        <v>0.73909830007390986</v>
      </c>
    </row>
    <row r="16" spans="1:10">
      <c r="E16">
        <f>+E5*G5*I5</f>
        <v>1859.4977169588899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A197-83AF-4FAF-8918-48B07A372EC8}">
  <dimension ref="A1:G1"/>
  <sheetViews>
    <sheetView workbookViewId="0">
      <selection activeCell="D6" sqref="D6"/>
    </sheetView>
  </sheetViews>
  <sheetFormatPr defaultRowHeight="14.25"/>
  <cols>
    <col min="1" max="1" width="14.19921875" customWidth="1"/>
    <col min="2" max="2" width="14.59765625" customWidth="1"/>
    <col min="3" max="3" width="14.53125" customWidth="1"/>
    <col min="4" max="4" width="6.33203125" customWidth="1"/>
    <col min="5" max="5" width="17.73046875" customWidth="1"/>
    <col min="6" max="6" width="13.6640625" customWidth="1"/>
    <col min="7" max="7" width="17.53125" customWidth="1"/>
    <col min="8" max="8" width="15.59765625" bestFit="1" customWidth="1"/>
  </cols>
  <sheetData>
    <row r="1" spans="1:7">
      <c r="A1" t="s">
        <v>606</v>
      </c>
      <c r="B1" t="s">
        <v>607</v>
      </c>
      <c r="C1" t="s">
        <v>608</v>
      </c>
      <c r="D1" t="s">
        <v>601</v>
      </c>
      <c r="E1" t="s">
        <v>604</v>
      </c>
      <c r="F1" t="s">
        <v>609</v>
      </c>
      <c r="G1" t="s">
        <v>610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5"/>
  <sheetViews>
    <sheetView topLeftCell="A22" workbookViewId="0">
      <pane xSplit="1" topLeftCell="B1" activePane="topRight" state="frozen"/>
      <selection pane="topRight" activeCell="A17" sqref="A17:XFD17"/>
    </sheetView>
  </sheetViews>
  <sheetFormatPr defaultRowHeight="14.25"/>
  <cols>
    <col min="1" max="1" width="9.86328125" customWidth="1"/>
    <col min="2" max="2" width="28.06640625" customWidth="1"/>
    <col min="3" max="3" width="16.33203125" customWidth="1"/>
    <col min="4" max="4" width="16.6640625" bestFit="1" customWidth="1"/>
    <col min="5" max="5" width="12.6640625" customWidth="1"/>
    <col min="6" max="6" width="17" customWidth="1"/>
    <col min="7" max="7" width="10" customWidth="1"/>
    <col min="10" max="10" width="12.1328125" customWidth="1"/>
    <col min="11" max="11" width="11.53125" customWidth="1"/>
    <col min="12" max="12" width="10.6640625" customWidth="1"/>
    <col min="13" max="13" width="10.1328125" customWidth="1"/>
    <col min="15" max="15" width="16.33203125" customWidth="1"/>
    <col min="16" max="16" width="11.1328125" bestFit="1" customWidth="1"/>
    <col min="17" max="17" width="17.1328125" customWidth="1"/>
    <col min="18" max="18" width="17.6640625" customWidth="1"/>
    <col min="19" max="19" width="13.1328125" customWidth="1"/>
    <col min="20" max="20" width="43.33203125" bestFit="1" customWidth="1"/>
    <col min="21" max="21" width="16.46484375" bestFit="1" customWidth="1"/>
    <col min="22" max="22" width="20.33203125" customWidth="1"/>
    <col min="24" max="26" width="10" customWidth="1"/>
    <col min="30" max="31" width="10.86328125" customWidth="1"/>
  </cols>
  <sheetData>
    <row r="1" spans="1:31">
      <c r="A1" t="s">
        <v>3</v>
      </c>
      <c r="B1" t="s">
        <v>92</v>
      </c>
      <c r="C1" t="s">
        <v>93</v>
      </c>
      <c r="D1" t="s">
        <v>94</v>
      </c>
      <c r="E1" t="s">
        <v>95</v>
      </c>
      <c r="F1" t="s">
        <v>96</v>
      </c>
      <c r="G1" t="s">
        <v>97</v>
      </c>
      <c r="H1" t="s">
        <v>98</v>
      </c>
      <c r="I1" t="s">
        <v>99</v>
      </c>
      <c r="J1" t="s">
        <v>100</v>
      </c>
      <c r="K1" t="s">
        <v>101</v>
      </c>
      <c r="L1" t="s">
        <v>102</v>
      </c>
      <c r="M1" t="s">
        <v>103</v>
      </c>
      <c r="N1" t="s">
        <v>104</v>
      </c>
      <c r="O1" t="s">
        <v>105</v>
      </c>
      <c r="P1" t="s">
        <v>106</v>
      </c>
      <c r="Q1" t="s">
        <v>107</v>
      </c>
      <c r="R1" t="s">
        <v>108</v>
      </c>
      <c r="S1" t="s">
        <v>109</v>
      </c>
      <c r="T1" t="s">
        <v>110</v>
      </c>
      <c r="U1" t="s">
        <v>111</v>
      </c>
      <c r="V1" t="s">
        <v>112</v>
      </c>
      <c r="W1" t="s">
        <v>113</v>
      </c>
      <c r="X1" t="s">
        <v>114</v>
      </c>
      <c r="Y1" t="s">
        <v>115</v>
      </c>
      <c r="Z1" t="s">
        <v>116</v>
      </c>
      <c r="AA1" t="s">
        <v>117</v>
      </c>
      <c r="AB1" t="s">
        <v>118</v>
      </c>
      <c r="AC1" t="s">
        <v>119</v>
      </c>
      <c r="AD1" t="s">
        <v>120</v>
      </c>
      <c r="AE1" t="s">
        <v>121</v>
      </c>
    </row>
    <row r="2" spans="1:31">
      <c r="A2" t="s">
        <v>73</v>
      </c>
      <c r="B2" t="e" vm="1">
        <v>#VALUE!</v>
      </c>
      <c r="C2" s="2">
        <f t="array" aca="1" ref="C2" ca="1">_FV(B2,"Last trade time",TRUE)</f>
        <v>46182.797805231246</v>
      </c>
      <c r="D2" t="str">
        <f t="array" aca="1" ref="D2" ca="1">_FV(B2,"Currency")</f>
        <v>USD</v>
      </c>
      <c r="E2" s="3">
        <f t="array" aca="1" ref="E2" ca="1">_FV(B2,"Price")</f>
        <v>167.33</v>
      </c>
      <c r="F2" s="4">
        <f t="array" aca="1" ref="F2" ca="1">_FV(B2,"Change (%)",TRUE)</f>
        <v>-0.14905399999999999</v>
      </c>
      <c r="G2" s="5">
        <f t="array" aca="1" ref="G2" ca="1">_FV(B2,"Change")</f>
        <v>-29.31</v>
      </c>
      <c r="H2" s="6">
        <f t="array" aca="1" ref="H2" ca="1">_FV(B2,"P/E",TRUE)</f>
        <v>0</v>
      </c>
      <c r="I2" s="6">
        <f t="array" aca="1" ref="I2" ca="1">_FV(B2,"Beta")</f>
        <v>3.6015999999999999</v>
      </c>
      <c r="J2" s="3">
        <f t="array" aca="1" ref="J2" ca="1">_FV(B2,"52 week high",TRUE)</f>
        <v>233.67</v>
      </c>
      <c r="K2" s="3">
        <f t="array" aca="1" ref="K2" ca="1">_FV(B2,"52 week low",TRUE)</f>
        <v>15.29</v>
      </c>
      <c r="L2" s="3">
        <f t="array" aca="1" ref="L2" ca="1">_FV(B2,"High")</f>
        <v>207.6</v>
      </c>
      <c r="M2" s="3">
        <f t="array" aca="1" ref="M2" ca="1">_FV(B2,"Low")</f>
        <v>160.87</v>
      </c>
      <c r="N2" s="3">
        <f t="array" aca="1" ref="N2" ca="1">_FV(B2,"Open")</f>
        <v>203.49</v>
      </c>
      <c r="O2" s="3">
        <f t="array" aca="1" ref="O2" ca="1">_FV(B2,"Previous close",TRUE)</f>
        <v>196.64</v>
      </c>
      <c r="P2" s="7">
        <f t="array" aca="1" ref="P2" ca="1">_FV(B2,"Volume")</f>
        <v>21509564</v>
      </c>
      <c r="Q2" s="7">
        <f t="array" aca="1" ref="Q2" ca="1">_FV(B2,"Volume average",TRUE)</f>
        <v>12730889</v>
      </c>
      <c r="R2" s="8">
        <f t="array" aca="1" ref="R2" ca="1">_FV(B2,"Year incorporated",TRUE)</f>
        <v>2013</v>
      </c>
      <c r="S2" s="7">
        <f t="array" aca="1" ref="S2" ca="1">_FV(B2,"Employees")</f>
        <v>4691</v>
      </c>
      <c r="T2" t="str">
        <f t="array" aca="1" ref="T2" ca="1">_FV(B2,"Industry")</f>
        <v>Electronic Equipment &amp; Parts</v>
      </c>
      <c r="U2" s="7">
        <f t="array" aca="1" ref="U2" ca="1">_FV(B2,"Market cap",TRUE)</f>
        <v>13427022704</v>
      </c>
      <c r="V2" s="7">
        <f t="array" aca="1" ref="V2" ca="1">_FV(B2,"Shares outstanding",TRUE)</f>
        <v>80242770</v>
      </c>
    </row>
    <row r="3" spans="1:31">
      <c r="A3" t="s">
        <v>35</v>
      </c>
      <c r="B3" t="e" vm="2">
        <v>#VALUE!</v>
      </c>
      <c r="C3" s="2">
        <f t="array" aca="1" ref="C3" ca="1">_FV(B3,"Last trade time",TRUE)</f>
        <v>46182.797831539065</v>
      </c>
      <c r="D3" t="str">
        <f t="array" aca="1" ref="D3" ca="1">_FV(B3,"Currency")</f>
        <v>USD</v>
      </c>
      <c r="E3" s="3">
        <f t="array" aca="1" ref="E3" ca="1">_FV(B3,"Price")</f>
        <v>291.74</v>
      </c>
      <c r="F3" s="4">
        <f t="array" aca="1" ref="F3" ca="1">_FV(B3,"Change (%)",TRUE)</f>
        <v>-3.2500000000000001E-2</v>
      </c>
      <c r="G3" s="5">
        <f t="array" aca="1" ref="G3" ca="1">_FV(B3,"Change")</f>
        <v>-9.8000000000000007</v>
      </c>
      <c r="H3" s="6">
        <f t="array" aca="1" ref="H3" ca="1">_FV(B3,"P/E",TRUE)</f>
        <v>35.432000000000002</v>
      </c>
      <c r="I3" s="6">
        <f t="array" aca="1" ref="I3" ca="1">_FV(B3,"Beta")</f>
        <v>1.0887</v>
      </c>
      <c r="J3" s="3">
        <f t="array" aca="1" ref="J3" ca="1">_FV(B3,"52 week high",TRUE)</f>
        <v>317.39999999999998</v>
      </c>
      <c r="K3" s="3">
        <f t="array" aca="1" ref="K3" ca="1">_FV(B3,"52 week low",TRUE)</f>
        <v>195.07</v>
      </c>
      <c r="L3" s="3">
        <f t="array" aca="1" ref="L3" ca="1">_FV(B3,"High")</f>
        <v>300.72000000000003</v>
      </c>
      <c r="M3" s="3">
        <f t="array" aca="1" ref="M3" ca="1">_FV(B3,"Low")</f>
        <v>287.77999999999997</v>
      </c>
      <c r="N3" s="3">
        <f t="array" aca="1" ref="N3" ca="1">_FV(B3,"Open")</f>
        <v>300</v>
      </c>
      <c r="O3" s="3">
        <f t="array" aca="1" ref="O3" ca="1">_FV(B3,"Previous close",TRUE)</f>
        <v>301.54000000000002</v>
      </c>
      <c r="P3" s="7">
        <f t="array" aca="1" ref="P3" ca="1">_FV(B3,"Volume")</f>
        <v>49794495</v>
      </c>
      <c r="Q3" s="7">
        <f t="array" aca="1" ref="Q3" ca="1">_FV(B3,"Volume average",TRUE)</f>
        <v>49348841</v>
      </c>
      <c r="R3" s="8">
        <f t="array" aca="1" ref="R3" ca="1">_FV(B3,"Year incorporated",TRUE)</f>
        <v>1977</v>
      </c>
      <c r="S3" s="7">
        <f t="array" aca="1" ref="S3" ca="1">_FV(B3,"Employees")</f>
        <v>166000</v>
      </c>
      <c r="T3" t="str">
        <f t="array" aca="1" ref="T3" ca="1">_FV(B3,"Industry")</f>
        <v>Computers, Phones &amp; Household Electronics</v>
      </c>
      <c r="U3" s="7">
        <f t="array" aca="1" ref="U3" ca="1">_FV(B3,"Market cap",TRUE)</f>
        <v>4284890406400</v>
      </c>
      <c r="V3" s="7">
        <f t="array" aca="1" ref="V3" ca="1">_FV(B3,"Shares outstanding",TRUE)</f>
        <v>14687360000</v>
      </c>
    </row>
    <row r="4" spans="1:31">
      <c r="A4" t="s">
        <v>19</v>
      </c>
      <c r="B4" t="e" vm="3">
        <v>#VALUE!</v>
      </c>
      <c r="C4" s="2">
        <f t="array" aca="1" ref="C4" ca="1">_FV(B4,"Last trade time",TRUE)</f>
        <v>46182.797810555472</v>
      </c>
      <c r="D4" t="str">
        <f t="array" aca="1" ref="D4" ca="1">_FV(B4,"Currency")</f>
        <v>USD</v>
      </c>
      <c r="E4" s="3">
        <f t="array" aca="1" ref="E4" ca="1">_FV(B4,"Price")</f>
        <v>238.4</v>
      </c>
      <c r="F4" s="4">
        <f t="array" aca="1" ref="F4" ca="1">_FV(B4,"Change (%)",TRUE)</f>
        <v>-2.6899000000000003E-2</v>
      </c>
      <c r="G4" s="5">
        <f t="array" aca="1" ref="G4" ca="1">_FV(B4,"Change")</f>
        <v>-6.59</v>
      </c>
      <c r="H4" s="6">
        <f t="array" aca="1" ref="H4" ca="1">_FV(B4,"P/E",TRUE)</f>
        <v>13.895</v>
      </c>
      <c r="I4" s="6">
        <f t="array" aca="1" ref="I4" ca="1">_FV(B4,"Beta")</f>
        <v>1.4023000000000001</v>
      </c>
      <c r="J4" s="3">
        <f t="array" aca="1" ref="J4" ca="1">_FV(B4,"52 week high",TRUE)</f>
        <v>419.82</v>
      </c>
      <c r="K4" s="3">
        <f t="array" aca="1" ref="K4" ca="1">_FV(B4,"52 week low",TRUE)</f>
        <v>224.13</v>
      </c>
      <c r="L4" s="3">
        <f t="array" aca="1" ref="L4" ca="1">_FV(B4,"High")</f>
        <v>245.25</v>
      </c>
      <c r="M4" s="3">
        <f t="array" aca="1" ref="M4" ca="1">_FV(B4,"Low")</f>
        <v>233.35</v>
      </c>
      <c r="N4" s="3">
        <f t="array" aca="1" ref="N4" ca="1">_FV(B4,"Open")</f>
        <v>242.54</v>
      </c>
      <c r="O4" s="3">
        <f t="array" aca="1" ref="O4" ca="1">_FV(B4,"Previous close",TRUE)</f>
        <v>244.99</v>
      </c>
      <c r="P4" s="7">
        <f t="array" aca="1" ref="P4" ca="1">_FV(B4,"Volume")</f>
        <v>4333195</v>
      </c>
      <c r="Q4" s="7">
        <f t="array" aca="1" ref="Q4" ca="1">_FV(B4,"Volume average",TRUE)</f>
        <v>4913632</v>
      </c>
      <c r="R4" s="8">
        <f t="array" aca="1" ref="R4" ca="1">_FV(B4,"Year incorporated",TRUE)</f>
        <v>1997</v>
      </c>
      <c r="S4" s="7">
        <f t="array" aca="1" ref="S4" ca="1">_FV(B4,"Employees")</f>
        <v>31360</v>
      </c>
      <c r="T4" t="str">
        <f t="array" aca="1" ref="T4" ca="1">_FV(B4,"Industry")</f>
        <v>Software &amp; IT Services</v>
      </c>
      <c r="U4" s="7">
        <f t="array" aca="1" ref="U4" ca="1">_FV(B4,"Market cap",TRUE)</f>
        <v>96361280000</v>
      </c>
      <c r="V4" s="7">
        <f t="array" aca="1" ref="V4" ca="1">_FV(B4,"Shares outstanding",TRUE)</f>
        <v>404200000</v>
      </c>
    </row>
    <row r="5" spans="1:31">
      <c r="A5" t="s">
        <v>75</v>
      </c>
      <c r="B5" t="e" vm="4">
        <v>#VALUE!</v>
      </c>
      <c r="C5" s="2">
        <f t="array" aca="1" ref="C5" ca="1">_FV(B5,"Last trade time",TRUE)</f>
        <v>46182.797808414063</v>
      </c>
      <c r="D5" t="str">
        <f t="array" aca="1" ref="D5" ca="1">_FV(B5,"Currency")</f>
        <v>USD</v>
      </c>
      <c r="E5" s="3">
        <f t="array" aca="1" ref="E5" ca="1">_FV(B5,"Price")</f>
        <v>93.130099999999999</v>
      </c>
      <c r="F5" s="4">
        <f t="array" aca="1" ref="F5" ca="1">_FV(B5,"Change (%)",TRUE)</f>
        <v>-2.5632000000000002E-2</v>
      </c>
      <c r="G5" s="5">
        <f t="array" aca="1" ref="G5" ca="1">_FV(B5,"Change")</f>
        <v>-2.4499</v>
      </c>
      <c r="H5" s="6">
        <f t="array" aca="1" ref="H5" ca="1">_FV(B5,"P/E",TRUE)</f>
        <v>0</v>
      </c>
      <c r="I5" s="6">
        <f t="array" aca="1" ref="I5" ca="1">_FV(B5,"Beta")</f>
        <v>3.1745000000000001</v>
      </c>
      <c r="J5" s="3">
        <f t="array" aca="1" ref="J5" ca="1">_FV(B5,"52 week high",TRUE)</f>
        <v>121.8</v>
      </c>
      <c r="K5" s="3">
        <f t="array" aca="1" ref="K5" ca="1">_FV(B5,"52 week low",TRUE)</f>
        <v>10.887499999999999</v>
      </c>
      <c r="L5" s="3">
        <f t="array" aca="1" ref="L5" ca="1">_FV(B5,"High")</f>
        <v>106.52</v>
      </c>
      <c r="M5" s="3">
        <f t="array" aca="1" ref="M5" ca="1">_FV(B5,"Low")</f>
        <v>84.614999999999995</v>
      </c>
      <c r="N5" s="3">
        <f t="array" aca="1" ref="N5" ca="1">_FV(B5,"Open")</f>
        <v>99.73</v>
      </c>
      <c r="O5" s="3">
        <f t="array" aca="1" ref="O5" ca="1">_FV(B5,"Previous close",TRUE)</f>
        <v>95.58</v>
      </c>
      <c r="P5" s="7">
        <f t="array" aca="1" ref="P5" ca="1">_FV(B5,"Volume")</f>
        <v>2016667</v>
      </c>
      <c r="Q5" s="7">
        <f t="array" aca="1" ref="Q5" ca="1">_FV(B5,"Volume average",TRUE)</f>
        <v>2507789</v>
      </c>
      <c r="R5" s="8">
        <f t="array" aca="1" ref="R5" ca="1">_FV(B5,"Year incorporated",TRUE)</f>
        <v>1977</v>
      </c>
      <c r="S5" s="7">
        <f t="array" aca="1" ref="S5" ca="1">_FV(B5,"Employees")</f>
        <v>136</v>
      </c>
      <c r="T5" t="str">
        <f t="array" aca="1" ref="T5" ca="1">_FV(B5,"Industry")</f>
        <v>Semiconductors &amp; Semiconductor Equipment</v>
      </c>
      <c r="U5" s="7">
        <f t="array" aca="1" ref="U5" ca="1">_FV(B5,"Market cap",TRUE)</f>
        <v>2929244317</v>
      </c>
      <c r="V5" s="7">
        <f t="array" aca="1" ref="V5" ca="1">_FV(B5,"Shares outstanding",TRUE)</f>
        <v>31453250</v>
      </c>
    </row>
    <row r="6" spans="1:31">
      <c r="A6" t="s">
        <v>56</v>
      </c>
      <c r="B6" t="e" vm="5">
        <v>#VALUE!</v>
      </c>
      <c r="C6" s="2">
        <f t="array" aca="1" ref="C6" ca="1">_FV(B6,"Last trade time",TRUE)</f>
        <v>46182.783215185154</v>
      </c>
      <c r="D6" t="str">
        <f t="array" aca="1" ref="D6" ca="1">_FV(B6,"Currency")</f>
        <v>CAD</v>
      </c>
      <c r="E6" s="3">
        <f t="array" aca="1" ref="E6" ca="1">_FV(B6,"Price")</f>
        <v>11.77</v>
      </c>
      <c r="F6" s="4">
        <f t="array" aca="1" ref="F6" ca="1">_FV(B6,"Change (%)",TRUE)</f>
        <v>7.705E-3</v>
      </c>
      <c r="G6" s="5">
        <f t="array" aca="1" ref="G6" ca="1">_FV(B6,"Change")</f>
        <v>0.09</v>
      </c>
      <c r="H6" s="6">
        <f t="array" aca="1" ref="H6" ca="1">_FV(B6,"P/E",TRUE)</f>
        <v>11.185</v>
      </c>
      <c r="I6" s="6">
        <f t="array" aca="1" ref="I6" ca="1">_FV(B6,"Beta")</f>
        <v>0.8377</v>
      </c>
      <c r="J6" s="3">
        <f t="array" aca="1" ref="J6" ca="1">_FV(B6,"52 week high",TRUE)</f>
        <v>12.24</v>
      </c>
      <c r="K6" s="3">
        <f t="array" aca="1" ref="K6" ca="1">_FV(B6,"52 week low",TRUE)</f>
        <v>10.99</v>
      </c>
      <c r="L6" s="3">
        <f t="array" aca="1" ref="L6" ca="1">_FV(B6,"High")</f>
        <v>11.78</v>
      </c>
      <c r="M6" s="3">
        <f t="array" aca="1" ref="M6" ca="1">_FV(B6,"Low")</f>
        <v>11.7</v>
      </c>
      <c r="N6" s="3">
        <f t="array" aca="1" ref="N6" ca="1">_FV(B6,"Open")</f>
        <v>11.73</v>
      </c>
      <c r="O6" s="3">
        <f t="array" aca="1" ref="O6" ca="1">_FV(B6,"Previous close",TRUE)</f>
        <v>11.68</v>
      </c>
      <c r="P6" s="7">
        <f t="array" aca="1" ref="P6" ca="1">_FV(B6,"Volume")</f>
        <v>4100</v>
      </c>
      <c r="Q6" s="7">
        <f t="array" aca="1" ref="Q6" ca="1">_FV(B6,"Volume average",TRUE)</f>
        <v>118700</v>
      </c>
      <c r="R6" s="8">
        <f t="array" aca="1" ref="R6" ca="1">_FV(B6,"Year incorporated",TRUE)</f>
        <v>2001</v>
      </c>
      <c r="S6" s="7">
        <f t="array" aca="1" ref="S6" ca="1">_FV(B6,"Employees")</f>
        <v>0</v>
      </c>
      <c r="T6" t="str">
        <f t="array" aca="1" ref="T6" ca="1">_FV(B6,"Industry")</f>
        <v>Banking Services</v>
      </c>
      <c r="U6" s="7">
        <f t="array" aca="1" ref="U6" ca="1">_FV(B6,"Market cap",TRUE)</f>
        <v>567781151</v>
      </c>
      <c r="V6" s="7">
        <f t="array" aca="1" ref="V6" ca="1">_FV(B6,"Shares outstanding",TRUE)</f>
        <v>48239690</v>
      </c>
    </row>
    <row r="7" spans="1:31">
      <c r="A7" t="s">
        <v>27</v>
      </c>
      <c r="B7" t="e" vm="6">
        <v>#VALUE!</v>
      </c>
      <c r="C7" s="2">
        <f t="array" aca="1" ref="C7" ca="1">_FV(B7,"Last trade time",TRUE)</f>
        <v>46182.797830080468</v>
      </c>
      <c r="D7" t="str">
        <f t="array" aca="1" ref="D7" ca="1">_FV(B7,"Currency")</f>
        <v>USD</v>
      </c>
      <c r="E7" s="3">
        <f t="array" aca="1" ref="E7" ca="1">_FV(B7,"Price")</f>
        <v>337.40499999999997</v>
      </c>
      <c r="F7" s="4">
        <f t="array" aca="1" ref="F7" ca="1">_FV(B7,"Change (%)",TRUE)</f>
        <v>-2.5770000000000001E-2</v>
      </c>
      <c r="G7" s="5">
        <f t="array" aca="1" ref="G7" ca="1">_FV(B7,"Change")</f>
        <v>-8.9250000000000007</v>
      </c>
      <c r="H7" s="6">
        <f t="array" aca="1" ref="H7" ca="1">_FV(B7,"P/E",TRUE)</f>
        <v>227.4538</v>
      </c>
      <c r="I7" s="6">
        <f t="array" aca="1" ref="I7" ca="1">_FV(B7,"Beta")</f>
        <v>2.64</v>
      </c>
      <c r="J7" s="3">
        <f t="array" aca="1" ref="J7" ca="1">_FV(B7,"52 week high",TRUE)</f>
        <v>372.37</v>
      </c>
      <c r="K7" s="3">
        <f t="array" aca="1" ref="K7" ca="1">_FV(B7,"52 week low",TRUE)</f>
        <v>84.78</v>
      </c>
      <c r="L7" s="3">
        <f t="array" aca="1" ref="L7" ca="1">_FV(B7,"High")</f>
        <v>372.11</v>
      </c>
      <c r="M7" s="3">
        <f t="array" aca="1" ref="M7" ca="1">_FV(B7,"Low")</f>
        <v>303</v>
      </c>
      <c r="N7" s="3">
        <f t="array" aca="1" ref="N7" ca="1">_FV(B7,"Open")</f>
        <v>354.01</v>
      </c>
      <c r="O7" s="3" cm="1">
        <f t="array" aca="1" ref="O7" ca="1">_FV(B7,"Previous close",TRUE)</f>
        <v>346.33</v>
      </c>
      <c r="P7" s="7">
        <f t="array" aca="1" ref="P7" ca="1">_FV(B7,"Volume")</f>
        <v>5688448</v>
      </c>
      <c r="Q7" s="7">
        <f t="array" aca="1" ref="Q7" ca="1">_FV(B7,"Volume average",TRUE)</f>
        <v>6259818</v>
      </c>
      <c r="R7" s="8">
        <f t="array" aca="1" ref="R7" ca="1">_FV(B7,"Year incorporated",TRUE)</f>
        <v>2017</v>
      </c>
      <c r="S7" s="7">
        <f t="array" aca="1" ref="S7" ca="1">_FV(B7,"Employees")</f>
        <v>756</v>
      </c>
      <c r="T7" t="str">
        <f t="array" aca="1" ref="T7" ca="1">_FV(B7,"Industry")</f>
        <v>Semiconductors &amp; Semiconductor Equipment</v>
      </c>
      <c r="U7" s="7">
        <f t="array" aca="1" ref="U7" ca="1">_FV(B7,"Market cap",TRUE)</f>
        <v>57833882499</v>
      </c>
      <c r="V7" s="7">
        <f t="array" aca="1" ref="V7" ca="1">_FV(B7,"Shares outstanding",TRUE)</f>
        <v>171407900</v>
      </c>
    </row>
    <row r="8" spans="1:31">
      <c r="A8" t="s">
        <v>39</v>
      </c>
      <c r="B8" t="e" vm="7">
        <v>#VALUE!</v>
      </c>
      <c r="C8" s="2">
        <f t="array" aca="1" ref="C8" ca="1">_FV(B8,"Last trade time",TRUE)</f>
        <v>46182.797752812497</v>
      </c>
      <c r="D8" t="str">
        <f t="array" aca="1" ref="D8" ca="1">_FV(B8,"Currency")</f>
        <v>USD</v>
      </c>
      <c r="E8" s="3">
        <f t="array" aca="1" ref="E8" ca="1">_FV(B8,"Price")</f>
        <v>65.045000000000002</v>
      </c>
      <c r="F8" s="4">
        <f t="array" aca="1" ref="F8" ca="1">_FV(B8,"Change (%)",TRUE)</f>
        <v>-5.3478000000000005E-2</v>
      </c>
      <c r="G8" s="5">
        <f t="array" aca="1" ref="G8" ca="1">_FV(B8,"Change")</f>
        <v>-3.6749999999999998</v>
      </c>
      <c r="H8" s="6">
        <f t="array" aca="1" ref="H8" ca="1">_FV(B8,"P/E",TRUE)</f>
        <v>0</v>
      </c>
      <c r="I8" s="6">
        <f t="array" aca="1" ref="I8" ca="1">_FV(B8,"Beta")</f>
        <v>2.1395</v>
      </c>
      <c r="J8" s="3">
        <f t="array" aca="1" ref="J8" ca="1">_FV(B8,"52 week high",TRUE)</f>
        <v>96.69</v>
      </c>
      <c r="K8" s="3">
        <f t="array" aca="1" ref="K8" ca="1">_FV(B8,"52 week low",TRUE)</f>
        <v>48.3</v>
      </c>
      <c r="L8" s="3">
        <f t="array" aca="1" ref="L8" ca="1">_FV(B8,"High")</f>
        <v>69.95</v>
      </c>
      <c r="M8" s="3">
        <f t="array" aca="1" ref="M8" ca="1">_FV(B8,"Low")</f>
        <v>61.8</v>
      </c>
      <c r="N8" s="3">
        <f t="array" aca="1" ref="N8" ca="1">_FV(B8,"Open")</f>
        <v>69.78</v>
      </c>
      <c r="O8" s="3">
        <f t="array" aca="1" ref="O8" ca="1">_FV(B8,"Previous close",TRUE)</f>
        <v>68.72</v>
      </c>
      <c r="P8" s="7">
        <f t="array" aca="1" ref="P8" ca="1">_FV(B8,"Volume")</f>
        <v>1235100</v>
      </c>
      <c r="Q8" s="7">
        <f t="array" aca="1" ref="Q8" ca="1">_FV(B8,"Volume average",TRUE)</f>
        <v>1647508</v>
      </c>
      <c r="R8" s="8">
        <f t="array" aca="1" ref="R8" ca="1">_FV(B8,"Year incorporated",TRUE)</f>
        <v>2004</v>
      </c>
      <c r="S8" s="7">
        <f t="array" aca="1" ref="S8" ca="1">_FV(B8,"Employees")</f>
        <v>959</v>
      </c>
      <c r="T8" t="str">
        <f t="array" aca="1" ref="T8" ca="1">_FV(B8,"Industry")</f>
        <v>Semiconductors &amp; Semiconductor Equipment</v>
      </c>
      <c r="U8" s="7">
        <f t="array" aca="1" ref="U8" ca="1">_FV(B8,"Market cap",TRUE)</f>
        <v>2853405768</v>
      </c>
      <c r="V8" s="7">
        <f t="array" aca="1" ref="V8" ca="1">_FV(B8,"Shares outstanding",TRUE)</f>
        <v>43868180</v>
      </c>
    </row>
    <row r="9" spans="1:31">
      <c r="A9" t="s">
        <v>63</v>
      </c>
      <c r="B9" t="e" vm="8">
        <v>#VALUE!</v>
      </c>
      <c r="C9" s="2">
        <f t="array" aca="1" ref="C9" ca="1">_FV(B9,"Last trade time",TRUE)</f>
        <v>46182.797844455468</v>
      </c>
      <c r="D9" t="str">
        <f t="array" aca="1" ref="D9" ca="1">_FV(B9,"Currency")</f>
        <v>USD</v>
      </c>
      <c r="E9" s="3">
        <f t="array" aca="1" ref="E9" ca="1">_FV(B9,"Price")</f>
        <v>468.58449999999999</v>
      </c>
      <c r="F9" s="4">
        <f t="array" aca="1" ref="F9" ca="1">_FV(B9,"Change (%)",TRUE)</f>
        <v>-4.4349E-2</v>
      </c>
      <c r="G9" s="5">
        <f t="array" aca="1" ref="G9" ca="1">_FV(B9,"Change")</f>
        <v>-21.7455</v>
      </c>
      <c r="H9" s="6">
        <f t="array" aca="1" ref="H9" ca="1">_FV(B9,"P/E",TRUE)</f>
        <v>156.19999999999999</v>
      </c>
      <c r="I9" s="6">
        <f t="array" aca="1" ref="I9" ca="1">_FV(B9,"Beta")</f>
        <v>2.4927000000000001</v>
      </c>
      <c r="J9" s="3">
        <f t="array" aca="1" ref="J9" ca="1">_FV(B9,"52 week high",TRUE)</f>
        <v>546.44000000000005</v>
      </c>
      <c r="K9" s="3">
        <f t="array" aca="1" ref="K9" ca="1">_FV(B9,"52 week low",TRUE)</f>
        <v>115.06</v>
      </c>
      <c r="L9" s="3">
        <f t="array" aca="1" ref="L9" ca="1">_FV(B9,"High")</f>
        <v>504.56</v>
      </c>
      <c r="M9" s="3">
        <f t="array" aca="1" ref="M9" ca="1">_FV(B9,"Low")</f>
        <v>437.23</v>
      </c>
      <c r="N9" s="3">
        <f t="array" aca="1" ref="N9" ca="1">_FV(B9,"Open")</f>
        <v>503.79</v>
      </c>
      <c r="O9" s="3">
        <f t="array" aca="1" ref="O9" ca="1">_FV(B9,"Previous close",TRUE)</f>
        <v>490.33</v>
      </c>
      <c r="P9" s="7">
        <f t="array" aca="1" ref="P9" ca="1">_FV(B9,"Volume")</f>
        <v>29555060</v>
      </c>
      <c r="Q9" s="7">
        <f t="array" aca="1" ref="Q9" ca="1">_FV(B9,"Volume average",TRUE)</f>
        <v>37988274</v>
      </c>
      <c r="R9" s="8">
        <f t="array" aca="1" ref="R9" ca="1">_FV(B9,"Year incorporated",TRUE)</f>
        <v>1969</v>
      </c>
      <c r="S9" s="7">
        <f t="array" aca="1" ref="S9" ca="1">_FV(B9,"Employees")</f>
        <v>31000</v>
      </c>
      <c r="T9" t="str">
        <f t="array" aca="1" ref="T9" ca="1">_FV(B9,"Industry")</f>
        <v>Semiconductors &amp; Semiconductor Equipment</v>
      </c>
      <c r="U9" s="7">
        <f t="array" aca="1" ref="U9" ca="1">_FV(B9,"Market cap",TRUE)</f>
        <v>764074354284</v>
      </c>
      <c r="V9" s="7">
        <f t="array" aca="1" ref="V9" ca="1">_FV(B9,"Shares outstanding",TRUE)</f>
        <v>1630601000</v>
      </c>
    </row>
    <row r="10" spans="1:31">
      <c r="A10" t="s">
        <v>46</v>
      </c>
      <c r="B10" t="e" vm="9">
        <v>#VALUE!</v>
      </c>
      <c r="C10" s="2">
        <f t="array" aca="1" ref="C10" ca="1">_FV(B10,"Last trade time",TRUE)</f>
        <v>46182.797848564063</v>
      </c>
      <c r="D10" t="str">
        <f t="array" aca="1" ref="D10" ca="1">_FV(B10,"Currency")</f>
        <v>USD</v>
      </c>
      <c r="E10" s="3">
        <f t="array" aca="1" ref="E10" ca="1">_FV(B10,"Price")</f>
        <v>245.59</v>
      </c>
      <c r="F10" s="4">
        <f t="array" aca="1" ref="F10" ca="1">_FV(B10,"Change (%)",TRUE)</f>
        <v>1.5090000000000001E-3</v>
      </c>
      <c r="G10" s="5">
        <f t="array" aca="1" ref="G10" ca="1">_FV(B10,"Change")</f>
        <v>0.37</v>
      </c>
      <c r="H10" s="6">
        <f t="array" aca="1" ref="H10" ca="1">_FV(B10,"P/E",TRUE)</f>
        <v>29.349799999999998</v>
      </c>
      <c r="I10" s="6">
        <f t="array" aca="1" ref="I10" ca="1">_FV(B10,"Beta")</f>
        <v>1.4595</v>
      </c>
      <c r="J10" s="3">
        <f t="array" aca="1" ref="J10" ca="1">_FV(B10,"52 week high",TRUE)</f>
        <v>278.56</v>
      </c>
      <c r="K10" s="3">
        <f t="array" aca="1" ref="K10" ca="1">_FV(B10,"52 week low",TRUE)</f>
        <v>196</v>
      </c>
      <c r="L10" s="3">
        <f t="array" aca="1" ref="L10" ca="1">_FV(B10,"High")</f>
        <v>250.43</v>
      </c>
      <c r="M10" s="3">
        <f t="array" aca="1" ref="M10" ca="1">_FV(B10,"Low")</f>
        <v>240.4</v>
      </c>
      <c r="N10" s="3">
        <f t="array" aca="1" ref="N10" ca="1">_FV(B10,"Open")</f>
        <v>247.68</v>
      </c>
      <c r="O10" s="3">
        <f t="array" aca="1" ref="O10" ca="1">_FV(B10,"Previous close",TRUE)</f>
        <v>245.22</v>
      </c>
      <c r="P10" s="7">
        <f t="array" aca="1" ref="P10" ca="1">_FV(B10,"Volume")</f>
        <v>28749792</v>
      </c>
      <c r="Q10" s="7">
        <f t="array" aca="1" ref="Q10" ca="1">_FV(B10,"Volume average",TRUE)</f>
        <v>40455637</v>
      </c>
      <c r="R10" s="8">
        <f t="array" aca="1" ref="R10" ca="1">_FV(B10,"Year incorporated",TRUE)</f>
        <v>1996</v>
      </c>
      <c r="S10" s="7">
        <f t="array" aca="1" ref="S10" ca="1">_FV(B10,"Employees")</f>
        <v>1575000</v>
      </c>
      <c r="T10" t="str">
        <f t="array" aca="1" ref="T10" ca="1">_FV(B10,"Industry")</f>
        <v>Diversified Retail</v>
      </c>
      <c r="U10" s="7">
        <f t="array" aca="1" ref="U10" ca="1">_FV(B10,"Market cap",TRUE)</f>
        <v>2641838644900</v>
      </c>
      <c r="V10" s="7">
        <f t="array" aca="1" ref="V10" ca="1">_FV(B10,"Shares outstanding",TRUE)</f>
        <v>10757110000</v>
      </c>
    </row>
    <row r="11" spans="1:31">
      <c r="A11" t="s">
        <v>57</v>
      </c>
      <c r="B11" t="e" vm="10">
        <v>#VALUE!</v>
      </c>
      <c r="C11" s="2">
        <f t="array" aca="1" ref="C11" ca="1">_FV(B11,"Last trade time",TRUE)</f>
        <v>46182.797859803126</v>
      </c>
      <c r="D11" t="str">
        <f t="array" aca="1" ref="D11" ca="1">_FV(B11,"Currency")</f>
        <v>USD</v>
      </c>
      <c r="E11" s="3">
        <f t="array" aca="1" ref="E11" ca="1">_FV(B11,"Price")</f>
        <v>151.97999999999999</v>
      </c>
      <c r="F11" s="4">
        <f t="array" aca="1" ref="F11" ca="1">_FV(B11,"Change (%)",TRUE)</f>
        <v>-2.8260999999999998E-2</v>
      </c>
      <c r="G11" s="5">
        <f t="array" aca="1" ref="G11" ca="1">_FV(B11,"Change")</f>
        <v>-4.42</v>
      </c>
      <c r="H11" s="6">
        <f t="array" aca="1" ref="H11" ca="1">_FV(B11,"P/E",TRUE)</f>
        <v>52.055100000000003</v>
      </c>
      <c r="I11" s="6">
        <f t="array" aca="1" ref="I11" ca="1">_FV(B11,"Beta")</f>
        <v>1.6127</v>
      </c>
      <c r="J11" s="3">
        <f t="array" aca="1" ref="J11" ca="1">_FV(B11,"52 week high",TRUE)</f>
        <v>179.8</v>
      </c>
      <c r="K11" s="3">
        <f t="array" aca="1" ref="K11" ca="1">_FV(B11,"52 week low",TRUE)</f>
        <v>85.58</v>
      </c>
      <c r="L11" s="3">
        <f t="array" aca="1" ref="L11" ca="1">_FV(B11,"High")</f>
        <v>158.99</v>
      </c>
      <c r="M11" s="3">
        <f t="array" aca="1" ref="M11" ca="1">_FV(B11,"Low")</f>
        <v>145.37</v>
      </c>
      <c r="N11" s="3">
        <f t="array" aca="1" ref="N11" ca="1">_FV(B11,"Open")</f>
        <v>157.755</v>
      </c>
      <c r="O11" s="3">
        <f t="array" aca="1" ref="O11" ca="1">_FV(B11,"Previous close",TRUE)</f>
        <v>156.4</v>
      </c>
      <c r="P11" s="7">
        <f t="array" aca="1" ref="P11" ca="1">_FV(B11,"Volume")</f>
        <v>4752998</v>
      </c>
      <c r="Q11" s="7">
        <f t="array" aca="1" ref="Q11" ca="1">_FV(B11,"Volume average",TRUE)</f>
        <v>12494259</v>
      </c>
      <c r="R11" s="8">
        <f t="array" aca="1" ref="R11" ca="1">_FV(B11,"Year incorporated",TRUE)</f>
        <v>2011</v>
      </c>
      <c r="S11" s="7">
        <f t="array" aca="1" ref="S11" ca="1">_FV(B11,"Employees")</f>
        <v>5115</v>
      </c>
      <c r="T11" t="str">
        <f t="array" aca="1" ref="T11" ca="1">_FV(B11,"Industry")</f>
        <v>Communications &amp; Networking</v>
      </c>
      <c r="U11" s="7">
        <f t="array" aca="1" ref="U11" ca="1">_FV(B11,"Market cap",TRUE)</f>
        <v>191373671940</v>
      </c>
      <c r="V11" s="7">
        <f t="array" aca="1" ref="V11" ca="1">_FV(B11,"Shares outstanding",TRUE)</f>
        <v>1259203000</v>
      </c>
    </row>
    <row r="12" spans="1:31">
      <c r="A12" t="s">
        <v>24</v>
      </c>
      <c r="B12" t="e" vm="11">
        <v>#VALUE!</v>
      </c>
      <c r="C12" s="2">
        <f t="array" aca="1" ref="C12" ca="1">_FV(B12,"Last trade time",TRUE)</f>
        <v>46182.797852557815</v>
      </c>
      <c r="D12" t="str">
        <f t="array" aca="1" ref="D12" ca="1">_FV(B12,"Currency")</f>
        <v>USD</v>
      </c>
      <c r="E12" s="3">
        <f t="array" aca="1" ref="E12" ca="1">_FV(B12,"Price")</f>
        <v>522.94000000000005</v>
      </c>
      <c r="F12" s="4">
        <f t="array" aca="1" ref="F12" ca="1">_FV(B12,"Change (%)",TRUE)</f>
        <v>-7.2291999999999995E-2</v>
      </c>
      <c r="G12" s="5">
        <f t="array" aca="1" ref="G12" ca="1">_FV(B12,"Change")</f>
        <v>-40.75</v>
      </c>
      <c r="H12" s="6">
        <f t="array" aca="1" ref="H12" ca="1">_FV(B12,"P/E",TRUE)</f>
        <v>45.443399999999997</v>
      </c>
      <c r="I12" s="6">
        <f t="array" aca="1" ref="I12" ca="1">_FV(B12,"Beta")</f>
        <v>2.4693999999999998</v>
      </c>
      <c r="J12" s="3">
        <f t="array" aca="1" ref="J12" ca="1">_FV(B12,"52 week high",TRUE)</f>
        <v>745.61</v>
      </c>
      <c r="K12" s="3">
        <f t="array" aca="1" ref="K12" ca="1">_FV(B12,"52 week low",TRUE)</f>
        <v>320</v>
      </c>
      <c r="L12" s="3">
        <f t="array" aca="1" ref="L12" ca="1">_FV(B12,"High")</f>
        <v>567.66</v>
      </c>
      <c r="M12" s="3">
        <f t="array" aca="1" ref="M12" ca="1">_FV(B12,"Low")</f>
        <v>502.81</v>
      </c>
      <c r="N12" s="3">
        <f t="array" aca="1" ref="N12" ca="1">_FV(B12,"Open")</f>
        <v>556.71</v>
      </c>
      <c r="O12" s="3">
        <f t="array" aca="1" ref="O12" ca="1">_FV(B12,"Previous close",TRUE)</f>
        <v>563.69000000000005</v>
      </c>
      <c r="P12" s="7">
        <f t="array" aca="1" ref="P12" ca="1">_FV(B12,"Volume")</f>
        <v>3502141</v>
      </c>
      <c r="Q12" s="7">
        <f t="array" aca="1" ref="Q12" ca="1">_FV(B12,"Volume average",TRUE)</f>
        <v>5252653</v>
      </c>
      <c r="R12" s="8">
        <f t="array" aca="1" ref="R12" ca="1">_FV(B12,"Year incorporated",TRUE)</f>
        <v>2011</v>
      </c>
      <c r="S12" s="7">
        <f t="array" aca="1" ref="S12" ca="1">_FV(B12,"Employees")</f>
        <v>898</v>
      </c>
      <c r="T12" t="str">
        <f t="array" aca="1" ref="T12" ca="1">_FV(B12,"Industry")</f>
        <v>Software &amp; IT Services</v>
      </c>
      <c r="U12" s="7">
        <f t="array" aca="1" ref="U12" ca="1">_FV(B12,"Market cap",TRUE)</f>
        <v>175676463600</v>
      </c>
      <c r="V12" s="7">
        <f t="array" aca="1" ref="V12" ca="1">_FV(B12,"Shares outstanding",TRUE)</f>
        <v>335940000</v>
      </c>
    </row>
    <row r="13" spans="1:31">
      <c r="A13" t="s">
        <v>155</v>
      </c>
      <c r="B13" t="e" vm="12">
        <v>#VALUE!</v>
      </c>
      <c r="C13" s="2" cm="1">
        <f t="array" aca="1" ref="C13" ca="1">_FV(B13,"Last trade time",TRUE)</f>
        <v>46182.797863425782</v>
      </c>
      <c r="D13" t="str" cm="1">
        <f t="array" aca="1" ref="D13" ca="1">_FV(B13,"Currency")</f>
        <v>USD</v>
      </c>
      <c r="E13" s="3" cm="1">
        <f t="array" aca="1" ref="E13" ca="1">_FV(B13,"Price")</f>
        <v>75</v>
      </c>
      <c r="F13" s="4" cm="1">
        <f t="array" aca="1" ref="F13" ca="1">_FV(B13,"Change (%)",TRUE)</f>
        <v>-1.1597E-2</v>
      </c>
      <c r="G13" s="5" cm="1">
        <f t="array" aca="1" ref="G13" ca="1">_FV(B13,"Change")</f>
        <v>-0.88</v>
      </c>
      <c r="H13" s="6" t="e" vm="13">
        <f t="array" ref="H13">_FV(B13,"P/E",TRUE)</f>
        <v>#VALUE!</v>
      </c>
      <c r="I13" s="6" cm="1">
        <f t="array" aca="1" ref="I13" ca="1">_FV(B13,"Beta")</f>
        <v>2.04</v>
      </c>
      <c r="J13" s="3" cm="1">
        <f t="array" aca="1" ref="J13" ca="1">_FV(B13,"52 week high",TRUE)</f>
        <v>92.65</v>
      </c>
      <c r="K13" s="3" cm="1">
        <f t="array" aca="1" ref="K13" ca="1">_FV(B13,"52 week low",TRUE)</f>
        <v>60.54</v>
      </c>
      <c r="L13" s="3" cm="1">
        <f t="array" aca="1" ref="L13" ca="1">_FV(B13,"High")</f>
        <v>77.495000000000005</v>
      </c>
      <c r="M13" s="3" cm="1">
        <f t="array" aca="1" ref="M13" ca="1">_FV(B13,"Low")</f>
        <v>72.099999999999994</v>
      </c>
      <c r="N13" s="3" cm="1">
        <f t="array" aca="1" ref="N13" ca="1">_FV(B13,"Open")</f>
        <v>76.459999999999994</v>
      </c>
      <c r="O13" s="3" cm="1">
        <f t="array" aca="1" ref="O13" ca="1">_FV(B13,"Previous close",TRUE)</f>
        <v>75.88</v>
      </c>
      <c r="P13" s="7" cm="1">
        <f t="array" aca="1" ref="P13" ca="1">_FV(B13,"Volume")</f>
        <v>9119137</v>
      </c>
      <c r="Q13" s="7" cm="1">
        <f t="array" aca="1" ref="Q13" ca="1">_FV(B13,"Volume average",TRUE)</f>
        <v>7452453</v>
      </c>
      <c r="R13" s="8" t="e" cm="1" vm="14">
        <f t="array" ref="R13">_FV(B13,"Year incorporated",TRUE)</f>
        <v>#VALUE!</v>
      </c>
      <c r="S13" s="7" t="e" cm="1" vm="15">
        <f t="array" ref="S13">_FV(B13,"Employees")</f>
        <v>#VALUE!</v>
      </c>
      <c r="T13" t="e" cm="1" vm="16">
        <f t="array" ref="T13">_FV(B13,"Industry")</f>
        <v>#VALUE!</v>
      </c>
      <c r="U13" s="7" cm="1">
        <f t="array" aca="1" ref="U13" ca="1">_FV(B13,"Market cap",TRUE)</f>
        <v>7262198811.6000004</v>
      </c>
      <c r="V13" s="7" t="e" cm="1" vm="17">
        <f t="array" ref="V13">_FV(B13,"Shares outstanding",TRUE)</f>
        <v>#VALUE!</v>
      </c>
    </row>
    <row r="14" spans="1:31">
      <c r="A14" t="s">
        <v>78</v>
      </c>
      <c r="B14" t="e" vm="18">
        <v>#VALUE!</v>
      </c>
      <c r="C14" s="2">
        <f t="array" aca="1" ref="C14" ca="1">_FV(B14,"Last trade time",TRUE)</f>
        <v>46182.797851133597</v>
      </c>
      <c r="D14" t="str">
        <f t="array" aca="1" ref="D14" ca="1">_FV(B14,"Currency")</f>
        <v>USD</v>
      </c>
      <c r="E14" s="3">
        <f t="array" aca="1" ref="E14" ca="1">_FV(B14,"Price")</f>
        <v>321.82</v>
      </c>
      <c r="F14" s="4">
        <f t="array" aca="1" ref="F14" ca="1">_FV(B14,"Change (%)",TRUE)</f>
        <v>-7.0932000000000009E-2</v>
      </c>
      <c r="G14" s="5">
        <f t="array" aca="1" ref="G14" ca="1">_FV(B14,"Change")</f>
        <v>-24.57</v>
      </c>
      <c r="H14" s="6">
        <f t="array" aca="1" ref="H14" ca="1">_FV(B14,"P/E",TRUE)</f>
        <v>380.22210000000001</v>
      </c>
      <c r="I14" s="6">
        <f t="array" aca="1" ref="I14" ca="1">_FV(B14,"Beta")</f>
        <v>1.421</v>
      </c>
      <c r="J14" s="3">
        <f t="array" aca="1" ref="J14" ca="1">_FV(B14,"52 week high",TRUE)</f>
        <v>427.99</v>
      </c>
      <c r="K14" s="3">
        <f t="array" aca="1" ref="K14" ca="1">_FV(B14,"52 week low",TRUE)</f>
        <v>100.02</v>
      </c>
      <c r="L14" s="3">
        <f t="array" aca="1" ref="L14" ca="1">_FV(B14,"High")</f>
        <v>362.49</v>
      </c>
      <c r="M14" s="3">
        <f t="array" aca="1" ref="M14" ca="1">_FV(B14,"Low")</f>
        <v>298.38</v>
      </c>
      <c r="N14" s="3">
        <f t="array" aca="1" ref="N14" ca="1">_FV(B14,"Open")</f>
        <v>362.21</v>
      </c>
      <c r="O14" s="3">
        <f t="array" aca="1" ref="O14" ca="1">_FV(B14,"Previous close",TRUE)</f>
        <v>346.39</v>
      </c>
      <c r="P14" s="7">
        <f t="array" aca="1" ref="P14" ca="1">_FV(B14,"Volume")</f>
        <v>11080545</v>
      </c>
      <c r="Q14" s="7">
        <f t="array" aca="1" ref="Q14" ca="1">_FV(B14,"Volume average",TRUE)</f>
        <v>12907012</v>
      </c>
      <c r="R14" s="8">
        <f t="array" aca="1" ref="R14" ca="1">_FV(B14,"Year incorporated",TRUE)</f>
        <v>2018</v>
      </c>
      <c r="S14" s="7">
        <f t="array" aca="1" ref="S14" ca="1">_FV(B14,"Employees")</f>
        <v>9584</v>
      </c>
      <c r="T14" t="str">
        <f t="array" aca="1" ref="T14" ca="1">_FV(B14,"Industry")</f>
        <v>Semiconductors &amp; Semiconductor Equipment</v>
      </c>
      <c r="U14" s="7">
        <f t="array" aca="1" ref="U14" ca="1">_FV(B14,"Market cap",TRUE)</f>
        <v>343729183780</v>
      </c>
      <c r="V14" s="7">
        <f t="array" aca="1" ref="V14" ca="1">_FV(B14,"Shares outstanding",TRUE)</f>
        <v>1068079000</v>
      </c>
    </row>
    <row r="15" spans="1:31">
      <c r="A15" t="s">
        <v>66</v>
      </c>
      <c r="B15" t="e" vm="19">
        <v>#VALUE!</v>
      </c>
      <c r="C15" s="2">
        <f t="array" aca="1" ref="C15" ca="1">_FV(B15,"Last trade time",TRUE)</f>
        <v>46182.797831365628</v>
      </c>
      <c r="D15" t="str">
        <f t="array" aca="1" ref="D15" ca="1">_FV(B15,"Currency")</f>
        <v>USD</v>
      </c>
      <c r="E15" s="3">
        <f t="array" aca="1" ref="E15" ca="1">_FV(B15,"Price")</f>
        <v>1769.53</v>
      </c>
      <c r="F15" s="4">
        <f t="array" aca="1" ref="F15" ca="1">_FV(B15,"Change (%)",TRUE)</f>
        <v>1.1715E-2</v>
      </c>
      <c r="G15" s="5">
        <f t="array" aca="1" ref="G15" ca="1">_FV(B15,"Change")</f>
        <v>20.49</v>
      </c>
      <c r="H15" s="6">
        <f t="array" aca="1" ref="H15" ca="1">_FV(B15,"P/E",TRUE)</f>
        <v>60.836199999999998</v>
      </c>
      <c r="I15" s="6">
        <f t="array" aca="1" ref="I15" ca="1">_FV(B15,"Beta")</f>
        <v>1.7867</v>
      </c>
      <c r="J15" s="3">
        <f t="array" aca="1" ref="J15" ca="1">_FV(B15,"52 week high",TRUE)</f>
        <v>1830.99</v>
      </c>
      <c r="K15" s="3">
        <f t="array" aca="1" ref="K15" ca="1">_FV(B15,"52 week low",TRUE)</f>
        <v>683.48</v>
      </c>
      <c r="L15" s="3">
        <f t="array" aca="1" ref="L15" ca="1">_FV(B15,"High")</f>
        <v>1830.99</v>
      </c>
      <c r="M15" s="3">
        <f t="array" aca="1" ref="M15" ca="1">_FV(B15,"Low")</f>
        <v>1676.51</v>
      </c>
      <c r="N15" s="3">
        <f t="array" aca="1" ref="N15" ca="1">_FV(B15,"Open")</f>
        <v>1774.52</v>
      </c>
      <c r="O15" s="3">
        <f t="array" aca="1" ref="O15" ca="1">_FV(B15,"Previous close",TRUE)</f>
        <v>1749.04</v>
      </c>
      <c r="P15" s="7">
        <f t="array" aca="1" ref="P15" ca="1">_FV(B15,"Volume")</f>
        <v>2556063</v>
      </c>
      <c r="Q15" s="7">
        <f t="array" aca="1" ref="Q15" ca="1">_FV(B15,"Volume average",TRUE)</f>
        <v>1718819</v>
      </c>
      <c r="R15" s="8">
        <f t="array" aca="1" ref="R15" ca="1">_FV(B15,"Year incorporated",TRUE)</f>
        <v>1994</v>
      </c>
      <c r="S15" s="7">
        <f t="array" aca="1" ref="S15" ca="1">_FV(B15,"Employees")</f>
        <v>43882</v>
      </c>
      <c r="T15" t="str">
        <f t="array" aca="1" ref="T15" ca="1">_FV(B15,"Industry")</f>
        <v>Semiconductors &amp; Semiconductor Equipment</v>
      </c>
      <c r="U15" s="7">
        <f t="array" aca="1" ref="U15" ca="1">_FV(B15,"Market cap",TRUE)</f>
        <v>686838999581</v>
      </c>
      <c r="V15" s="7">
        <f t="array" aca="1" ref="V15" ca="1">_FV(B15,"Shares outstanding",TRUE)</f>
        <v>388147700</v>
      </c>
    </row>
    <row r="16" spans="1:31">
      <c r="A16" t="s">
        <v>54</v>
      </c>
      <c r="B16" t="e" vm="20">
        <v>#VALUE!</v>
      </c>
      <c r="C16" s="2">
        <f t="array" aca="1" ref="C16" ca="1">_FV(B16,"Last trade time",TRUE)</f>
        <v>46182.797889594534</v>
      </c>
      <c r="D16" t="str">
        <f t="array" aca="1" ref="D16" ca="1">_FV(B16,"Currency")</f>
        <v>USD</v>
      </c>
      <c r="E16" s="3">
        <f t="array" aca="1" ref="E16" ca="1">_FV(B16,"Price")</f>
        <v>391.11</v>
      </c>
      <c r="F16" s="4">
        <f t="array" aca="1" ref="F16" ca="1">_FV(B16,"Change (%)",TRUE)</f>
        <v>-1.3843000000000001E-2</v>
      </c>
      <c r="G16" s="5">
        <f t="array" aca="1" ref="G16" ca="1">_FV(B16,"Change")</f>
        <v>-5.49</v>
      </c>
      <c r="H16" s="6">
        <f t="array" aca="1" ref="H16" ca="1">_FV(B16,"P/E",TRUE)</f>
        <v>65.147000000000006</v>
      </c>
      <c r="I16" s="6">
        <f t="array" aca="1" ref="I16" ca="1">_FV(B16,"Beta")</f>
        <v>1.4635</v>
      </c>
      <c r="J16" s="3">
        <f t="array" aca="1" ref="J16" ca="1">_FV(B16,"52 week high",TRUE)</f>
        <v>495</v>
      </c>
      <c r="K16" s="3">
        <f t="array" aca="1" ref="K16" ca="1">_FV(B16,"52 week low",TRUE)</f>
        <v>241.11</v>
      </c>
      <c r="L16" s="3">
        <f t="array" aca="1" ref="L16" ca="1">_FV(B16,"High")</f>
        <v>407.85</v>
      </c>
      <c r="M16" s="3">
        <f t="array" aca="1" ref="M16" ca="1">_FV(B16,"Low")</f>
        <v>370.33</v>
      </c>
      <c r="N16" s="3">
        <f t="array" aca="1" ref="N16" ca="1">_FV(B16,"Open")</f>
        <v>400.69</v>
      </c>
      <c r="O16" s="3">
        <f t="array" aca="1" ref="O16" ca="1">_FV(B16,"Previous close",TRUE)</f>
        <v>396.6</v>
      </c>
      <c r="P16" s="7">
        <f t="array" aca="1" ref="P16" ca="1">_FV(B16,"Volume")</f>
        <v>25632689</v>
      </c>
      <c r="Q16" s="7">
        <f t="array" aca="1" ref="Q16" ca="1">_FV(B16,"Volume average",TRUE)</f>
        <v>26708749</v>
      </c>
      <c r="R16" s="8">
        <f t="array" aca="1" ref="R16" ca="1">_FV(B16,"Year incorporated",TRUE)</f>
        <v>2018</v>
      </c>
      <c r="S16" s="7">
        <f t="array" aca="1" ref="S16" ca="1">_FV(B16,"Employees")</f>
        <v>33000</v>
      </c>
      <c r="T16" t="str">
        <f t="array" aca="1" ref="T16" ca="1">_FV(B16,"Industry")</f>
        <v>Semiconductors &amp; Semiconductor Equipment</v>
      </c>
      <c r="U16" s="7">
        <f t="array" aca="1" ref="U16" ca="1">_FV(B16,"Market cap",TRUE)</f>
        <v>1851776001480</v>
      </c>
      <c r="V16" s="7">
        <f t="array" aca="1" ref="V16" ca="1">_FV(B16,"Shares outstanding",TRUE)</f>
        <v>4734668000</v>
      </c>
    </row>
    <row r="17" spans="1:22">
      <c r="A17" t="s">
        <v>68</v>
      </c>
      <c r="B17" t="e" vm="21">
        <v>#VALUE!</v>
      </c>
      <c r="C17" s="2">
        <f t="array" aca="1" ref="C17" ca="1">_FV(B17,"Last trade time",TRUE)</f>
        <v>46182.797850693751</v>
      </c>
      <c r="D17" t="str">
        <f t="array" aca="1" ref="D17" ca="1">_FV(B17,"Currency")</f>
        <v>USD</v>
      </c>
      <c r="E17" s="3">
        <f t="array" aca="1" ref="E17" ca="1">_FV(B17,"Price")</f>
        <v>3.9849999999999999</v>
      </c>
      <c r="F17" s="4">
        <f t="array" aca="1" ref="F17" ca="1">_FV(B17,"Change (%)",TRUE)</f>
        <v>-7.5406000000000001E-2</v>
      </c>
      <c r="G17" s="5">
        <f t="array" aca="1" ref="G17" ca="1">_FV(B17,"Change")</f>
        <v>-0.32500000000000001</v>
      </c>
      <c r="H17" s="6">
        <f t="array" aca="1" ref="H17" ca="1">_FV(B17,"P/E",TRUE)</f>
        <v>0</v>
      </c>
      <c r="I17" s="6">
        <f t="array" aca="1" ref="I17" ca="1">_FV(B17,"Beta")</f>
        <v>3.1105</v>
      </c>
      <c r="J17" s="3">
        <f t="array" aca="1" ref="J17" ca="1">_FV(B17,"52 week high",TRUE)</f>
        <v>9.39</v>
      </c>
      <c r="K17" s="3">
        <f t="array" aca="1" ref="K17" ca="1">_FV(B17,"52 week low",TRUE)</f>
        <v>3.01</v>
      </c>
      <c r="L17" s="3">
        <f t="array" aca="1" ref="L17" ca="1">_FV(B17,"High")</f>
        <v>4.3799000000000001</v>
      </c>
      <c r="M17" s="3">
        <f t="array" aca="1" ref="M17" ca="1">_FV(B17,"Low")</f>
        <v>3.83</v>
      </c>
      <c r="N17" s="3">
        <f t="array" aca="1" ref="N17" ca="1">_FV(B17,"Open")</f>
        <v>4.2699999999999996</v>
      </c>
      <c r="O17" s="3">
        <f t="array" aca="1" ref="O17" ca="1">_FV(B17,"Previous close",TRUE)</f>
        <v>4.3099999999999996</v>
      </c>
      <c r="P17" s="7">
        <f t="array" aca="1" ref="P17" ca="1">_FV(B17,"Volume")</f>
        <v>37027749</v>
      </c>
      <c r="Q17" s="7">
        <f t="array" aca="1" ref="Q17" ca="1">_FV(B17,"Volume average",TRUE)</f>
        <v>48768934</v>
      </c>
      <c r="R17" s="8">
        <f t="array" aca="1" ref="R17" ca="1">_FV(B17,"Year incorporated",TRUE)</f>
        <v>2020</v>
      </c>
      <c r="S17" s="7">
        <f t="array" aca="1" ref="S17" ca="1">_FV(B17,"Employees")</f>
        <v>579</v>
      </c>
      <c r="T17" t="str">
        <f t="array" aca="1" ref="T17" ca="1">_FV(B17,"Industry")</f>
        <v>Software &amp; IT Services</v>
      </c>
      <c r="U17" s="7">
        <f t="array" aca="1" ref="U17" ca="1">_FV(B17,"Market cap",TRUE)</f>
        <v>1908613757</v>
      </c>
      <c r="V17" s="7">
        <f t="array" aca="1" ref="V17" ca="1">_FV(B17,"Shares outstanding",TRUE)</f>
        <v>478949500</v>
      </c>
    </row>
    <row r="18" spans="1:22">
      <c r="A18" t="s">
        <v>612</v>
      </c>
      <c r="B18" t="e" vm="22">
        <v>#VALUE!</v>
      </c>
      <c r="C18" s="2" cm="1">
        <f t="array" aca="1" ref="C18" ca="1">_FV(B18,"Last trade time",TRUE)</f>
        <v>46182.772222222222</v>
      </c>
      <c r="D18" t="str" cm="1">
        <f t="array" aca="1" ref="D18" ca="1">_FV(B18,"Currency")</f>
        <v>EUR</v>
      </c>
      <c r="E18" s="3" cm="1">
        <f t="array" aca="1" ref="E18" ca="1">_FV(B18,"Price")</f>
        <v>69.599999999999994</v>
      </c>
      <c r="F18" s="4" cm="1">
        <f t="array" aca="1" ref="F18" ca="1">_FV(B18,"Change (%)",TRUE)</f>
        <v>-4.5770000000000003E-3</v>
      </c>
      <c r="G18" s="5" cm="1">
        <f t="array" aca="1" ref="G18" ca="1">_FV(B18,"Change")</f>
        <v>-0.32</v>
      </c>
      <c r="H18" s="6" cm="1">
        <f t="array" aca="1" ref="H18" ca="1">_FV(B18,"P/E",TRUE)</f>
        <v>6.2702999999999998</v>
      </c>
      <c r="I18" s="6" cm="1">
        <f t="array" aca="1" ref="I18" ca="1">_FV(B18,"Beta")</f>
        <v>0.96489999999999998</v>
      </c>
      <c r="J18" s="3" cm="1">
        <f t="array" aca="1" ref="J18" ca="1">_FV(B18,"52 week high",TRUE)</f>
        <v>115.25</v>
      </c>
      <c r="K18" s="3" cm="1">
        <f t="array" aca="1" ref="K18" ca="1">_FV(B18,"52 week low",TRUE)</f>
        <v>36.884999999999998</v>
      </c>
      <c r="L18" s="3" cm="1">
        <f t="array" aca="1" ref="L18" ca="1">_FV(B18,"High")</f>
        <v>70.08</v>
      </c>
      <c r="M18" s="3" cm="1">
        <f t="array" aca="1" ref="M18" ca="1">_FV(B18,"Low")</f>
        <v>68.88</v>
      </c>
      <c r="N18" s="3" cm="1">
        <f t="array" aca="1" ref="N18" ca="1">_FV(B18,"Open")</f>
        <v>69.88</v>
      </c>
      <c r="O18" s="3" cm="1">
        <f t="array" aca="1" ref="O18" ca="1">_FV(B18,"Previous close",TRUE)</f>
        <v>69.92</v>
      </c>
      <c r="P18" s="7" cm="1">
        <f t="array" aca="1" ref="P18" ca="1">_FV(B18,"Volume")</f>
        <v>5054</v>
      </c>
      <c r="Q18" s="7" cm="1">
        <f t="array" aca="1" ref="Q18" ca="1">_FV(B18,"Volume average",TRUE)</f>
        <v>1247220</v>
      </c>
      <c r="R18" s="8" cm="1">
        <f t="array" aca="1" ref="R18" ca="1">_FV(B18,"Year incorporated",TRUE)</f>
        <v>1995</v>
      </c>
      <c r="S18" s="7" cm="1">
        <f t="array" aca="1" ref="S18" ca="1">_FV(B18,"Employees")</f>
        <v>154540</v>
      </c>
      <c r="T18" t="str" cm="1">
        <f t="array" aca="1" ref="T18" ca="1">_FV(B18,"Industry")</f>
        <v>Automobiles &amp; Auto Parts</v>
      </c>
      <c r="U18" s="7" cm="1">
        <f t="array" aca="1" ref="U18" ca="1">_FV(B18,"Market cap",TRUE)</f>
        <v>54471310000</v>
      </c>
      <c r="V18" s="7" cm="1">
        <f t="array" aca="1" ref="V18" ca="1">_FV(B18,"Shares outstanding",TRUE)</f>
        <v>615810400</v>
      </c>
    </row>
    <row r="19" spans="1:22">
      <c r="A19" t="s">
        <v>303</v>
      </c>
      <c r="B19" t="e" vm="23">
        <v>#VALUE!</v>
      </c>
      <c r="C19" s="2" cm="1">
        <f t="array" aca="1" ref="C19" ca="1">_FV(B19,"Last trade time",TRUE)</f>
        <v>46182.797893032031</v>
      </c>
      <c r="D19" t="str" cm="1">
        <f t="array" aca="1" ref="D19" ca="1">_FV(B19,"Currency")</f>
        <v>USD</v>
      </c>
      <c r="E19" s="3" cm="1">
        <f t="array" aca="1" ref="E19" ca="1">_FV(B19,"Price")</f>
        <v>391.69</v>
      </c>
      <c r="F19" s="4" cm="1">
        <f t="array" aca="1" ref="F19" ca="1">_FV(B19,"Change (%)",TRUE)</f>
        <v>-6.4680000000000007E-3</v>
      </c>
      <c r="G19" s="5" cm="1">
        <f t="array" aca="1" ref="G19" ca="1">_FV(B19,"Change")</f>
        <v>-2.5499999999999998</v>
      </c>
      <c r="H19" s="6" cm="1">
        <f t="array" aca="1" ref="H19" ca="1">_FV(B19,"P/E",TRUE)</f>
        <v>91.441599999999994</v>
      </c>
      <c r="I19" s="6" cm="1">
        <f t="array" aca="1" ref="I19" ca="1">_FV(B19,"Beta")</f>
        <v>1.1277999999999999</v>
      </c>
      <c r="J19" s="3" cm="1">
        <f t="array" aca="1" ref="J19" ca="1">_FV(B19,"52 week high",TRUE)</f>
        <v>416.69</v>
      </c>
      <c r="K19" s="3" cm="1">
        <f t="array" aca="1" ref="K19" ca="1">_FV(B19,"52 week low",TRUE)</f>
        <v>262.74900000000002</v>
      </c>
      <c r="L19" s="3" cm="1">
        <f t="array" aca="1" ref="L19" ca="1">_FV(B19,"High")</f>
        <v>406.67</v>
      </c>
      <c r="M19" s="3" cm="1">
        <f t="array" aca="1" ref="M19" ca="1">_FV(B19,"Low")</f>
        <v>377.11309999999997</v>
      </c>
      <c r="N19" s="3" cm="1">
        <f t="array" aca="1" ref="N19" ca="1">_FV(B19,"Open")</f>
        <v>396.51</v>
      </c>
      <c r="O19" s="3" cm="1">
        <f t="array" aca="1" ref="O19" ca="1">_FV(B19,"Previous close",TRUE)</f>
        <v>394.24</v>
      </c>
      <c r="P19" s="7" cm="1">
        <f t="array" aca="1" ref="P19" ca="1">_FV(B19,"Volume")</f>
        <v>1295158</v>
      </c>
      <c r="Q19" s="7" cm="1">
        <f t="array" aca="1" ref="Q19" ca="1">_FV(B19,"Volume average",TRUE)</f>
        <v>2424361</v>
      </c>
      <c r="R19" s="8" cm="1">
        <f t="array" aca="1" ref="R19" ca="1">_FV(B19,"Year incorporated",TRUE)</f>
        <v>1987</v>
      </c>
      <c r="S19" s="7" cm="1">
        <f t="array" aca="1" ref="S19" ca="1">_FV(B19,"Employees")</f>
        <v>13800</v>
      </c>
      <c r="T19" t="str" cm="1">
        <f t="array" aca="1" ref="T19" ca="1">_FV(B19,"Industry")</f>
        <v>Software &amp; IT Services</v>
      </c>
      <c r="U19" s="7" cm="1">
        <f t="array" aca="1" ref="U19" ca="1">_FV(B19,"Market cap",TRUE)</f>
        <v>108034369040</v>
      </c>
      <c r="V19" s="7" cm="1">
        <f t="array" aca="1" ref="V19" ca="1">_FV(B19,"Shares outstanding",TRUE)</f>
        <v>275816000</v>
      </c>
    </row>
    <row r="20" spans="1:22">
      <c r="A20" t="s">
        <v>149</v>
      </c>
      <c r="B20" t="e" vm="24">
        <v>#VALUE!</v>
      </c>
      <c r="C20" s="2" cm="1">
        <f t="array" aca="1" ref="C20" ca="1">_FV(B20,"Last trade time",TRUE)</f>
        <v>46182.797860878905</v>
      </c>
      <c r="D20" t="str" cm="1">
        <f t="array" aca="1" ref="D20" ca="1">_FV(B20,"Currency")</f>
        <v>USD</v>
      </c>
      <c r="E20" s="3" cm="1">
        <f t="array" aca="1" ref="E20" ca="1">_FV(B20,"Price")</f>
        <v>250.69</v>
      </c>
      <c r="F20" s="4" cm="1">
        <f t="array" aca="1" ref="F20" ca="1">_FV(B20,"Change (%)",TRUE)</f>
        <v>7.9789999999999993E-5</v>
      </c>
      <c r="G20" s="5" cm="1">
        <f t="array" aca="1" ref="G20" ca="1">_FV(B20,"Change")</f>
        <v>0.02</v>
      </c>
      <c r="H20" s="6" cm="1">
        <f t="array" aca="1" ref="H20" ca="1">_FV(B20,"P/E",TRUE)</f>
        <v>21.7791</v>
      </c>
      <c r="I20" s="6" cm="1">
        <f t="array" aca="1" ref="I20" ca="1">_FV(B20,"Beta")</f>
        <v>1.1339999999999999</v>
      </c>
      <c r="J20" s="3" cm="1">
        <f t="array" aca="1" ref="J20" ca="1">_FV(B20,"52 week high",TRUE)</f>
        <v>412.7</v>
      </c>
      <c r="K20" s="3" cm="1">
        <f t="array" aca="1" ref="K20" ca="1">_FV(B20,"52 week low",TRUE)</f>
        <v>243.3</v>
      </c>
      <c r="L20" s="3" cm="1">
        <f t="array" aca="1" ref="L20" ca="1">_FV(B20,"High")</f>
        <v>256.4699</v>
      </c>
      <c r="M20" s="3" cm="1">
        <f t="array" aca="1" ref="M20" ca="1">_FV(B20,"Low")</f>
        <v>245.49</v>
      </c>
      <c r="N20" s="3" cm="1">
        <f t="array" aca="1" ref="N20" ca="1">_FV(B20,"Open")</f>
        <v>253.44</v>
      </c>
      <c r="O20" s="3" cm="1">
        <f t="array" aca="1" ref="O20" ca="1">_FV(B20,"Previous close",TRUE)</f>
        <v>250.67</v>
      </c>
      <c r="P20" s="7" cm="1">
        <f t="array" aca="1" ref="P20" ca="1">_FV(B20,"Volume")</f>
        <v>2374397</v>
      </c>
      <c r="Q20" s="7" cm="1">
        <f t="array" aca="1" ref="Q20" ca="1">_FV(B20,"Volume average",TRUE)</f>
        <v>4038269</v>
      </c>
      <c r="R20" s="8" cm="1">
        <f t="array" aca="1" ref="R20" ca="1">_FV(B20,"Year incorporated",TRUE)</f>
        <v>2021</v>
      </c>
      <c r="S20" s="7" cm="1">
        <f t="array" aca="1" ref="S20" ca="1">_FV(B20,"Employees")</f>
        <v>15291</v>
      </c>
      <c r="T20" t="str" cm="1">
        <f t="array" aca="1" ref="T20" ca="1">_FV(B20,"Industry")</f>
        <v>Electrical Utilities &amp; IPPs</v>
      </c>
      <c r="U20" s="7" cm="1">
        <f t="array" aca="1" ref="U20" ca="1">_FV(B20,"Market cap",TRUE)</f>
        <v>90023280380</v>
      </c>
      <c r="V20" s="7" cm="1">
        <f t="array" aca="1" ref="V20" ca="1">_FV(B20,"Shares outstanding",TRUE)</f>
        <v>359102000</v>
      </c>
    </row>
    <row r="21" spans="1:22">
      <c r="A21" t="s">
        <v>69</v>
      </c>
      <c r="B21" t="e" vm="25">
        <v>#VALUE!</v>
      </c>
      <c r="C21" s="2">
        <f t="array" aca="1" ref="C21" ca="1">_FV(B21,"Last trade time",TRUE)</f>
        <v>46182.797845242967</v>
      </c>
      <c r="D21" t="str">
        <f t="array" aca="1" ref="D21" ca="1">_FV(B21,"Currency")</f>
        <v>USD</v>
      </c>
      <c r="E21" s="3">
        <f t="array" aca="1" ref="E21" ca="1">_FV(B21,"Price")</f>
        <v>237.0299</v>
      </c>
      <c r="F21" s="4">
        <f t="array" aca="1" ref="F21" ca="1">_FV(B21,"Change (%)",TRUE)</f>
        <v>6.6405000000000006E-2</v>
      </c>
      <c r="G21" s="5">
        <f t="array" aca="1" ref="G21" ca="1">_FV(B21,"Change")</f>
        <v>14.7599</v>
      </c>
      <c r="H21" s="6">
        <f t="array" aca="1" ref="H21" ca="1">_FV(B21,"P/E",TRUE)</f>
        <v>95.584299999999999</v>
      </c>
      <c r="I21" s="6">
        <f t="array" aca="1" ref="I21" ca="1">_FV(B21,"Beta")</f>
        <v>3.2361</v>
      </c>
      <c r="J21" s="3">
        <f t="array" aca="1" ref="J21" ca="1">_FV(B21,"52 week high",TRUE)</f>
        <v>252.7</v>
      </c>
      <c r="K21" s="3">
        <f t="array" aca="1" ref="K21" ca="1">_FV(B21,"52 week low",TRUE)</f>
        <v>66.75</v>
      </c>
      <c r="L21" s="3">
        <f t="array" aca="1" ref="L21" ca="1">_FV(B21,"High")</f>
        <v>252.7</v>
      </c>
      <c r="M21" s="3">
        <f t="array" aca="1" ref="M21" ca="1">_FV(B21,"Low")</f>
        <v>209.55</v>
      </c>
      <c r="N21" s="3">
        <f t="array" aca="1" ref="N21" ca="1">_FV(B21,"Open")</f>
        <v>226.5</v>
      </c>
      <c r="O21" s="3">
        <f t="array" aca="1" ref="O21" ca="1">_FV(B21,"Previous close",TRUE)</f>
        <v>222.27</v>
      </c>
      <c r="P21" s="7">
        <f t="array" aca="1" ref="P21" ca="1">_FV(B21,"Volume")</f>
        <v>12457076</v>
      </c>
      <c r="Q21" s="7">
        <f t="array" aca="1" ref="Q21" ca="1">_FV(B21,"Volume average",TRUE)</f>
        <v>7792215</v>
      </c>
      <c r="R21" s="8" t="e" vm="14">
        <f t="array" ref="R21">_FV(B21,"Year incorporated",TRUE)</f>
        <v>#VALUE!</v>
      </c>
      <c r="S21" s="7">
        <f t="array" aca="1" ref="S21" ca="1">_FV(B21,"Employees")</f>
        <v>622</v>
      </c>
      <c r="T21" t="str">
        <f t="array" aca="1" ref="T21" ca="1">_FV(B21,"Industry")</f>
        <v>Semiconductors &amp; Semiconductor Equipment</v>
      </c>
      <c r="U21" s="7">
        <f t="array" aca="1" ref="U21" ca="1">_FV(B21,"Market cap",TRUE)</f>
        <v>43720141352</v>
      </c>
      <c r="V21" s="7">
        <f t="array" aca="1" ref="V21" ca="1">_FV(B21,"Shares outstanding",TRUE)</f>
        <v>184449900</v>
      </c>
    </row>
    <row r="22" spans="1:22">
      <c r="A22" t="s">
        <v>450</v>
      </c>
      <c r="B22" t="e" vm="26">
        <v>#VALUE!</v>
      </c>
      <c r="C22" s="2">
        <f t="array" aca="1" ref="C22" ca="1">_FV(B22,"Last trade time",TRUE)</f>
        <v>46182.79780438594</v>
      </c>
      <c r="D22" t="str">
        <f t="array" aca="1" ref="D22" ca="1">_FV(B22,"Currency")</f>
        <v>USD</v>
      </c>
      <c r="E22" s="3">
        <f t="array" aca="1" ref="E22" ca="1">_FV(B22,"Price")</f>
        <v>174.79499999999999</v>
      </c>
      <c r="F22" s="4">
        <f t="array" aca="1" ref="F22" ca="1">_FV(B22,"Change (%)",TRUE)</f>
        <v>-4.2481999999999999E-2</v>
      </c>
      <c r="G22" s="5">
        <f t="array" aca="1" ref="G22" ca="1">_FV(B22,"Change")</f>
        <v>-7.7549999999999999</v>
      </c>
      <c r="H22" s="6">
        <f t="array" aca="1" ref="H22" ca="1">_FV(B22,"P/E",TRUE)</f>
        <v>20.223400000000002</v>
      </c>
      <c r="I22" s="6">
        <f t="array" aca="1" ref="I22" ca="1">_FV(B22,"Beta")</f>
        <v>1.1532</v>
      </c>
      <c r="J22" s="3">
        <f t="array" aca="1" ref="J22" ca="1">_FV(B22,"52 week high",TRUE)</f>
        <v>276.8</v>
      </c>
      <c r="K22" s="3">
        <f t="array" aca="1" ref="K22" ca="1">_FV(B22,"52 week low",TRUE)</f>
        <v>163.52000000000001</v>
      </c>
      <c r="L22" s="3">
        <f t="array" aca="1" ref="L22" ca="1">_FV(B22,"High")</f>
        <v>182.46</v>
      </c>
      <c r="M22" s="3">
        <f t="array" aca="1" ref="M22" ca="1">_FV(B22,"Low")</f>
        <v>171.56</v>
      </c>
      <c r="N22" s="3">
        <f t="array" aca="1" ref="N22" ca="1">_FV(B22,"Open")</f>
        <v>178.95</v>
      </c>
      <c r="O22" s="3">
        <f t="array" aca="1" ref="O22" ca="1">_FV(B22,"Previous close",TRUE)</f>
        <v>182.55</v>
      </c>
      <c r="P22" s="7">
        <f t="array" aca="1" ref="P22" ca="1">_FV(B22,"Volume")</f>
        <v>11349157</v>
      </c>
      <c r="Q22" s="7">
        <f t="array" aca="1" ref="Q22" ca="1">_FV(B22,"Volume average",TRUE)</f>
        <v>14773375</v>
      </c>
      <c r="R22" s="8">
        <f t="array" aca="1" ref="R22" ca="1">_FV(B22,"Year incorporated",TRUE)</f>
        <v>1999</v>
      </c>
      <c r="S22" s="7">
        <f t="array" aca="1" ref="S22" ca="1">_FV(B22,"Employees")</f>
        <v>83334</v>
      </c>
      <c r="T22" t="str">
        <f t="array" aca="1" ref="T22" ca="1">_FV(B22,"Industry")</f>
        <v>Software &amp; IT Services</v>
      </c>
      <c r="U22" s="7">
        <f t="array" aca="1" ref="U22" ca="1">_FV(B22,"Market cap",TRUE)</f>
        <v>143157105000</v>
      </c>
      <c r="V22" s="7">
        <f t="array" aca="1" ref="V22" ca="1">_FV(B22,"Shares outstanding",TRUE)</f>
        <v>819000000</v>
      </c>
    </row>
    <row r="23" spans="1:22">
      <c r="A23" t="s">
        <v>141</v>
      </c>
      <c r="B23" t="e" vm="27">
        <v>#VALUE!</v>
      </c>
      <c r="C23" s="2" cm="1">
        <f t="array" aca="1" ref="C23" ca="1">_FV(B23,"Last trade time",TRUE)</f>
        <v>46182.797871839844</v>
      </c>
      <c r="D23" t="str" cm="1">
        <f t="array" aca="1" ref="D23" ca="1">_FV(B23,"Currency")</f>
        <v>USD</v>
      </c>
      <c r="E23" s="3" cm="1">
        <f t="array" aca="1" ref="E23" ca="1">_FV(B23,"Price")</f>
        <v>642.30999999999995</v>
      </c>
      <c r="F23" s="4" cm="1">
        <f t="array" aca="1" ref="F23" ca="1">_FV(B23,"Change (%)",TRUE)</f>
        <v>-2.5015999999999997E-2</v>
      </c>
      <c r="G23" s="5" cm="1">
        <f t="array" aca="1" ref="G23" ca="1">_FV(B23,"Change")</f>
        <v>-16.48</v>
      </c>
      <c r="H23" s="6" cm="1">
        <f t="array" aca="1" ref="H23" ca="1">_FV(B23,"P/E",TRUE)</f>
        <v>0</v>
      </c>
      <c r="I23" s="6" cm="1">
        <f t="array" aca="1" ref="I23" ca="1">_FV(B23,"Beta")</f>
        <v>1.268</v>
      </c>
      <c r="J23" s="3" cm="1">
        <f t="array" aca="1" ref="J23" ca="1">_FV(B23,"52 week high",TRUE)</f>
        <v>785.66</v>
      </c>
      <c r="K23" s="3" cm="1">
        <f t="array" aca="1" ref="K23" ca="1">_FV(B23,"52 week low",TRUE)</f>
        <v>342.72</v>
      </c>
      <c r="L23" s="3" cm="1">
        <f t="array" aca="1" ref="L23" ca="1">_FV(B23,"High")</f>
        <v>664.87</v>
      </c>
      <c r="M23" s="3" cm="1">
        <f t="array" aca="1" ref="M23" ca="1">_FV(B23,"Low")</f>
        <v>617.75</v>
      </c>
      <c r="N23" s="3" cm="1">
        <f t="array" aca="1" ref="N23" ca="1">_FV(B23,"Open")</f>
        <v>658.79</v>
      </c>
      <c r="O23" s="3" cm="1">
        <f t="array" aca="1" ref="O23" ca="1">_FV(B23,"Previous close",TRUE)</f>
        <v>658.79</v>
      </c>
      <c r="P23" s="7" cm="1">
        <f t="array" aca="1" ref="P23" ca="1">_FV(B23,"Volume")</f>
        <v>2687062</v>
      </c>
      <c r="Q23" s="7" cm="1">
        <f t="array" aca="1" ref="Q23" ca="1">_FV(B23,"Volume average",TRUE)</f>
        <v>3726491</v>
      </c>
      <c r="R23" s="8" cm="1">
        <f t="array" aca="1" ref="R23" ca="1">_FV(B23,"Year incorporated",TRUE)</f>
        <v>2011</v>
      </c>
      <c r="S23" s="7" cm="1">
        <f t="array" aca="1" ref="S23" ca="1">_FV(B23,"Employees")</f>
        <v>11157</v>
      </c>
      <c r="T23" t="str" cm="1">
        <f t="array" aca="1" ref="T23" ca="1">_FV(B23,"Industry")</f>
        <v>Software &amp; IT Services</v>
      </c>
      <c r="U23" s="7" cm="1">
        <f t="array" aca="1" ref="U23" ca="1">_FV(B23,"Market cap",TRUE)</f>
        <v>163509516688</v>
      </c>
      <c r="V23" s="7" cm="1">
        <f t="array" aca="1" ref="V23" ca="1">_FV(B23,"Shares outstanding",TRUE)</f>
        <v>254564800</v>
      </c>
    </row>
    <row r="24" spans="1:22">
      <c r="A24" t="s">
        <v>70</v>
      </c>
      <c r="B24" t="e" vm="28">
        <v>#VALUE!</v>
      </c>
      <c r="C24" s="2">
        <f t="array" aca="1" ref="C24" ca="1">_FV(B24,"Last trade time",TRUE)</f>
        <v>46182.797852661715</v>
      </c>
      <c r="D24" t="str">
        <f t="array" aca="1" ref="D24" ca="1">_FV(B24,"Currency")</f>
        <v>USD</v>
      </c>
      <c r="E24" s="3">
        <f t="array" aca="1" ref="E24" ca="1">_FV(B24,"Price")</f>
        <v>98.02</v>
      </c>
      <c r="F24" s="4">
        <f t="array" aca="1" ref="F24" ca="1">_FV(B24,"Change (%)",TRUE)</f>
        <v>-4.2492999999999996E-2</v>
      </c>
      <c r="G24" s="5">
        <f t="array" aca="1" ref="G24" ca="1">_FV(B24,"Change")</f>
        <v>-4.3499999999999996</v>
      </c>
      <c r="H24" s="6">
        <f t="array" aca="1" ref="H24" ca="1">_FV(B24,"P/E",TRUE)</f>
        <v>0</v>
      </c>
      <c r="I24" s="6">
        <f t="array" aca="1" ref="I24" ca="1">_FV(B24,"Beta")</f>
        <v>2.4409999999999998</v>
      </c>
      <c r="J24" s="3">
        <f t="array" aca="1" ref="J24" ca="1">_FV(B24,"52 week high",TRUE)</f>
        <v>187</v>
      </c>
      <c r="K24" s="3">
        <f t="array" aca="1" ref="K24" ca="1">_FV(B24,"52 week low",TRUE)</f>
        <v>63.8</v>
      </c>
      <c r="L24" s="3">
        <f t="array" aca="1" ref="L24" ca="1">_FV(B24,"High")</f>
        <v>105.38</v>
      </c>
      <c r="M24" s="3">
        <f t="array" aca="1" ref="M24" ca="1">_FV(B24,"Low")</f>
        <v>93.62</v>
      </c>
      <c r="N24" s="3">
        <f t="array" aca="1" ref="N24" ca="1">_FV(B24,"Open")</f>
        <v>103.6</v>
      </c>
      <c r="O24" s="3">
        <f t="array" aca="1" ref="O24" ca="1">_FV(B24,"Previous close",TRUE)</f>
        <v>102.37</v>
      </c>
      <c r="P24" s="7">
        <f t="array" aca="1" ref="P24" ca="1">_FV(B24,"Volume")</f>
        <v>20044617</v>
      </c>
      <c r="Q24" s="7">
        <f t="array" aca="1" ref="Q24" ca="1">_FV(B24,"Volume average",TRUE)</f>
        <v>30000702</v>
      </c>
      <c r="R24" s="8">
        <f t="array" aca="1" ref="R24" ca="1">_FV(B24,"Year incorporated",TRUE)</f>
        <v>2017</v>
      </c>
      <c r="S24" s="7">
        <f t="array" aca="1" ref="S24" ca="1">_FV(B24,"Employees")</f>
        <v>2189</v>
      </c>
      <c r="T24" t="str">
        <f t="array" aca="1" ref="T24" ca="1">_FV(B24,"Industry")</f>
        <v>Software &amp; IT Services</v>
      </c>
      <c r="U24" s="7">
        <f t="array" aca="1" ref="U24" ca="1">_FV(B24,"Market cap",TRUE)</f>
        <v>53476810608</v>
      </c>
      <c r="V24" s="7">
        <f t="array" aca="1" ref="V24" ca="1">_FV(B24,"Shares outstanding",TRUE)</f>
        <v>545570400</v>
      </c>
    </row>
    <row r="25" spans="1:22">
      <c r="A25" t="s">
        <v>139</v>
      </c>
      <c r="B25" t="e" vm="29">
        <v>#VALUE!</v>
      </c>
      <c r="C25" s="2" cm="1">
        <f t="array" aca="1" ref="C25" ca="1">_FV(B25,"Last trade time",TRUE)</f>
        <v>46182.797884536718</v>
      </c>
      <c r="D25" t="str" cm="1">
        <f t="array" aca="1" ref="D25" ca="1">_FV(B25,"Currency")</f>
        <v>USD</v>
      </c>
      <c r="E25" s="3" cm="1">
        <f t="array" aca="1" ref="E25" ca="1">_FV(B25,"Price")</f>
        <v>120.13</v>
      </c>
      <c r="F25" s="4" cm="1">
        <f t="array" aca="1" ref="F25" ca="1">_FV(B25,"Change (%)",TRUE)</f>
        <v>-3.2379999999999999E-2</v>
      </c>
      <c r="G25" s="5" cm="1">
        <f t="array" aca="1" ref="G25" ca="1">_FV(B25,"Change")</f>
        <v>-4.0199999999999996</v>
      </c>
      <c r="H25" s="6" cm="1">
        <f t="array" aca="1" ref="H25" ca="1">_FV(B25,"P/E",TRUE)</f>
        <v>40.03</v>
      </c>
      <c r="I25" s="6" cm="1">
        <f t="array" aca="1" ref="I25" ca="1">_FV(B25,"Beta")</f>
        <v>0.98919999999999997</v>
      </c>
      <c r="J25" s="3" cm="1">
        <f t="array" aca="1" ref="J25" ca="1">_FV(B25,"52 week high",TRUE)</f>
        <v>130.3656</v>
      </c>
      <c r="K25" s="3" cm="1">
        <f t="array" aca="1" ref="K25" ca="1">_FV(B25,"52 week low",TRUE)</f>
        <v>63.865000000000002</v>
      </c>
      <c r="L25" s="3" cm="1">
        <f t="array" aca="1" ref="L25" ca="1">_FV(B25,"High")</f>
        <v>124.22</v>
      </c>
      <c r="M25" s="3" cm="1">
        <f t="array" aca="1" ref="M25" ca="1">_FV(B25,"Low")</f>
        <v>117.1</v>
      </c>
      <c r="N25" s="3" cm="1">
        <f t="array" aca="1" ref="N25" ca="1">_FV(B25,"Open")</f>
        <v>123.14</v>
      </c>
      <c r="O25" s="3" cm="1">
        <f t="array" aca="1" ref="O25" ca="1">_FV(B25,"Previous close",TRUE)</f>
        <v>124.15</v>
      </c>
      <c r="P25" s="7" cm="1">
        <f t="array" aca="1" ref="P25" ca="1">_FV(B25,"Volume")</f>
        <v>14072140</v>
      </c>
      <c r="Q25" s="7" cm="1">
        <f t="array" aca="1" ref="Q25" ca="1">_FV(B25,"Volume average",TRUE)</f>
        <v>28437550</v>
      </c>
      <c r="R25" s="8" cm="1">
        <f t="array" aca="1" ref="R25" ca="1">_FV(B25,"Year incorporated",TRUE)</f>
        <v>2021</v>
      </c>
      <c r="S25" s="7" cm="1">
        <f t="array" aca="1" ref="S25" ca="1">_FV(B25,"Employees")</f>
        <v>86200</v>
      </c>
      <c r="T25" t="str" cm="1">
        <f t="array" aca="1" ref="T25" ca="1">_FV(B25,"Industry")</f>
        <v>Communications &amp; Networking</v>
      </c>
      <c r="U25" s="7" cm="1">
        <f t="array" aca="1" ref="U25" ca="1">_FV(B25,"Market cap",TRUE)</f>
        <v>473484586550</v>
      </c>
      <c r="V25" s="7" cm="1">
        <f t="array" aca="1" ref="V25" ca="1">_FV(B25,"Shares outstanding",TRUE)</f>
        <v>3941435000</v>
      </c>
    </row>
    <row r="26" spans="1:22">
      <c r="A26" t="s">
        <v>139</v>
      </c>
      <c r="B26" t="e" vm="29">
        <v>#VALUE!</v>
      </c>
      <c r="C26" s="2">
        <f t="array" aca="1" ref="C26" ca="1">_FV(B26,"Last trade time",TRUE)</f>
        <v>46182.797884536718</v>
      </c>
      <c r="D26" t="str">
        <f t="array" aca="1" ref="D26" ca="1">_FV(B26,"Currency")</f>
        <v>USD</v>
      </c>
      <c r="E26" s="3">
        <f t="array" aca="1" ref="E26" ca="1">_FV(B26,"Price")</f>
        <v>120.13</v>
      </c>
      <c r="F26" s="4">
        <f t="array" aca="1" ref="F26" ca="1">_FV(B26,"Change (%)",TRUE)</f>
        <v>-3.2379999999999999E-2</v>
      </c>
      <c r="G26" s="5">
        <f t="array" aca="1" ref="G26" ca="1">_FV(B26,"Change")</f>
        <v>-4.0199999999999996</v>
      </c>
      <c r="H26" s="6">
        <f t="array" aca="1" ref="H26" ca="1">_FV(B26,"P/E",TRUE)</f>
        <v>40.03</v>
      </c>
      <c r="I26" s="6">
        <f t="array" aca="1" ref="I26" ca="1">_FV(B26,"Beta")</f>
        <v>0.98919999999999997</v>
      </c>
      <c r="J26" s="3">
        <f t="array" aca="1" ref="J26" ca="1">_FV(B26,"52 week high",TRUE)</f>
        <v>130.3656</v>
      </c>
      <c r="K26" s="3">
        <f t="array" aca="1" ref="K26" ca="1">_FV(B26,"52 week low",TRUE)</f>
        <v>63.865000000000002</v>
      </c>
      <c r="L26" s="3">
        <f t="array" aca="1" ref="L26" ca="1">_FV(B26,"High")</f>
        <v>124.22</v>
      </c>
      <c r="M26" s="3">
        <f t="array" aca="1" ref="M26" ca="1">_FV(B26,"Low")</f>
        <v>117.1</v>
      </c>
      <c r="N26" s="3">
        <f t="array" aca="1" ref="N26" ca="1">_FV(B26,"Open")</f>
        <v>123.14</v>
      </c>
      <c r="O26" s="3">
        <f t="array" aca="1" ref="O26" ca="1">_FV(B26,"Previous close",TRUE)</f>
        <v>124.15</v>
      </c>
      <c r="P26" s="7">
        <f t="array" aca="1" ref="P26" ca="1">_FV(B26,"Volume")</f>
        <v>14072140</v>
      </c>
      <c r="Q26" s="7">
        <f t="array" aca="1" ref="Q26" ca="1">_FV(B26,"Volume average",TRUE)</f>
        <v>28437550</v>
      </c>
      <c r="R26" s="8">
        <f t="array" aca="1" ref="R26" ca="1">_FV(B26,"Year incorporated",TRUE)</f>
        <v>2021</v>
      </c>
      <c r="S26" s="7">
        <f t="array" aca="1" ref="S26" ca="1">_FV(B26,"Employees")</f>
        <v>86200</v>
      </c>
      <c r="T26" t="str">
        <f t="array" aca="1" ref="T26" ca="1">_FV(B26,"Industry")</f>
        <v>Communications &amp; Networking</v>
      </c>
      <c r="U26" s="7">
        <f t="array" aca="1" ref="U26" ca="1">_FV(B26,"Market cap",TRUE)</f>
        <v>473484586550</v>
      </c>
      <c r="V26" s="7">
        <f t="array" aca="1" ref="V26" ca="1">_FV(B26,"Shares outstanding",TRUE)</f>
        <v>3941435000</v>
      </c>
    </row>
    <row r="27" spans="1:22">
      <c r="A27" t="s">
        <v>26</v>
      </c>
      <c r="B27" t="e" vm="30">
        <v>#VALUE!</v>
      </c>
      <c r="C27" s="2">
        <f t="array" aca="1" ref="C27" ca="1">_FV(B27,"Last trade time",TRUE)</f>
        <v>46182.797864560154</v>
      </c>
      <c r="D27" t="str">
        <f t="array" aca="1" ref="D27" ca="1">_FV(B27,"Currency")</f>
        <v>USD</v>
      </c>
      <c r="E27" s="3">
        <f t="array" aca="1" ref="E27" ca="1">_FV(B27,"Price")</f>
        <v>227.71</v>
      </c>
      <c r="F27" s="4">
        <f t="array" aca="1" ref="F27" ca="1">_FV(B27,"Change (%)",TRUE)</f>
        <v>-1.7135999999999998E-2</v>
      </c>
      <c r="G27" s="5">
        <f t="array" aca="1" ref="G27" ca="1">_FV(B27,"Change")</f>
        <v>-3.97</v>
      </c>
      <c r="H27" s="6">
        <f t="array" aca="1" ref="H27" ca="1">_FV(B27,"P/E",TRUE)</f>
        <v>576.91920000000005</v>
      </c>
      <c r="I27" s="6">
        <f t="array" aca="1" ref="I27" ca="1">_FV(B27,"Beta")</f>
        <v>1.5625</v>
      </c>
      <c r="J27" s="3">
        <f t="array" aca="1" ref="J27" ca="1">_FV(B27,"52 week high",TRUE)</f>
        <v>278.70499999999998</v>
      </c>
      <c r="K27" s="3">
        <f t="array" aca="1" ref="K27" ca="1">_FV(B27,"52 week low",TRUE)</f>
        <v>98.010099999999994</v>
      </c>
      <c r="L27" s="3">
        <f t="array" aca="1" ref="L27" ca="1">_FV(B27,"High")</f>
        <v>236.83</v>
      </c>
      <c r="M27" s="3">
        <f t="array" aca="1" ref="M27" ca="1">_FV(B27,"Low")</f>
        <v>219.08</v>
      </c>
      <c r="N27" s="3">
        <f t="array" aca="1" ref="N27" ca="1">_FV(B27,"Open")</f>
        <v>230.45</v>
      </c>
      <c r="O27" s="3">
        <f t="array" aca="1" ref="O27" ca="1">_FV(B27,"Previous close",TRUE)</f>
        <v>231.68</v>
      </c>
      <c r="P27" s="7">
        <f t="array" aca="1" ref="P27" ca="1">_FV(B27,"Volume")</f>
        <v>3211401</v>
      </c>
      <c r="Q27" s="7">
        <f t="array" aca="1" ref="Q27" ca="1">_FV(B27,"Volume average",TRUE)</f>
        <v>7402089</v>
      </c>
      <c r="R27" s="8">
        <f t="array" aca="1" ref="R27" ca="1">_FV(B27,"Year incorporated",TRUE)</f>
        <v>2026</v>
      </c>
      <c r="S27" s="7">
        <f t="array" aca="1" ref="S27" ca="1">_FV(B27,"Employees")</f>
        <v>8100</v>
      </c>
      <c r="T27" t="str">
        <f t="array" aca="1" ref="T27" ca="1">_FV(B27,"Industry")</f>
        <v>Software &amp; IT Services</v>
      </c>
      <c r="U27" s="7">
        <f t="array" aca="1" ref="U27" ca="1">_FV(B27,"Market cap",TRUE)</f>
        <v>81055697142</v>
      </c>
      <c r="V27" s="7">
        <f t="array" aca="1" ref="V27" ca="1">_FV(B27,"Shares outstanding",TRUE)</f>
        <v>355960200</v>
      </c>
    </row>
    <row r="28" spans="1:22">
      <c r="A28" t="s">
        <v>140</v>
      </c>
      <c r="B28" t="e" vm="31">
        <v>#VALUE!</v>
      </c>
      <c r="C28" s="2" cm="1">
        <f t="array" aca="1" ref="C28" ca="1">_FV(B28,"Last trade time",TRUE)</f>
        <v>46182.797889501562</v>
      </c>
      <c r="D28" t="str" cm="1">
        <f t="array" aca="1" ref="D28" ca="1">_FV(B28,"Currency")</f>
        <v>USD</v>
      </c>
      <c r="E28" s="3" cm="1">
        <f t="array" aca="1" ref="E28" ca="1">_FV(B28,"Price")</f>
        <v>375.66</v>
      </c>
      <c r="F28" s="4" cm="1">
        <f t="array" aca="1" ref="F28" ca="1">_FV(B28,"Change (%)",TRUE)</f>
        <v>-6.2654000000000001E-2</v>
      </c>
      <c r="G28" s="5" cm="1">
        <f t="array" aca="1" ref="G28" ca="1">_FV(B28,"Change")</f>
        <v>-25.11</v>
      </c>
      <c r="H28" s="6" cm="1">
        <f t="array" aca="1" ref="H28" ca="1">_FV(B28,"P/E",TRUE)</f>
        <v>29.832000000000001</v>
      </c>
      <c r="I28" s="6" cm="1">
        <f t="array" aca="1" ref="I28" ca="1">_FV(B28,"Beta")</f>
        <v>1.3145</v>
      </c>
      <c r="J28" s="3" cm="1">
        <f t="array" aca="1" ref="J28" ca="1">_FV(B28,"52 week high",TRUE)</f>
        <v>469.47</v>
      </c>
      <c r="K28" s="3" cm="1">
        <f t="array" aca="1" ref="K28" ca="1">_FV(B28,"52 week low",TRUE)</f>
        <v>109.17</v>
      </c>
      <c r="L28" s="3" cm="1">
        <f t="array" aca="1" ref="L28" ca="1">_FV(B28,"High")</f>
        <v>407.73</v>
      </c>
      <c r="M28" s="3" cm="1">
        <f t="array" aca="1" ref="M28" ca="1">_FV(B28,"Low")</f>
        <v>357.07</v>
      </c>
      <c r="N28" s="3" cm="1">
        <f t="array" aca="1" ref="N28" ca="1">_FV(B28,"Open")</f>
        <v>404.11</v>
      </c>
      <c r="O28" s="3" cm="1">
        <f t="array" aca="1" ref="O28" ca="1">_FV(B28,"Previous close",TRUE)</f>
        <v>400.77</v>
      </c>
      <c r="P28" s="7" cm="1">
        <f t="array" aca="1" ref="P28" ca="1">_FV(B28,"Volume")</f>
        <v>7828047</v>
      </c>
      <c r="Q28" s="7" cm="1">
        <f t="array" aca="1" ref="Q28" ca="1">_FV(B28,"Volume average",TRUE)</f>
        <v>10921658</v>
      </c>
      <c r="R28" s="8" cm="1">
        <f t="array" aca="1" ref="R28" ca="1">_FV(B28,"Year incorporated",TRUE)</f>
        <v>2013</v>
      </c>
      <c r="S28" s="7" cm="1">
        <f t="array" aca="1" ref="S28" ca="1">_FV(B28,"Employees")</f>
        <v>97000</v>
      </c>
      <c r="T28" t="str" cm="1">
        <f t="array" aca="1" ref="T28" ca="1">_FV(B28,"Industry")</f>
        <v>Computers, Phones &amp; Household Electronics</v>
      </c>
      <c r="U28" s="7" cm="1">
        <f t="array" aca="1" ref="U28" ca="1">_FV(B28,"Market cap",TRUE)</f>
        <v>244016827578</v>
      </c>
      <c r="V28" s="7" cm="1">
        <f t="array" aca="1" ref="V28" ca="1">_FV(B28,"Shares outstanding",TRUE)</f>
        <v>649568300</v>
      </c>
    </row>
    <row r="29" spans="1:22">
      <c r="A29" t="s">
        <v>613</v>
      </c>
      <c r="B29" t="e" vm="32">
        <v>#VALUE!</v>
      </c>
      <c r="C29" s="2" cm="1">
        <f t="array" aca="1" ref="C29" ca="1">_FV(B29,"Last trade time",TRUE)</f>
        <v>46182.797879108592</v>
      </c>
      <c r="D29" t="str" cm="1">
        <f t="array" aca="1" ref="D29" ca="1">_FV(B29,"Currency")</f>
        <v>USD</v>
      </c>
      <c r="E29" s="3" cm="1">
        <f t="array" aca="1" ref="E29" ca="1">_FV(B29,"Price")</f>
        <v>99.53</v>
      </c>
      <c r="F29" s="4" cm="1">
        <f t="array" aca="1" ref="F29" ca="1">_FV(B29,"Change (%)",TRUE)</f>
        <v>6.6749999999999995E-3</v>
      </c>
      <c r="G29" s="5" cm="1">
        <f t="array" aca="1" ref="G29" ca="1">_FV(B29,"Change")</f>
        <v>0.66</v>
      </c>
      <c r="H29" s="6" cm="1">
        <f t="array" aca="1" ref="H29" ca="1">_FV(B29,"P/E",TRUE)</f>
        <v>15.9268</v>
      </c>
      <c r="I29" s="6" cm="1">
        <f t="array" aca="1" ref="I29" ca="1">_FV(B29,"Beta")</f>
        <v>1.3876999999999999</v>
      </c>
      <c r="J29" s="3" cm="1">
        <f t="array" aca="1" ref="J29" ca="1">_FV(B29,"52 week high",TRUE)</f>
        <v>124.69</v>
      </c>
      <c r="K29" s="3" cm="1">
        <f t="array" aca="1" ref="K29" ca="1">_FV(B29,"52 week low",TRUE)</f>
        <v>92.185000000000002</v>
      </c>
      <c r="L29" s="3" cm="1">
        <f t="array" aca="1" ref="L29" ca="1">_FV(B29,"High")</f>
        <v>100.09</v>
      </c>
      <c r="M29" s="3" cm="1">
        <f t="array" aca="1" ref="M29" ca="1">_FV(B29,"Low")</f>
        <v>98.51</v>
      </c>
      <c r="N29" s="3" cm="1">
        <f t="array" aca="1" ref="N29" ca="1">_FV(B29,"Open")</f>
        <v>99.05</v>
      </c>
      <c r="O29" s="3" cm="1">
        <f t="array" aca="1" ref="O29" ca="1">_FV(B29,"Previous close",TRUE)</f>
        <v>98.87</v>
      </c>
      <c r="P29" s="7" cm="1">
        <f t="array" aca="1" ref="P29" ca="1">_FV(B29,"Volume")</f>
        <v>5000974</v>
      </c>
      <c r="Q29" s="7" cm="1">
        <f t="array" aca="1" ref="Q29" ca="1">_FV(B29,"Volume average",TRUE)</f>
        <v>9333509</v>
      </c>
      <c r="R29" s="8" cm="1">
        <f t="array" aca="1" ref="R29" ca="1">_FV(B29,"Year incorporated",TRUE)</f>
        <v>2018</v>
      </c>
      <c r="S29" s="7" cm="1">
        <f t="array" aca="1" ref="S29" ca="1">_FV(B29,"Employees")</f>
        <v>231000</v>
      </c>
      <c r="T29" t="str" cm="1">
        <f t="array" aca="1" ref="T29" ca="1">_FV(B29,"Industry")</f>
        <v>Media &amp; Publishing</v>
      </c>
      <c r="U29" s="7" cm="1">
        <f t="array" aca="1" ref="U29" ca="1">_FV(B29,"Market cap",TRUE)</f>
        <v>172834939830</v>
      </c>
      <c r="V29" s="7" cm="1">
        <f t="array" aca="1" ref="V29" ca="1">_FV(B29,"Shares outstanding",TRUE)</f>
        <v>1736511000</v>
      </c>
    </row>
    <row r="30" spans="1:22">
      <c r="A30" t="s">
        <v>308</v>
      </c>
      <c r="B30" t="e" vm="33">
        <v>#VALUE!</v>
      </c>
      <c r="C30" s="2" cm="1">
        <f t="array" aca="1" ref="C30" ca="1">_FV(B30,"Last trade time",TRUE)</f>
        <v>46182.797871666407</v>
      </c>
      <c r="D30" t="str" cm="1">
        <f t="array" aca="1" ref="D30" ca="1">_FV(B30,"Currency")</f>
        <v>USD</v>
      </c>
      <c r="E30" s="3" cm="1">
        <f t="array" aca="1" ref="E30" ca="1">_FV(B30,"Price")</f>
        <v>40.53</v>
      </c>
      <c r="F30" s="4" cm="1">
        <f t="array" aca="1" ref="F30" ca="1">_FV(B30,"Change (%)",TRUE)</f>
        <v>-3.3158E-2</v>
      </c>
      <c r="G30" s="5" cm="1">
        <f t="array" aca="1" ref="G30" ca="1">_FV(B30,"Change")</f>
        <v>-1.39</v>
      </c>
      <c r="H30" s="6" cm="1">
        <f t="array" aca="1" ref="H30" ca="1">_FV(B30,"P/E",TRUE)</f>
        <v>75.643900000000002</v>
      </c>
      <c r="I30" s="6" cm="1">
        <f t="array" aca="1" ref="I30" ca="1">_FV(B30,"Beta")</f>
        <v>0.73740000000000006</v>
      </c>
      <c r="J30" s="3" cm="1">
        <f t="array" aca="1" ref="J30" ca="1">_FV(B30,"52 week high",TRUE)</f>
        <v>57.55</v>
      </c>
      <c r="K30" s="3" cm="1">
        <f t="array" aca="1" ref="K30" ca="1">_FV(B30,"52 week low",TRUE)</f>
        <v>31.635000000000002</v>
      </c>
      <c r="L30" s="3" cm="1">
        <f t="array" aca="1" ref="L30" ca="1">_FV(B30,"High")</f>
        <v>41.89</v>
      </c>
      <c r="M30" s="3" cm="1">
        <f t="array" aca="1" ref="M30" ca="1">_FV(B30,"Low")</f>
        <v>39.909999999999997</v>
      </c>
      <c r="N30" s="3" cm="1">
        <f t="array" aca="1" ref="N30" ca="1">_FV(B30,"Open")</f>
        <v>41.21</v>
      </c>
      <c r="O30" s="3" cm="1">
        <f t="array" aca="1" ref="O30" ca="1">_FV(B30,"Previous close",TRUE)</f>
        <v>41.92</v>
      </c>
      <c r="P30" s="7" cm="1">
        <f t="array" aca="1" ref="P30" ca="1">_FV(B30,"Volume")</f>
        <v>3566952</v>
      </c>
      <c r="Q30" s="7" cm="1">
        <f t="array" aca="1" ref="Q30" ca="1">_FV(B30,"Volume average",TRUE)</f>
        <v>6396143</v>
      </c>
      <c r="R30" s="8" cm="1">
        <f t="array" aca="1" ref="R30" ca="1">_FV(B30,"Year incorporated",TRUE)</f>
        <v>2014</v>
      </c>
      <c r="S30" s="7" cm="1">
        <f t="array" aca="1" ref="S30" ca="1">_FV(B30,"Employees")</f>
        <v>5600</v>
      </c>
      <c r="T30" t="str" cm="1">
        <f t="array" aca="1" ref="T30" ca="1">_FV(B30,"Industry")</f>
        <v>Software &amp; IT Services</v>
      </c>
      <c r="U30" s="7" cm="1">
        <f t="array" aca="1" ref="U30" ca="1">_FV(B30,"Market cap",TRUE)</f>
        <v>11813510121</v>
      </c>
      <c r="V30" s="7" cm="1">
        <f t="array" aca="1" ref="V30" ca="1">_FV(B30,"Shares outstanding",TRUE)</f>
        <v>291475700</v>
      </c>
    </row>
    <row r="31" spans="1:22">
      <c r="A31" t="s">
        <v>49</v>
      </c>
      <c r="B31" t="e" vm="34">
        <v>#VALUE!</v>
      </c>
      <c r="C31" s="2">
        <f t="array" aca="1" ref="C31" ca="1">_FV(B31,"Last trade time",TRUE)</f>
        <v>46182.797905485939</v>
      </c>
      <c r="D31" t="str">
        <f t="array" aca="1" ref="D31" ca="1">_FV(B31,"Currency")</f>
        <v>USD</v>
      </c>
      <c r="E31" s="3">
        <f t="array" aca="1" ref="E31" ca="1">_FV(B31,"Price")</f>
        <v>6.7750000000000004</v>
      </c>
      <c r="F31" s="4">
        <f t="array" aca="1" ref="F31" ca="1">_FV(B31,"Change (%)",TRUE)</f>
        <v>-7.4454000000000006E-2</v>
      </c>
      <c r="G31" s="5">
        <f t="array" aca="1" ref="G31" ca="1">_FV(B31,"Change")</f>
        <v>-0.54500000000000004</v>
      </c>
      <c r="H31" s="6">
        <f t="array" aca="1" ref="H31" ca="1">_FV(B31,"P/E",TRUE)</f>
        <v>0</v>
      </c>
      <c r="I31" s="6">
        <f t="array" aca="1" ref="I31" ca="1">_FV(B31,"Beta")</f>
        <v>2.2206000000000001</v>
      </c>
      <c r="J31" s="3">
        <f t="array" aca="1" ref="J31" ca="1">_FV(B31,"52 week high",TRUE)</f>
        <v>16.489999999999998</v>
      </c>
      <c r="K31" s="3">
        <f t="array" aca="1" ref="K31" ca="1">_FV(B31,"52 week low",TRUE)</f>
        <v>4.6150000000000002</v>
      </c>
      <c r="L31" s="3">
        <f t="array" aca="1" ref="L31" ca="1">_FV(B31,"High")</f>
        <v>7.55</v>
      </c>
      <c r="M31" s="3">
        <f t="array" aca="1" ref="M31" ca="1">_FV(B31,"Low")</f>
        <v>6.4206000000000003</v>
      </c>
      <c r="N31" s="3">
        <f t="array" aca="1" ref="N31" ca="1">_FV(B31,"Open")</f>
        <v>7.38</v>
      </c>
      <c r="O31" s="3">
        <f t="array" aca="1" ref="O31" ca="1">_FV(B31,"Previous close",TRUE)</f>
        <v>7.32</v>
      </c>
      <c r="P31" s="7">
        <f t="array" aca="1" ref="P31" ca="1">_FV(B31,"Volume")</f>
        <v>5924745</v>
      </c>
      <c r="Q31" s="7">
        <f t="array" aca="1" ref="Q31" ca="1">_FV(B31,"Volume average",TRUE)</f>
        <v>8483889</v>
      </c>
      <c r="R31" s="8">
        <f t="array" aca="1" ref="R31" ca="1">_FV(B31,"Year incorporated",TRUE)</f>
        <v>2020</v>
      </c>
      <c r="S31" s="7">
        <f t="array" aca="1" ref="S31" ca="1">_FV(B31,"Employees")</f>
        <v>664</v>
      </c>
      <c r="T31" t="str">
        <f t="array" aca="1" ref="T31" ca="1">_FV(B31,"Industry")</f>
        <v>Machinery, Equipment &amp; Components</v>
      </c>
      <c r="U31" s="7">
        <f t="array" aca="1" ref="U31" ca="1">_FV(B31,"Market cap",TRUE)</f>
        <v>1477989285</v>
      </c>
      <c r="V31" s="7">
        <f t="array" aca="1" ref="V31" ca="1">_FV(B31,"Shares outstanding",TRUE)</f>
        <v>218153400</v>
      </c>
    </row>
    <row r="32" spans="1:22">
      <c r="A32" t="s">
        <v>148</v>
      </c>
      <c r="B32" t="e" vm="35">
        <v>#VALUE!</v>
      </c>
      <c r="C32" s="2" cm="1">
        <f t="array" aca="1" ref="C32" ca="1">_FV(B32,"Last trade time",TRUE)</f>
        <v>46182.79788927031</v>
      </c>
      <c r="D32" t="str" cm="1">
        <f t="array" aca="1" ref="D32" ca="1">_FV(B32,"Currency")</f>
        <v>USD</v>
      </c>
      <c r="E32" s="3" cm="1">
        <f t="array" aca="1" ref="E32" ca="1">_FV(B32,"Price")</f>
        <v>399.52499999999998</v>
      </c>
      <c r="F32" s="4" cm="1">
        <f t="array" aca="1" ref="F32" ca="1">_FV(B32,"Change (%)",TRUE)</f>
        <v>-8.967000000000001E-3</v>
      </c>
      <c r="G32" s="5" cm="1">
        <f t="array" aca="1" ref="G32" ca="1">_FV(B32,"Change")</f>
        <v>-3.6150000000000002</v>
      </c>
      <c r="H32" s="6" cm="1">
        <f t="array" aca="1" ref="H32" ca="1">_FV(B32,"P/E",TRUE)</f>
        <v>39.058799999999998</v>
      </c>
      <c r="I32" s="6" cm="1">
        <f t="array" aca="1" ref="I32" ca="1">_FV(B32,"Beta")</f>
        <v>1.1853</v>
      </c>
      <c r="J32" s="3" cm="1">
        <f t="array" aca="1" ref="J32" ca="1">_FV(B32,"52 week high",TRUE)</f>
        <v>435.43</v>
      </c>
      <c r="K32" s="3" cm="1">
        <f t="array" aca="1" ref="K32" ca="1">_FV(B32,"52 week low",TRUE)</f>
        <v>311.91500000000002</v>
      </c>
      <c r="L32" s="3" cm="1">
        <f t="array" aca="1" ref="L32" ca="1">_FV(B32,"High")</f>
        <v>413.13499999999999</v>
      </c>
      <c r="M32" s="3" cm="1">
        <f t="array" aca="1" ref="M32" ca="1">_FV(B32,"Low")</f>
        <v>386.62009999999998</v>
      </c>
      <c r="N32" s="3" cm="1">
        <f t="array" aca="1" ref="N32" ca="1">_FV(B32,"Open")</f>
        <v>406.8</v>
      </c>
      <c r="O32" s="3" cm="1">
        <f t="array" aca="1" ref="O32" ca="1">_FV(B32,"Previous close",TRUE)</f>
        <v>403.14</v>
      </c>
      <c r="P32" s="7" cm="1">
        <f t="array" aca="1" ref="P32" ca="1">_FV(B32,"Volume")</f>
        <v>1505686</v>
      </c>
      <c r="Q32" s="7" cm="1">
        <f t="array" aca="1" ref="Q32" ca="1">_FV(B32,"Volume average",TRUE)</f>
        <v>2837174</v>
      </c>
      <c r="R32" s="8" cm="1">
        <f t="array" aca="1" ref="R32" ca="1">_FV(B32,"Year incorporated",TRUE)</f>
        <v>2012</v>
      </c>
      <c r="S32" s="7" cm="1">
        <f t="array" aca="1" ref="S32" ca="1">_FV(B32,"Employees")</f>
        <v>97000</v>
      </c>
      <c r="T32" t="str" cm="1">
        <f t="array" aca="1" ref="T32" ca="1">_FV(B32,"Industry")</f>
        <v>Machinery, Equipment &amp; Components</v>
      </c>
      <c r="U32" s="7" cm="1">
        <f t="array" aca="1" ref="U32" ca="1">_FV(B32,"Market cap",TRUE)</f>
        <v>155135557500</v>
      </c>
      <c r="V32" s="7" cm="1">
        <f t="array" aca="1" ref="V32" ca="1">_FV(B32,"Shares outstanding",TRUE)</f>
        <v>388300000</v>
      </c>
    </row>
    <row r="33" spans="1:22">
      <c r="A33" t="s">
        <v>18</v>
      </c>
      <c r="B33" t="e" vm="36">
        <v>#VALUE!</v>
      </c>
      <c r="C33" s="2">
        <f t="array" aca="1" ref="C33" ca="1">_FV(B33,"Last trade time",TRUE)</f>
        <v>46182.79782461797</v>
      </c>
      <c r="D33" t="str">
        <f t="array" aca="1" ref="D33" ca="1">_FV(B33,"Currency")</f>
        <v>USD</v>
      </c>
      <c r="E33" s="3">
        <f t="array" aca="1" ref="E33" ca="1">_FV(B33,"Price")</f>
        <v>21.33</v>
      </c>
      <c r="F33" s="4">
        <f t="array" aca="1" ref="F33" ca="1">_FV(B33,"Change (%)",TRUE)</f>
        <v>-7.8617999999999993E-2</v>
      </c>
      <c r="G33" s="5">
        <f t="array" aca="1" ref="G33" ca="1">_FV(B33,"Change")</f>
        <v>-1.82</v>
      </c>
      <c r="H33" s="6">
        <f t="array" aca="1" ref="H33" ca="1">_FV(B33,"P/E",TRUE)</f>
        <v>32.342700000000001</v>
      </c>
      <c r="I33" s="6">
        <f t="array" aca="1" ref="I33" ca="1">_FV(B33,"Beta")</f>
        <v>1.4424999999999999</v>
      </c>
      <c r="J33" s="3">
        <f t="array" aca="1" ref="J33" ca="1">_FV(B33,"52 week high",TRUE)</f>
        <v>30.38</v>
      </c>
      <c r="K33" s="3">
        <f t="array" aca="1" ref="K33" ca="1">_FV(B33,"52 week low",TRUE)</f>
        <v>13.29</v>
      </c>
      <c r="L33" s="3">
        <f t="array" aca="1" ref="L33" ca="1">_FV(B33,"High")</f>
        <v>23.17</v>
      </c>
      <c r="M33" s="3">
        <f t="array" aca="1" ref="M33" ca="1">_FV(B33,"Low")</f>
        <v>20.260000000000002</v>
      </c>
      <c r="N33" s="3">
        <f t="array" aca="1" ref="N33" ca="1">_FV(B33,"Open")</f>
        <v>22.72</v>
      </c>
      <c r="O33" s="3">
        <f t="array" aca="1" ref="O33" ca="1">_FV(B33,"Previous close",TRUE)</f>
        <v>23.15</v>
      </c>
      <c r="P33" s="7">
        <f t="array" aca="1" ref="P33" ca="1">_FV(B33,"Volume")</f>
        <v>2528914</v>
      </c>
      <c r="Q33" s="7">
        <f t="array" aca="1" ref="Q33" ca="1">_FV(B33,"Volume average",TRUE)</f>
        <v>3848763</v>
      </c>
      <c r="R33" s="8">
        <f t="array" aca="1" ref="R33" ca="1">_FV(B33,"Year incorporated",TRUE)</f>
        <v>2001</v>
      </c>
      <c r="S33" s="7">
        <f t="array" aca="1" ref="S33" ca="1">_FV(B33,"Employees")</f>
        <v>2910</v>
      </c>
      <c r="T33" t="str">
        <f t="array" aca="1" ref="T33" ca="1">_FV(B33,"Industry")</f>
        <v>Software &amp; IT Services</v>
      </c>
      <c r="U33" s="7">
        <f t="array" aca="1" ref="U33" ca="1">_FV(B33,"Market cap",TRUE)</f>
        <v>1633109906</v>
      </c>
      <c r="V33" s="7">
        <f t="array" aca="1" ref="V33" ca="1">_FV(B33,"Shares outstanding",TRUE)</f>
        <v>76563990</v>
      </c>
    </row>
    <row r="34" spans="1:22">
      <c r="A34" t="s">
        <v>144</v>
      </c>
      <c r="B34" t="e" vm="37">
        <v>#VALUE!</v>
      </c>
      <c r="C34" s="2" cm="1">
        <f t="array" aca="1" ref="C34" ca="1">_FV(B34,"Last trade time",TRUE)</f>
        <v>46182.797895497657</v>
      </c>
      <c r="D34" t="str" cm="1">
        <f t="array" aca="1" ref="D34" ca="1">_FV(B34,"Currency")</f>
        <v>USD</v>
      </c>
      <c r="E34" s="3" cm="1">
        <f t="array" aca="1" ref="E34" ca="1">_FV(B34,"Price")</f>
        <v>137.63999999999999</v>
      </c>
      <c r="F34" s="4" cm="1">
        <f t="array" aca="1" ref="F34" ca="1">_FV(B34,"Change (%)",TRUE)</f>
        <v>-3.7752000000000001E-2</v>
      </c>
      <c r="G34" s="5" cm="1">
        <f t="array" aca="1" ref="G34" ca="1">_FV(B34,"Change")</f>
        <v>-5.4</v>
      </c>
      <c r="H34" s="6" cm="1">
        <f t="array" aca="1" ref="H34" ca="1">_FV(B34,"P/E",TRUE)</f>
        <v>53.175699999999999</v>
      </c>
      <c r="I34" s="6" cm="1">
        <f t="array" aca="1" ref="I34" ca="1">_FV(B34,"Beta")</f>
        <v>1.0934999999999999</v>
      </c>
      <c r="J34" s="3" cm="1">
        <f t="array" aca="1" ref="J34" ca="1">_FV(B34,"52 week high",TRUE)</f>
        <v>150.07</v>
      </c>
      <c r="K34" s="3" cm="1">
        <f t="array" aca="1" ref="K34" ca="1">_FV(B34,"52 week low",TRUE)</f>
        <v>70.12</v>
      </c>
      <c r="L34" s="3" cm="1">
        <f t="array" aca="1" ref="L34" ca="1">_FV(B34,"High")</f>
        <v>144.30000000000001</v>
      </c>
      <c r="M34" s="3" cm="1">
        <f t="array" aca="1" ref="M34" ca="1">_FV(B34,"Low")</f>
        <v>133.05000000000001</v>
      </c>
      <c r="N34" s="3" cm="1">
        <f t="array" aca="1" ref="N34" ca="1">_FV(B34,"Open")</f>
        <v>143.13</v>
      </c>
      <c r="O34" s="3" cm="1">
        <f t="array" aca="1" ref="O34" ca="1">_FV(B34,"Previous close",TRUE)</f>
        <v>143.04</v>
      </c>
      <c r="P34" s="7" cm="1">
        <f t="array" aca="1" ref="P34" ca="1">_FV(B34,"Volume")</f>
        <v>5336358</v>
      </c>
      <c r="Q34" s="7" cm="1">
        <f t="array" aca="1" ref="Q34" ca="1">_FV(B34,"Volume average",TRUE)</f>
        <v>6805393</v>
      </c>
      <c r="R34" s="8" cm="1">
        <f t="array" aca="1" ref="R34" ca="1">_FV(B34,"Year incorporated",TRUE)</f>
        <v>2000</v>
      </c>
      <c r="S34" s="7" cm="1">
        <f t="array" aca="1" ref="S34" ca="1">_FV(B34,"Employees")</f>
        <v>15311</v>
      </c>
      <c r="T34" t="str" cm="1">
        <f t="array" aca="1" ref="T34" ca="1">_FV(B34,"Industry")</f>
        <v>Software &amp; IT Services</v>
      </c>
      <c r="U34" s="7" cm="1">
        <f t="array" aca="1" ref="U34" ca="1">_FV(B34,"Market cap",TRUE)</f>
        <v>100841725775</v>
      </c>
      <c r="V34" s="7" cm="1">
        <f t="array" aca="1" ref="V34" ca="1">_FV(B34,"Shares outstanding",TRUE)</f>
        <v>732648400</v>
      </c>
    </row>
    <row r="35" spans="1:22">
      <c r="A35" t="s">
        <v>45</v>
      </c>
      <c r="B35" t="e" vm="38">
        <v>#VALUE!</v>
      </c>
      <c r="C35" s="2">
        <f t="array" aca="1" ref="C35" ca="1">_FV(B35,"Last trade time",TRUE)</f>
        <v>46182.797885810156</v>
      </c>
      <c r="D35" t="str">
        <f t="array" aca="1" ref="D35" ca="1">_FV(B35,"Currency")</f>
        <v>USD</v>
      </c>
      <c r="E35" s="3">
        <f t="array" aca="1" ref="E35" ca="1">_FV(B35,"Price")</f>
        <v>364.21</v>
      </c>
      <c r="F35" s="4">
        <f t="array" aca="1" ref="F35" ca="1">_FV(B35,"Change (%)",TRUE)</f>
        <v>8.4170000000000009E-3</v>
      </c>
      <c r="G35" s="5">
        <f t="array" aca="1" ref="G35" ca="1">_FV(B35,"Change")</f>
        <v>3.04</v>
      </c>
      <c r="H35" s="6">
        <f t="array" aca="1" ref="H35" ca="1">_FV(B35,"P/E",TRUE)</f>
        <v>27.815200000000001</v>
      </c>
      <c r="I35" s="6">
        <f t="array" aca="1" ref="I35" ca="1">_FV(B35,"Beta")</f>
        <v>1.2437</v>
      </c>
      <c r="J35" s="3">
        <f t="array" aca="1" ref="J35" ca="1">_FV(B35,"52 week high",TRUE)</f>
        <v>404.47</v>
      </c>
      <c r="K35" s="3">
        <f t="array" aca="1" ref="K35" ca="1">_FV(B35,"52 week low",TRUE)</f>
        <v>163.33000000000001</v>
      </c>
      <c r="L35" s="3">
        <f t="array" aca="1" ref="L35" ca="1">_FV(B35,"High")</f>
        <v>369.69220000000001</v>
      </c>
      <c r="M35" s="3">
        <f t="array" aca="1" ref="M35" ca="1">_FV(B35,"Low")</f>
        <v>354.72</v>
      </c>
      <c r="N35" s="3">
        <f t="array" aca="1" ref="N35" ca="1">_FV(B35,"Open")</f>
        <v>365</v>
      </c>
      <c r="O35" s="3">
        <f t="array" aca="1" ref="O35" ca="1">_FV(B35,"Previous close",TRUE)</f>
        <v>361.17</v>
      </c>
      <c r="P35" s="7">
        <f t="array" aca="1" ref="P35" ca="1">_FV(B35,"Volume")</f>
        <v>14054190</v>
      </c>
      <c r="Q35" s="7">
        <f t="array" aca="1" ref="Q35" ca="1">_FV(B35,"Volume average",TRUE)</f>
        <v>21451766</v>
      </c>
      <c r="R35" s="8">
        <f t="array" aca="1" ref="R35" ca="1">_FV(B35,"Year incorporated",TRUE)</f>
        <v>2015</v>
      </c>
      <c r="S35" s="7">
        <f t="array" aca="1" ref="S35" ca="1">_FV(B35,"Employees")</f>
        <v>194668</v>
      </c>
      <c r="T35" t="str">
        <f t="array" aca="1" ref="T35" ca="1">_FV(B35,"Industry")</f>
        <v>Software &amp; IT Services</v>
      </c>
      <c r="U35" s="7">
        <f t="array" aca="1" ref="U35" ca="1">_FV(B35,"Market cap",TRUE)</f>
        <v>4434096497600</v>
      </c>
      <c r="V35" s="7">
        <f t="array" aca="1" ref="V35" ca="1">_FV(B35,"Shares outstanding",TRUE)</f>
        <v>12174560000</v>
      </c>
    </row>
    <row r="36" spans="1:22">
      <c r="A36" t="s">
        <v>60</v>
      </c>
      <c r="B36" t="e" vm="39">
        <v>#VALUE!</v>
      </c>
      <c r="C36" s="2">
        <f t="array" aca="1" ref="C36" ca="1">_FV(B36,"Last trade time",TRUE)</f>
        <v>46182.797851029689</v>
      </c>
      <c r="D36" t="str">
        <f t="array" aca="1" ref="D36" ca="1">_FV(B36,"Currency")</f>
        <v>USD</v>
      </c>
      <c r="E36" s="3">
        <f t="array" aca="1" ref="E36" ca="1">_FV(B36,"Price")</f>
        <v>83.89</v>
      </c>
      <c r="F36" s="4">
        <f t="array" aca="1" ref="F36" ca="1">_FV(B36,"Change (%)",TRUE)</f>
        <v>-1.3523E-2</v>
      </c>
      <c r="G36" s="5">
        <f t="array" aca="1" ref="G36" ca="1">_FV(B36,"Change")</f>
        <v>-1.1499999999999999</v>
      </c>
      <c r="H36" s="6">
        <f t="array" aca="1" ref="H36" ca="1">_FV(B36,"P/E",TRUE)</f>
        <v>46.6678</v>
      </c>
      <c r="I36" s="6">
        <f t="array" aca="1" ref="I36" ca="1">_FV(B36,"Beta")</f>
        <v>2.3628</v>
      </c>
      <c r="J36" s="3">
        <f t="array" aca="1" ref="J36" ca="1">_FV(B36,"52 week high",TRUE)</f>
        <v>153.85990000000001</v>
      </c>
      <c r="K36" s="3">
        <f t="array" aca="1" ref="K36" ca="1">_FV(B36,"52 week low",TRUE)</f>
        <v>63.515000000000001</v>
      </c>
      <c r="L36" s="3">
        <f t="array" aca="1" ref="L36" ca="1">_FV(B36,"High")</f>
        <v>88.08</v>
      </c>
      <c r="M36" s="3">
        <f t="array" aca="1" ref="M36" ca="1">_FV(B36,"Low")</f>
        <v>78.930000000000007</v>
      </c>
      <c r="N36" s="3">
        <f t="array" aca="1" ref="N36" ca="1">_FV(B36,"Open")</f>
        <v>85.95</v>
      </c>
      <c r="O36" s="3">
        <f t="array" aca="1" ref="O36" ca="1">_FV(B36,"Previous close",TRUE)</f>
        <v>85.04</v>
      </c>
      <c r="P36" s="7">
        <f t="array" aca="1" ref="P36" ca="1">_FV(B36,"Volume")</f>
        <v>24235132</v>
      </c>
      <c r="Q36" s="7">
        <f t="array" aca="1" ref="Q36" ca="1">_FV(B36,"Volume average",TRUE)</f>
        <v>26161324</v>
      </c>
      <c r="R36" s="8">
        <f t="array" aca="1" ref="R36" ca="1">_FV(B36,"Year incorporated",TRUE)</f>
        <v>2013</v>
      </c>
      <c r="S36" s="7">
        <f t="array" aca="1" ref="S36" ca="1">_FV(B36,"Employees")</f>
        <v>2900</v>
      </c>
      <c r="T36" t="str">
        <f t="array" aca="1" ref="T36" ca="1">_FV(B36,"Industry")</f>
        <v>Financial Technology (Fintech) &amp; Infrastructure</v>
      </c>
      <c r="U36" s="7">
        <f t="array" aca="1" ref="U36" ca="1">_FV(B36,"Market cap",TRUE)</f>
        <v>75543372839</v>
      </c>
      <c r="V36" s="7">
        <f t="array" aca="1" ref="V36" ca="1">_FV(B36,"Shares outstanding",TRUE)</f>
        <v>900505100</v>
      </c>
    </row>
    <row r="37" spans="1:22">
      <c r="A37" t="s">
        <v>34</v>
      </c>
      <c r="B37" t="e" vm="40">
        <v>#VALUE!</v>
      </c>
      <c r="C37" s="2">
        <f t="array" aca="1" ref="C37" ca="1">_FV(B37,"Last trade time",TRUE)</f>
        <v>46182.797884478903</v>
      </c>
      <c r="D37" t="str">
        <f t="array" aca="1" ref="D37" ca="1">_FV(B37,"Currency")</f>
        <v>USD</v>
      </c>
      <c r="E37" s="3">
        <f t="array" aca="1" ref="E37" ca="1">_FV(B37,"Price")</f>
        <v>278.22000000000003</v>
      </c>
      <c r="F37" s="4">
        <f t="array" aca="1" ref="F37" ca="1">_FV(B37,"Change (%)",TRUE)</f>
        <v>-9.2589999999999999E-3</v>
      </c>
      <c r="G37" s="5">
        <f t="array" aca="1" ref="G37" ca="1">_FV(B37,"Change")</f>
        <v>-2.6</v>
      </c>
      <c r="H37" s="6">
        <f t="array" aca="1" ref="H37" ca="1">_FV(B37,"P/E",TRUE)</f>
        <v>22.264700000000001</v>
      </c>
      <c r="I37" s="6">
        <f t="array" aca="1" ref="I37" ca="1">_FV(B37,"Beta")</f>
        <v>0.67200000000000004</v>
      </c>
      <c r="J37" s="3">
        <f t="array" aca="1" ref="J37" ca="1">_FV(B37,"52 week high",TRUE)</f>
        <v>332.46</v>
      </c>
      <c r="K37" s="3">
        <f t="array" aca="1" ref="K37" ca="1">_FV(B37,"52 week low",TRUE)</f>
        <v>212.34</v>
      </c>
      <c r="L37" s="3">
        <f t="array" aca="1" ref="L37" ca="1">_FV(B37,"High")</f>
        <v>283.58999999999997</v>
      </c>
      <c r="M37" s="3">
        <f t="array" aca="1" ref="M37" ca="1">_FV(B37,"Low")</f>
        <v>271.29000000000002</v>
      </c>
      <c r="N37" s="3">
        <f t="array" aca="1" ref="N37" ca="1">_FV(B37,"Open")</f>
        <v>280.60000000000002</v>
      </c>
      <c r="O37" s="3">
        <f t="array" aca="1" ref="O37" ca="1">_FV(B37,"Previous close",TRUE)</f>
        <v>280.82</v>
      </c>
      <c r="P37" s="7">
        <f t="array" aca="1" ref="P37" ca="1">_FV(B37,"Volume")</f>
        <v>5963332</v>
      </c>
      <c r="Q37" s="7">
        <f t="array" aca="1" ref="Q37" ca="1">_FV(B37,"Volume average",TRUE)</f>
        <v>10950805</v>
      </c>
      <c r="R37" s="8">
        <f t="array" aca="1" ref="R37" ca="1">_FV(B37,"Year incorporated",TRUE)</f>
        <v>1911</v>
      </c>
      <c r="S37" s="7">
        <f t="array" aca="1" ref="S37" ca="1">_FV(B37,"Employees")</f>
        <v>286800</v>
      </c>
      <c r="T37" t="str">
        <f t="array" aca="1" ref="T37" ca="1">_FV(B37,"Industry")</f>
        <v>Software &amp; IT Services</v>
      </c>
      <c r="U37" s="7">
        <f t="array" aca="1" ref="U37" ca="1">_FV(B37,"Market cap",TRUE)</f>
        <v>261494888166</v>
      </c>
      <c r="V37" s="7">
        <f t="array" aca="1" ref="V37" ca="1">_FV(B37,"Shares outstanding",TRUE)</f>
        <v>939885300</v>
      </c>
    </row>
    <row r="38" spans="1:22">
      <c r="A38" t="s">
        <v>14</v>
      </c>
      <c r="B38" t="e" vm="41">
        <v>#VALUE!</v>
      </c>
      <c r="C38" s="2">
        <f t="array" aca="1" ref="C38" ca="1">_FV(B38,"Last trade time",TRUE)</f>
        <v>46182.797818760941</v>
      </c>
      <c r="D38" t="str">
        <f t="array" aca="1" ref="D38" ca="1">_FV(B38,"Currency")</f>
        <v>USD</v>
      </c>
      <c r="E38" s="3">
        <f t="array" aca="1" ref="E38" ca="1">_FV(B38,"Price")</f>
        <v>98.28</v>
      </c>
      <c r="F38" s="4">
        <f t="array" aca="1" ref="F38" ca="1">_FV(B38,"Change (%)",TRUE)</f>
        <v>-4.3875999999999998E-2</v>
      </c>
      <c r="G38" s="5">
        <f t="array" aca="1" ref="G38" ca="1">_FV(B38,"Change")</f>
        <v>-4.51</v>
      </c>
      <c r="H38" s="6">
        <f t="array" aca="1" ref="H38" ca="1">_FV(B38,"P/E",TRUE)</f>
        <v>88.429000000000002</v>
      </c>
      <c r="I38" s="6">
        <f t="array" aca="1" ref="I38" ca="1">_FV(B38,"Beta")</f>
        <v>2.8401999999999998</v>
      </c>
      <c r="J38" s="3">
        <f t="array" aca="1" ref="J38" ca="1">_FV(B38,"52 week high",TRUE)</f>
        <v>125.14</v>
      </c>
      <c r="K38" s="3">
        <f t="array" aca="1" ref="K38" ca="1">_FV(B38,"52 week low",TRUE)</f>
        <v>34.2301</v>
      </c>
      <c r="L38" s="3">
        <f t="array" aca="1" ref="L38" ca="1">_FV(B38,"High")</f>
        <v>109.2068</v>
      </c>
      <c r="M38" s="3">
        <f t="array" aca="1" ref="M38" ca="1">_FV(B38,"Low")</f>
        <v>89.6</v>
      </c>
      <c r="N38" s="3">
        <f t="array" aca="1" ref="N38" ca="1">_FV(B38,"Open")</f>
        <v>103.92</v>
      </c>
      <c r="O38" s="3">
        <f t="array" aca="1" ref="O38" ca="1">_FV(B38,"Previous close",TRUE)</f>
        <v>102.79</v>
      </c>
      <c r="P38" s="7">
        <f t="array" aca="1" ref="P38" ca="1">_FV(B38,"Volume")</f>
        <v>1599969</v>
      </c>
      <c r="Q38" s="7">
        <f t="array" aca="1" ref="Q38" ca="1">_FV(B38,"Volume average",TRUE)</f>
        <v>3123350</v>
      </c>
      <c r="R38" s="8">
        <f t="array" aca="1" ref="R38" ca="1">_FV(B38,"Year incorporated",TRUE)</f>
        <v>1988</v>
      </c>
      <c r="S38" s="7">
        <f t="array" aca="1" ref="S38" ca="1">_FV(B38,"Employees")</f>
        <v>10020</v>
      </c>
      <c r="T38" t="str">
        <f t="array" aca="1" ref="T38" ca="1">_FV(B38,"Industry")</f>
        <v>Software &amp; IT Services</v>
      </c>
      <c r="U38" s="7">
        <f t="array" aca="1" ref="U38" ca="1">_FV(B38,"Market cap",TRUE)</f>
        <v>1490374656</v>
      </c>
      <c r="V38" s="7">
        <f t="array" aca="1" ref="V38" ca="1">_FV(B38,"Shares outstanding",TRUE)</f>
        <v>32655360</v>
      </c>
    </row>
    <row r="39" spans="1:22">
      <c r="A39" t="s">
        <v>71</v>
      </c>
      <c r="B39" t="e" vm="42">
        <v>#VALUE!</v>
      </c>
      <c r="C39" s="2">
        <f t="array" aca="1" ref="C39" ca="1">_FV(B39,"Last trade time",TRUE)</f>
        <v>46182.797927846877</v>
      </c>
      <c r="D39" t="str">
        <f t="array" aca="1" ref="D39" ca="1">_FV(B39,"Currency")</f>
        <v>USD</v>
      </c>
      <c r="E39" s="3">
        <f t="array" aca="1" ref="E39" ca="1">_FV(B39,"Price")</f>
        <v>107.06010000000001</v>
      </c>
      <c r="F39" s="4">
        <f t="array" aca="1" ref="F39" ca="1">_FV(B39,"Change (%)",TRUE)</f>
        <v>-2.9108999999999999E-2</v>
      </c>
      <c r="G39" s="5">
        <f t="array" aca="1" ref="G39" ca="1">_FV(B39,"Change")</f>
        <v>-3.2099000000000002</v>
      </c>
      <c r="H39" s="6">
        <f t="array" aca="1" ref="H39" ca="1">_FV(B39,"P/E",TRUE)</f>
        <v>0</v>
      </c>
      <c r="I39" s="6">
        <f t="array" aca="1" ref="I39" ca="1">_FV(B39,"Beta")</f>
        <v>2.2233000000000001</v>
      </c>
      <c r="J39" s="3">
        <f t="array" aca="1" ref="J39" ca="1">_FV(B39,"52 week high",TRUE)</f>
        <v>132.75</v>
      </c>
      <c r="K39" s="3">
        <f t="array" aca="1" ref="K39" ca="1">_FV(B39,"52 week low",TRUE)</f>
        <v>18.965</v>
      </c>
      <c r="L39" s="3">
        <f t="array" aca="1" ref="L39" ca="1">_FV(B39,"High")</f>
        <v>113.998</v>
      </c>
      <c r="M39" s="3">
        <f t="array" aca="1" ref="M39" ca="1">_FV(B39,"Low")</f>
        <v>99.46</v>
      </c>
      <c r="N39" s="3">
        <f t="array" aca="1" ref="N39" ca="1">_FV(B39,"Open")</f>
        <v>112.59</v>
      </c>
      <c r="O39" s="3">
        <f t="array" aca="1" ref="O39" ca="1">_FV(B39,"Previous close",TRUE)</f>
        <v>110.27</v>
      </c>
      <c r="P39" s="7">
        <f t="array" aca="1" ref="P39" ca="1">_FV(B39,"Volume")</f>
        <v>119666332</v>
      </c>
      <c r="Q39" s="7">
        <f t="array" aca="1" ref="Q39" ca="1">_FV(B39,"Volume average",TRUE)</f>
        <v>136107768</v>
      </c>
      <c r="R39" s="8">
        <f t="array" aca="1" ref="R39" ca="1">_FV(B39,"Year incorporated",TRUE)</f>
        <v>1989</v>
      </c>
      <c r="S39" s="7">
        <f t="array" aca="1" ref="S39" ca="1">_FV(B39,"Employees")</f>
        <v>83200</v>
      </c>
      <c r="T39" t="str">
        <f t="array" aca="1" ref="T39" ca="1">_FV(B39,"Industry")</f>
        <v>Semiconductors &amp; Semiconductor Equipment</v>
      </c>
      <c r="U39" s="7">
        <f t="array" aca="1" ref="U39" ca="1">_FV(B39,"Market cap",TRUE)</f>
        <v>538084062600</v>
      </c>
      <c r="V39" s="7">
        <f t="array" aca="1" ref="V39" ca="1">_FV(B39,"Shares outstanding",TRUE)</f>
        <v>5026000000</v>
      </c>
    </row>
    <row r="40" spans="1:22">
      <c r="A40" t="s">
        <v>79</v>
      </c>
      <c r="B40" t="e" vm="43">
        <v>#VALUE!</v>
      </c>
      <c r="C40" s="2">
        <f t="array" aca="1" ref="C40" ca="1">_FV(B40,"Last trade time",TRUE)</f>
        <v>46182.797852904689</v>
      </c>
      <c r="D40" t="str">
        <f t="array" aca="1" ref="D40" ca="1">_FV(B40,"Currency")</f>
        <v>USD</v>
      </c>
      <c r="E40" s="3">
        <f t="array" aca="1" ref="E40" ca="1">_FV(B40,"Price")</f>
        <v>56.3812</v>
      </c>
      <c r="F40" s="4">
        <f t="array" aca="1" ref="F40" ca="1">_FV(B40,"Change (%)",TRUE)</f>
        <v>-0.10221</v>
      </c>
      <c r="G40" s="5">
        <f t="array" aca="1" ref="G40" ca="1">_FV(B40,"Change")</f>
        <v>-6.4188000000000001</v>
      </c>
      <c r="H40" s="6">
        <f t="array" aca="1" ref="H40" ca="1">_FV(B40,"P/E",TRUE)</f>
        <v>962.13649999999996</v>
      </c>
      <c r="I40" s="6">
        <f t="array" aca="1" ref="I40" ca="1">_FV(B40,"Beta")</f>
        <v>3.2101000000000002</v>
      </c>
      <c r="J40" s="3">
        <f t="array" aca="1" ref="J40" ca="1">_FV(B40,"52 week high",TRUE)</f>
        <v>84.64</v>
      </c>
      <c r="K40" s="3">
        <f t="array" aca="1" ref="K40" ca="1">_FV(B40,"52 week low",TRUE)</f>
        <v>25.89</v>
      </c>
      <c r="L40" s="3">
        <f t="array" aca="1" ref="L40" ca="1">_FV(B40,"High")</f>
        <v>63.948399999999999</v>
      </c>
      <c r="M40" s="3">
        <f t="array" aca="1" ref="M40" ca="1">_FV(B40,"Low")</f>
        <v>53.264600000000002</v>
      </c>
      <c r="N40" s="3">
        <f t="array" aca="1" ref="N40" ca="1">_FV(B40,"Open")</f>
        <v>62.15</v>
      </c>
      <c r="O40" s="3">
        <f t="array" aca="1" ref="O40" ca="1">_FV(B40,"Previous close",TRUE)</f>
        <v>62.8</v>
      </c>
      <c r="P40" s="7">
        <f t="array" aca="1" ref="P40" ca="1">_FV(B40,"Volume")</f>
        <v>28468692</v>
      </c>
      <c r="Q40" s="7">
        <f t="array" aca="1" ref="Q40" ca="1">_FV(B40,"Volume average",TRUE)</f>
        <v>35123330</v>
      </c>
      <c r="R40" s="8">
        <f t="array" aca="1" ref="R40" ca="1">_FV(B40,"Year incorporated",TRUE)</f>
        <v>2020</v>
      </c>
      <c r="S40" s="7">
        <f t="array" aca="1" ref="S40" ca="1">_FV(B40,"Employees")</f>
        <v>1132</v>
      </c>
      <c r="T40" t="str">
        <f t="array" aca="1" ref="T40" ca="1">_FV(B40,"Industry")</f>
        <v>Computers, Phones &amp; Household Electronics</v>
      </c>
      <c r="U40" s="7">
        <f t="array" aca="1" ref="U40" ca="1">_FV(B40,"Market cap",TRUE)</f>
        <v>21045410524</v>
      </c>
      <c r="V40" s="7">
        <f t="array" aca="1" ref="V40" ca="1">_FV(B40,"Shares outstanding",TRUE)</f>
        <v>373270000</v>
      </c>
    </row>
    <row r="41" spans="1:22">
      <c r="A41" t="s">
        <v>446</v>
      </c>
      <c r="B41" t="e" vm="44">
        <v>#VALUE!</v>
      </c>
      <c r="C41" s="2">
        <f t="array" aca="1" ref="C41" ca="1">_FV(B41,"Last trade time",TRUE)</f>
        <v>46182.797914270312</v>
      </c>
      <c r="D41" t="str">
        <f t="array" aca="1" ref="D41" ca="1">_FV(B41,"Currency")</f>
        <v>USD</v>
      </c>
      <c r="E41" s="3">
        <f t="array" aca="1" ref="E41" ca="1">_FV(B41,"Price")</f>
        <v>54.244999999999997</v>
      </c>
      <c r="F41" s="4">
        <f t="array" aca="1" ref="F41" ca="1">_FV(B41,"Change (%)",TRUE)</f>
        <v>-8.3544999999999994E-2</v>
      </c>
      <c r="G41" s="5">
        <f t="array" aca="1" ref="G41" ca="1">_FV(B41,"Change")</f>
        <v>-4.9450000000000003</v>
      </c>
      <c r="H41" s="6">
        <f t="array" aca="1" ref="H41" ca="1">_FV(B41,"P/E",TRUE)</f>
        <v>118.2581</v>
      </c>
      <c r="I41" s="6">
        <f t="array" aca="1" ref="I41" ca="1">_FV(B41,"Beta")</f>
        <v>4.2286999999999999</v>
      </c>
      <c r="J41" s="3">
        <f t="array" aca="1" ref="J41" ca="1">_FV(B41,"52 week high",TRUE)</f>
        <v>76.87</v>
      </c>
      <c r="K41" s="3">
        <f t="array" aca="1" ref="K41" ca="1">_FV(B41,"52 week low",TRUE)</f>
        <v>9.52</v>
      </c>
      <c r="L41" s="3">
        <f t="array" aca="1" ref="L41" ca="1">_FV(B41,"High")</f>
        <v>60.86</v>
      </c>
      <c r="M41" s="3">
        <f t="array" aca="1" ref="M41" ca="1">_FV(B41,"Low")</f>
        <v>51.145000000000003</v>
      </c>
      <c r="N41" s="3">
        <f t="array" aca="1" ref="N41" ca="1">_FV(B41,"Open")</f>
        <v>59</v>
      </c>
      <c r="O41" s="3">
        <f t="array" aca="1" ref="O41" ca="1">_FV(B41,"Previous close",TRUE)</f>
        <v>59.19</v>
      </c>
      <c r="P41" s="7">
        <f t="array" aca="1" ref="P41" ca="1">_FV(B41,"Volume")</f>
        <v>46529028</v>
      </c>
      <c r="Q41" s="7">
        <f t="array" aca="1" ref="Q41" ca="1">_FV(B41,"Volume average",TRUE)</f>
        <v>57875893</v>
      </c>
      <c r="R41" s="8">
        <f t="array" aca="1" ref="R41" ca="1">_FV(B41,"Year incorporated",TRUE)</f>
        <v>2018</v>
      </c>
      <c r="S41" s="7">
        <f t="array" aca="1" ref="S41" ca="1">_FV(B41,"Employees")</f>
        <v>257</v>
      </c>
      <c r="T41" t="str">
        <f t="array" aca="1" ref="T41" ca="1">_FV(B41,"Industry")</f>
        <v>Financial Technology (Fintech) &amp; Infrastructure</v>
      </c>
      <c r="U41" s="7">
        <f t="array" aca="1" ref="U41" ca="1">_FV(B41,"Market cap",TRUE)</f>
        <v>19386007581</v>
      </c>
      <c r="V41" s="7">
        <f t="array" aca="1" ref="V41" ca="1">_FV(B41,"Shares outstanding",TRUE)</f>
        <v>357378700</v>
      </c>
    </row>
    <row r="42" spans="1:22">
      <c r="A42" t="s">
        <v>156</v>
      </c>
      <c r="B42" t="e" vm="45">
        <v>#VALUE!</v>
      </c>
      <c r="C42" s="2" cm="1">
        <f t="array" aca="1" ref="C42" ca="1">_FV(B42,"Last trade time",TRUE)</f>
        <v>46182.797916712501</v>
      </c>
      <c r="D42" t="str" cm="1">
        <f t="array" aca="1" ref="D42" ca="1">_FV(B42,"Currency")</f>
        <v>USD</v>
      </c>
      <c r="E42" s="3" cm="1">
        <f t="array" aca="1" ref="E42" ca="1">_FV(B42,"Price")</f>
        <v>285.44</v>
      </c>
      <c r="F42" s="4" cm="1">
        <f t="array" aca="1" ref="F42" ca="1">_FV(B42,"Change (%)",TRUE)</f>
        <v>4.6810000000000003E-3</v>
      </c>
      <c r="G42" s="5" cm="1">
        <f t="array" aca="1" ref="G42" ca="1">_FV(B42,"Change")</f>
        <v>1.33</v>
      </c>
      <c r="H42" s="6" t="e" vm="13">
        <f t="array" ref="H42">_FV(B42,"P/E",TRUE)</f>
        <v>#VALUE!</v>
      </c>
      <c r="I42" s="6" cm="1">
        <f t="array" aca="1" ref="I42" ca="1">_FV(B42,"Beta")</f>
        <v>0.99929999999999997</v>
      </c>
      <c r="J42" s="3" cm="1">
        <f t="array" aca="1" ref="J42" ca="1">_FV(B42,"52 week high",TRUE)</f>
        <v>292.875</v>
      </c>
      <c r="K42" s="3" cm="1">
        <f t="array" aca="1" ref="K42" ca="1">_FV(B42,"52 week low",TRUE)</f>
        <v>206.81</v>
      </c>
      <c r="L42" s="3" cm="1">
        <f t="array" aca="1" ref="L42" ca="1">_FV(B42,"High")</f>
        <v>290.87</v>
      </c>
      <c r="M42" s="3" cm="1">
        <f t="array" aca="1" ref="M42" ca="1">_FV(B42,"Low")</f>
        <v>277.62</v>
      </c>
      <c r="N42" s="3" cm="1">
        <f t="array" aca="1" ref="N42" ca="1">_FV(B42,"Open")</f>
        <v>286.95999999999998</v>
      </c>
      <c r="O42" s="3" cm="1">
        <f t="array" aca="1" ref="O42" ca="1">_FV(B42,"Previous close",TRUE)</f>
        <v>284.11</v>
      </c>
      <c r="P42" s="7" cm="1">
        <f t="array" aca="1" ref="P42" ca="1">_FV(B42,"Volume")</f>
        <v>34041308</v>
      </c>
      <c r="Q42" s="7" cm="1">
        <f t="array" aca="1" ref="Q42" ca="1">_FV(B42,"Volume average",TRUE)</f>
        <v>26074585</v>
      </c>
      <c r="R42" s="8" t="e" cm="1" vm="14">
        <f t="array" ref="R42">_FV(B42,"Year incorporated",TRUE)</f>
        <v>#VALUE!</v>
      </c>
      <c r="S42" s="7" t="e" cm="1" vm="15">
        <f t="array" ref="S42">_FV(B42,"Employees")</f>
        <v>#VALUE!</v>
      </c>
      <c r="T42" t="e" cm="1" vm="16">
        <f t="array" ref="T42">_FV(B42,"Industry")</f>
        <v>#VALUE!</v>
      </c>
      <c r="U42" s="7" cm="1">
        <f t="array" aca="1" ref="U42" ca="1">_FV(B42,"Market cap",TRUE)</f>
        <v>80933362748.720001</v>
      </c>
      <c r="V42" s="7" t="e" cm="1" vm="17">
        <f t="array" ref="V42">_FV(B42,"Shares outstanding",TRUE)</f>
        <v>#VALUE!</v>
      </c>
    </row>
    <row r="43" spans="1:22">
      <c r="A43" t="s">
        <v>302</v>
      </c>
      <c r="B43" t="e" vm="46">
        <v>#VALUE!</v>
      </c>
      <c r="C43" s="2" cm="1">
        <f t="array" aca="1" ref="C43" ca="1">_FV(B43,"Last trade time",TRUE)</f>
        <v>46182.797897661716</v>
      </c>
      <c r="D43" t="str" cm="1">
        <f t="array" aca="1" ref="D43" ca="1">_FV(B43,"Currency")</f>
        <v>USD</v>
      </c>
      <c r="E43" s="3" cm="1">
        <f t="array" aca="1" ref="E43" ca="1">_FV(B43,"Price")</f>
        <v>2135.4899999999998</v>
      </c>
      <c r="F43" s="4" cm="1">
        <f t="array" aca="1" ref="F43" ca="1">_FV(B43,"Change (%)",TRUE)</f>
        <v>1.3011999999999999E-2</v>
      </c>
      <c r="G43" s="5" cm="1">
        <f t="array" aca="1" ref="G43" ca="1">_FV(B43,"Change")</f>
        <v>27.43</v>
      </c>
      <c r="H43" s="6" cm="1">
        <f t="array" aca="1" ref="H43" ca="1">_FV(B43,"P/E",TRUE)</f>
        <v>604.61210000000005</v>
      </c>
      <c r="I43" s="6" cm="1">
        <f t="array" aca="1" ref="I43" ca="1">_FV(B43,"Beta")</f>
        <v>1.4698</v>
      </c>
      <c r="J43" s="3" cm="1">
        <f t="array" aca="1" ref="J43" ca="1">_FV(B43,"52 week high",TRUE)</f>
        <v>2262.8188</v>
      </c>
      <c r="K43" s="3" cm="1">
        <f t="array" aca="1" ref="K43" ca="1">_FV(B43,"52 week low",TRUE)</f>
        <v>811</v>
      </c>
      <c r="L43" s="3" cm="1">
        <f t="array" aca="1" ref="L43" ca="1">_FV(B43,"High")</f>
        <v>2262.8188</v>
      </c>
      <c r="M43" s="3" cm="1">
        <f t="array" aca="1" ref="M43" ca="1">_FV(B43,"Low")</f>
        <v>1995.5</v>
      </c>
      <c r="N43" s="3" cm="1">
        <f t="array" aca="1" ref="N43" ca="1">_FV(B43,"Open")</f>
        <v>2170</v>
      </c>
      <c r="O43" s="3" cm="1">
        <f t="array" aca="1" ref="O43" ca="1">_FV(B43,"Previous close",TRUE)</f>
        <v>2108.06</v>
      </c>
      <c r="P43" s="7" cm="1">
        <f t="array" aca="1" ref="P43" ca="1">_FV(B43,"Volume")</f>
        <v>1023891</v>
      </c>
      <c r="Q43" s="7" cm="1">
        <f t="array" aca="1" ref="Q43" ca="1">_FV(B43,"Volume average",TRUE)</f>
        <v>1045595</v>
      </c>
      <c r="R43" s="8" cm="1">
        <f t="array" aca="1" ref="R43" ca="1">_FV(B43,"Year incorporated",TRUE)</f>
        <v>1975</v>
      </c>
      <c r="S43" s="7" cm="1">
        <f t="array" aca="1" ref="S43" ca="1">_FV(B43,"Employees")</f>
        <v>15000</v>
      </c>
      <c r="T43" t="str" cm="1">
        <f t="array" aca="1" ref="T43" ca="1">_FV(B43,"Industry")</f>
        <v>Semiconductors &amp; Semiconductor Equipment</v>
      </c>
      <c r="U43" s="7" cm="1">
        <f t="array" aca="1" ref="U43" ca="1">_FV(B43,"Market cap",TRUE)</f>
        <v>278953719975</v>
      </c>
      <c r="V43" s="7" cm="1">
        <f t="array" aca="1" ref="V43" ca="1">_FV(B43,"Shares outstanding",TRUE)</f>
        <v>130627500</v>
      </c>
    </row>
    <row r="44" spans="1:22">
      <c r="A44" t="s">
        <v>37</v>
      </c>
      <c r="B44" t="e" vm="47">
        <v>#VALUE!</v>
      </c>
      <c r="C44" s="2">
        <f t="array" aca="1" ref="C44" ca="1">_FV(B44,"Last trade time",TRUE)</f>
        <v>46182.797908032029</v>
      </c>
      <c r="D44" t="str">
        <f t="array" aca="1" ref="D44" ca="1">_FV(B44,"Currency")</f>
        <v>USD</v>
      </c>
      <c r="E44" s="3">
        <f t="array" aca="1" ref="E44" ca="1">_FV(B44,"Price")</f>
        <v>80.87</v>
      </c>
      <c r="F44" s="4">
        <f t="array" aca="1" ref="F44" ca="1">_FV(B44,"Change (%)",TRUE)</f>
        <v>1.6721E-2</v>
      </c>
      <c r="G44" s="5">
        <f t="array" aca="1" ref="G44" ca="1">_FV(B44,"Change")</f>
        <v>1.33</v>
      </c>
      <c r="H44" s="6">
        <f t="array" aca="1" ref="H44" ca="1">_FV(B44,"P/E",TRUE)</f>
        <v>25.4588</v>
      </c>
      <c r="I44" s="6">
        <f t="array" aca="1" ref="I44" ca="1">_FV(B44,"Beta")</f>
        <v>0.35120000000000001</v>
      </c>
      <c r="J44" s="3">
        <f t="array" aca="1" ref="J44" ca="1">_FV(B44,"52 week high",TRUE)</f>
        <v>82.663499999999999</v>
      </c>
      <c r="K44" s="3">
        <f t="array" aca="1" ref="K44" ca="1">_FV(B44,"52 week low",TRUE)</f>
        <v>65.353800000000007</v>
      </c>
      <c r="L44" s="3">
        <f t="array" aca="1" ref="L44" ca="1">_FV(B44,"High")</f>
        <v>81.760000000000005</v>
      </c>
      <c r="M44" s="3">
        <f t="array" aca="1" ref="M44" ca="1">_FV(B44,"Low")</f>
        <v>79.45</v>
      </c>
      <c r="N44" s="3">
        <f t="array" aca="1" ref="N44" ca="1">_FV(B44,"Open")</f>
        <v>79.5</v>
      </c>
      <c r="O44" s="3">
        <f t="array" aca="1" ref="O44" ca="1">_FV(B44,"Previous close",TRUE)</f>
        <v>79.540000000000006</v>
      </c>
      <c r="P44" s="7">
        <f t="array" aca="1" ref="P44" ca="1">_FV(B44,"Volume")</f>
        <v>11168531</v>
      </c>
      <c r="Q44" s="7">
        <f t="array" aca="1" ref="Q44" ca="1">_FV(B44,"Volume average",TRUE)</f>
        <v>15208608</v>
      </c>
      <c r="R44" s="8">
        <f t="array" aca="1" ref="R44" ca="1">_FV(B44,"Year incorporated",TRUE)</f>
        <v>1919</v>
      </c>
      <c r="S44" s="7">
        <f t="array" aca="1" ref="S44" ca="1">_FV(B44,"Employees")</f>
        <v>65900</v>
      </c>
      <c r="T44" t="str">
        <f t="array" aca="1" ref="T44" ca="1">_FV(B44,"Industry")</f>
        <v>Beverages</v>
      </c>
      <c r="U44" s="7">
        <f t="array" aca="1" ref="U44" ca="1">_FV(B44,"Market cap",TRUE)</f>
        <v>347941719340</v>
      </c>
      <c r="V44" s="7">
        <f t="array" aca="1" ref="V44" ca="1">_FV(B44,"Shares outstanding",TRUE)</f>
        <v>4302482000</v>
      </c>
    </row>
    <row r="45" spans="1:22">
      <c r="A45" t="s">
        <v>61</v>
      </c>
      <c r="B45" t="e" vm="48">
        <v>#VALUE!</v>
      </c>
      <c r="C45" s="2">
        <f t="array" aca="1" ref="C45" ca="1">_FV(B45,"Last trade time",TRUE)</f>
        <v>46182.79788450156</v>
      </c>
      <c r="D45" t="str">
        <f t="array" aca="1" ref="D45" ca="1">_FV(B45,"Currency")</f>
        <v>USD</v>
      </c>
      <c r="E45" s="3">
        <f t="array" aca="1" ref="E45" ca="1">_FV(B45,"Price")</f>
        <v>13.98</v>
      </c>
      <c r="F45" s="4">
        <f t="array" aca="1" ref="F45" ca="1">_FV(B45,"Change (%)",TRUE)</f>
        <v>-7.0479E-2</v>
      </c>
      <c r="G45" s="5">
        <f t="array" aca="1" ref="G45" ca="1">_FV(B45,"Change")</f>
        <v>-1.06</v>
      </c>
      <c r="H45" s="6">
        <f t="array" aca="1" ref="H45" ca="1">_FV(B45,"P/E",TRUE)</f>
        <v>0</v>
      </c>
      <c r="I45" s="6">
        <f t="array" aca="1" ref="I45" ca="1">_FV(B45,"Beta")</f>
        <v>1.3664000000000001</v>
      </c>
      <c r="J45" s="3">
        <f t="array" aca="1" ref="J45" ca="1">_FV(B45,"52 week high",TRUE)</f>
        <v>18.940000000000001</v>
      </c>
      <c r="K45" s="3">
        <f t="array" aca="1" ref="K45" ca="1">_FV(B45,"52 week low",TRUE)</f>
        <v>2.75</v>
      </c>
      <c r="L45" s="3">
        <f t="array" aca="1" ref="L45" ca="1">_FV(B45,"High")</f>
        <v>15.59</v>
      </c>
      <c r="M45" s="3">
        <f t="array" aca="1" ref="M45" ca="1">_FV(B45,"Low")</f>
        <v>13.1107</v>
      </c>
      <c r="N45" s="3">
        <f t="array" aca="1" ref="N45" ca="1">_FV(B45,"Open")</f>
        <v>15.27</v>
      </c>
      <c r="O45" s="3">
        <f t="array" aca="1" ref="O45" ca="1">_FV(B45,"Previous close",TRUE)</f>
        <v>15.04</v>
      </c>
      <c r="P45" s="7">
        <f t="array" aca="1" ref="P45" ca="1">_FV(B45,"Volume")</f>
        <v>3165816</v>
      </c>
      <c r="Q45" s="7">
        <f t="array" aca="1" ref="Q45" ca="1">_FV(B45,"Volume average",TRUE)</f>
        <v>4284104</v>
      </c>
      <c r="R45" s="8">
        <f t="array" aca="1" ref="R45" ca="1">_FV(B45,"Year incorporated",TRUE)</f>
        <v>1992</v>
      </c>
      <c r="S45" s="7">
        <f t="array" aca="1" ref="S45" ca="1">_FV(B45,"Employees")</f>
        <v>345</v>
      </c>
      <c r="T45" t="str">
        <f t="array" aca="1" ref="T45" ca="1">_FV(B45,"Industry")</f>
        <v>Office Equipment</v>
      </c>
      <c r="U45" s="7">
        <f t="array" aca="1" ref="U45" ca="1">_FV(B45,"Market cap",TRUE)</f>
        <v>927724123</v>
      </c>
      <c r="V45" s="7">
        <f t="array" aca="1" ref="V45" ca="1">_FV(B45,"Shares outstanding",TRUE)</f>
        <v>66360810</v>
      </c>
    </row>
    <row r="46" spans="1:22">
      <c r="A46" t="s">
        <v>76</v>
      </c>
      <c r="B46" t="e" vm="49">
        <v>#VALUE!</v>
      </c>
      <c r="C46" s="2">
        <f t="array" aca="1" ref="C46" ca="1">_FV(B46,"Last trade time",TRUE)</f>
        <v>46182.797893714844</v>
      </c>
      <c r="D46" t="str">
        <f t="array" aca="1" ref="D46" ca="1">_FV(B46,"Currency")</f>
        <v>USD</v>
      </c>
      <c r="E46" s="3">
        <f t="array" aca="1" ref="E46" ca="1">_FV(B46,"Price")</f>
        <v>9.44</v>
      </c>
      <c r="F46" s="4">
        <f t="array" aca="1" ref="F46" ca="1">_FV(B46,"Change (%)",TRUE)</f>
        <v>-8.3495000000000014E-2</v>
      </c>
      <c r="G46" s="5">
        <f t="array" aca="1" ref="G46" ca="1">_FV(B46,"Change")</f>
        <v>-0.86</v>
      </c>
      <c r="H46" s="6">
        <f t="array" aca="1" ref="H46" ca="1">_FV(B46,"P/E",TRUE)</f>
        <v>0</v>
      </c>
      <c r="I46" s="6">
        <f t="array" aca="1" ref="I46" ca="1">_FV(B46,"Beta")</f>
        <v>2.3978999999999999</v>
      </c>
      <c r="J46" s="3">
        <f t="array" aca="1" ref="J46" ca="1">_FV(B46,"52 week high",TRUE)</f>
        <v>18.709</v>
      </c>
      <c r="K46" s="3">
        <f t="array" aca="1" ref="K46" ca="1">_FV(B46,"52 week low",TRUE)</f>
        <v>1.0900000000000001</v>
      </c>
      <c r="L46" s="3">
        <f t="array" aca="1" ref="L46" ca="1">_FV(B46,"High")</f>
        <v>10.599500000000001</v>
      </c>
      <c r="M46" s="3">
        <f t="array" aca="1" ref="M46" ca="1">_FV(B46,"Low")</f>
        <v>8.83</v>
      </c>
      <c r="N46" s="3">
        <f t="array" aca="1" ref="N46" ca="1">_FV(B46,"Open")</f>
        <v>10.45</v>
      </c>
      <c r="O46" s="3">
        <f t="array" aca="1" ref="O46" ca="1">_FV(B46,"Previous close",TRUE)</f>
        <v>10.3</v>
      </c>
      <c r="P46" s="7">
        <f t="array" aca="1" ref="P46" ca="1">_FV(B46,"Volume")</f>
        <v>5416957</v>
      </c>
      <c r="Q46" s="7">
        <f t="array" aca="1" ref="Q46" ca="1">_FV(B46,"Volume average",TRUE)</f>
        <v>8450456</v>
      </c>
      <c r="R46" s="8">
        <f t="array" aca="1" ref="R46" ca="1">_FV(B46,"Year incorporated",TRUE)</f>
        <v>1997</v>
      </c>
      <c r="S46" s="7">
        <f t="array" aca="1" ref="S46" ca="1">_FV(B46,"Employees")</f>
        <v>34</v>
      </c>
      <c r="T46" t="str">
        <f t="array" aca="1" ref="T46" ca="1">_FV(B46,"Industry")</f>
        <v>Electronic Equipment &amp; Parts</v>
      </c>
      <c r="U46" s="7">
        <f t="array" aca="1" ref="U46" ca="1">_FV(B46,"Market cap",TRUE)</f>
        <v>1454511424</v>
      </c>
      <c r="V46" s="7">
        <f t="array" aca="1" ref="V46" ca="1">_FV(B46,"Shares outstanding",TRUE)</f>
        <v>154079600</v>
      </c>
    </row>
    <row r="47" spans="1:22">
      <c r="A47" t="s">
        <v>611</v>
      </c>
      <c r="B47" t="e" vm="50">
        <v>#VALUE!</v>
      </c>
      <c r="C47" s="2" cm="1">
        <f t="array" aca="1" ref="C47" ca="1">_FV(B47,"Last trade time",TRUE)</f>
        <v>46182.797917279684</v>
      </c>
      <c r="D47" t="str" cm="1">
        <f t="array" aca="1" ref="D47" ca="1">_FV(B47,"Currency")</f>
        <v>USD</v>
      </c>
      <c r="E47" s="3" cm="1">
        <f t="array" aca="1" ref="E47" ca="1">_FV(B47,"Price")</f>
        <v>282.435</v>
      </c>
      <c r="F47" s="4" cm="1">
        <f t="array" aca="1" ref="F47" ca="1">_FV(B47,"Change (%)",TRUE)</f>
        <v>1.6757999999999999E-2</v>
      </c>
      <c r="G47" s="5" cm="1">
        <f t="array" aca="1" ref="G47" ca="1">_FV(B47,"Change")</f>
        <v>4.6550000000000002</v>
      </c>
      <c r="H47" s="6" cm="1">
        <f t="array" aca="1" ref="H47" ca="1">_FV(B47,"P/E",TRUE)</f>
        <v>23.2807</v>
      </c>
      <c r="I47" s="6" cm="1">
        <f t="array" aca="1" ref="I47" ca="1">_FV(B47,"Beta")</f>
        <v>0.41249999999999998</v>
      </c>
      <c r="J47" s="3" cm="1">
        <f t="array" aca="1" ref="J47" ca="1">_FV(B47,"52 week high",TRUE)</f>
        <v>341.75</v>
      </c>
      <c r="K47" s="3" cm="1">
        <f t="array" aca="1" ref="K47" ca="1">_FV(B47,"52 week low",TRUE)</f>
        <v>271.85000000000002</v>
      </c>
      <c r="L47" s="3" cm="1">
        <f t="array" aca="1" ref="L47" ca="1">_FV(B47,"High")</f>
        <v>285.3</v>
      </c>
      <c r="M47" s="3" cm="1">
        <f t="array" aca="1" ref="M47" ca="1">_FV(B47,"Low")</f>
        <v>276.0401</v>
      </c>
      <c r="N47" s="3" cm="1">
        <f t="array" aca="1" ref="N47" ca="1">_FV(B47,"Open")</f>
        <v>277.45</v>
      </c>
      <c r="O47" s="3" cm="1">
        <f t="array" aca="1" ref="O47" ca="1">_FV(B47,"Previous close",TRUE)</f>
        <v>277.77999999999997</v>
      </c>
      <c r="P47" s="7" cm="1">
        <f t="array" aca="1" ref="P47" ca="1">_FV(B47,"Volume")</f>
        <v>3260110</v>
      </c>
      <c r="Q47" s="7" cm="1">
        <f t="array" aca="1" ref="Q47" ca="1">_FV(B47,"Volume average",TRUE)</f>
        <v>4406861</v>
      </c>
      <c r="R47" s="8" cm="1">
        <f t="array" aca="1" ref="R47" ca="1">_FV(B47,"Year incorporated",TRUE)</f>
        <v>1964</v>
      </c>
      <c r="S47" s="7" cm="1">
        <f t="array" aca="1" ref="S47" ca="1">_FV(B47,"Employees")</f>
        <v>150000</v>
      </c>
      <c r="T47" t="str" cm="1">
        <f t="array" aca="1" ref="T47" ca="1">_FV(B47,"Industry")</f>
        <v>Hotels &amp; Entertainment Services</v>
      </c>
      <c r="U47" s="7" cm="1">
        <f t="array" aca="1" ref="U47" ca="1">_FV(B47,"Market cap",TRUE)</f>
        <v>200671733866</v>
      </c>
      <c r="V47" s="7" cm="1">
        <f t="array" aca="1" ref="V47" ca="1">_FV(B47,"Shares outstanding",TRUE)</f>
        <v>710505900</v>
      </c>
    </row>
    <row r="48" spans="1:22">
      <c r="A48" t="s">
        <v>137</v>
      </c>
      <c r="B48" t="e" vm="51">
        <v>#VALUE!</v>
      </c>
      <c r="C48" s="2" cm="1">
        <f t="array" aca="1" ref="C48" ca="1">_FV(B48,"Last trade time",TRUE)</f>
        <v>46182.7979021875</v>
      </c>
      <c r="D48" t="str" cm="1">
        <f t="array" aca="1" ref="D48" ca="1">_FV(B48,"Currency")</f>
        <v>USD</v>
      </c>
      <c r="E48" s="3" cm="1">
        <f t="array" aca="1" ref="E48" ca="1">_FV(B48,"Price")</f>
        <v>336.92500000000001</v>
      </c>
      <c r="F48" s="4" cm="1">
        <f t="array" aca="1" ref="F48" ca="1">_FV(B48,"Change (%)",TRUE)</f>
        <v>-4.4347000000000004E-2</v>
      </c>
      <c r="G48" s="5" cm="1">
        <f t="array" aca="1" ref="G48" ca="1">_FV(B48,"Change")</f>
        <v>-15.635</v>
      </c>
      <c r="H48" s="6" cm="1">
        <f t="array" aca="1" ref="H48" ca="1">_FV(B48,"P/E",TRUE)</f>
        <v>0</v>
      </c>
      <c r="I48" s="6" cm="1">
        <f t="array" aca="1" ref="I48" ca="1">_FV(B48,"Beta")</f>
        <v>1.5286999999999999</v>
      </c>
      <c r="J48" s="3" cm="1">
        <f t="array" aca="1" ref="J48" ca="1">_FV(B48,"52 week high",TRUE)</f>
        <v>444.72</v>
      </c>
      <c r="K48" s="3" cm="1">
        <f t="array" aca="1" ref="K48" ca="1">_FV(B48,"52 week low",TRUE)</f>
        <v>196</v>
      </c>
      <c r="L48" s="3" cm="1">
        <f t="array" aca="1" ref="L48" ca="1">_FV(B48,"High")</f>
        <v>356.46</v>
      </c>
      <c r="M48" s="3" cm="1">
        <f t="array" aca="1" ref="M48" ca="1">_FV(B48,"Low")</f>
        <v>325.2167</v>
      </c>
      <c r="N48" s="3" cm="1">
        <f t="array" aca="1" ref="N48" ca="1">_FV(B48,"Open")</f>
        <v>348.44</v>
      </c>
      <c r="O48" s="3" cm="1">
        <f t="array" aca="1" ref="O48" ca="1">_FV(B48,"Previous close",TRUE)</f>
        <v>352.56</v>
      </c>
      <c r="P48" s="7" cm="1">
        <f t="array" aca="1" ref="P48" ca="1">_FV(B48,"Volume")</f>
        <v>1244166</v>
      </c>
      <c r="Q48" s="7" cm="1">
        <f t="array" aca="1" ref="Q48" ca="1">_FV(B48,"Volume average",TRUE)</f>
        <v>2758178</v>
      </c>
      <c r="R48" s="8" cm="1">
        <f t="array" aca="1" ref="R48" ca="1">_FV(B48,"Year incorporated",TRUE)</f>
        <v>2007</v>
      </c>
      <c r="S48" s="7" cm="1">
        <f t="array" aca="1" ref="S48" ca="1">_FV(B48,"Employees")</f>
        <v>5636</v>
      </c>
      <c r="T48" t="str" cm="1">
        <f t="array" aca="1" ref="T48" ca="1">_FV(B48,"Industry")</f>
        <v>Software &amp; IT Services</v>
      </c>
      <c r="U48" s="7" cm="1">
        <f t="array" aca="1" ref="U48" ca="1">_FV(B48,"Market cap",TRUE)</f>
        <v>27099528015</v>
      </c>
      <c r="V48" s="7" cm="1">
        <f t="array" aca="1" ref="V48" ca="1">_FV(B48,"Shares outstanding",TRUE)</f>
        <v>80431930</v>
      </c>
    </row>
    <row r="49" spans="1:22">
      <c r="A49" t="s">
        <v>41</v>
      </c>
      <c r="B49" t="e" vm="52">
        <v>#VALUE!</v>
      </c>
      <c r="C49" s="2">
        <f t="array" aca="1" ref="C49" ca="1">_FV(B49,"Last trade time",TRUE)</f>
        <v>46182.79792240703</v>
      </c>
      <c r="D49" t="str">
        <f t="array" aca="1" ref="D49" ca="1">_FV(B49,"Currency")</f>
        <v>USD</v>
      </c>
      <c r="E49" s="3">
        <f t="array" aca="1" ref="E49" ca="1">_FV(B49,"Price")</f>
        <v>591.13</v>
      </c>
      <c r="F49" s="4">
        <f t="array" aca="1" ref="F49" ca="1">_FV(B49,"Change (%)",TRUE)</f>
        <v>9.8050000000000012E-3</v>
      </c>
      <c r="G49" s="5">
        <f t="array" aca="1" ref="G49" ca="1">_FV(B49,"Change")</f>
        <v>5.74</v>
      </c>
      <c r="H49" s="6">
        <f t="array" aca="1" ref="H49" ca="1">_FV(B49,"P/E",TRUE)</f>
        <v>17.9299</v>
      </c>
      <c r="I49" s="6">
        <f t="array" aca="1" ref="I49" ca="1">_FV(B49,"Beta")</f>
        <v>1.2422</v>
      </c>
      <c r="J49" s="3">
        <f t="array" aca="1" ref="J49" ca="1">_FV(B49,"52 week high",TRUE)</f>
        <v>796.25</v>
      </c>
      <c r="K49" s="3">
        <f t="array" aca="1" ref="K49" ca="1">_FV(B49,"52 week low",TRUE)</f>
        <v>520.26</v>
      </c>
      <c r="L49" s="3">
        <f t="array" aca="1" ref="L49" ca="1">_FV(B49,"High")</f>
        <v>597.63</v>
      </c>
      <c r="M49" s="3">
        <f t="array" aca="1" ref="M49" ca="1">_FV(B49,"Low")</f>
        <v>581.01</v>
      </c>
      <c r="N49" s="3">
        <f t="array" aca="1" ref="N49" ca="1">_FV(B49,"Open")</f>
        <v>591.79999999999995</v>
      </c>
      <c r="O49" s="3">
        <f t="array" aca="1" ref="O49" ca="1">_FV(B49,"Previous close",TRUE)</f>
        <v>585.39</v>
      </c>
      <c r="P49" s="7">
        <f t="array" aca="1" ref="P49" ca="1">_FV(B49,"Volume")</f>
        <v>9597370</v>
      </c>
      <c r="Q49" s="7">
        <f t="array" aca="1" ref="Q49" ca="1">_FV(B49,"Volume average",TRUE)</f>
        <v>16818516</v>
      </c>
      <c r="R49" s="8">
        <f t="array" aca="1" ref="R49" ca="1">_FV(B49,"Year incorporated",TRUE)</f>
        <v>2004</v>
      </c>
      <c r="S49" s="7">
        <f t="array" aca="1" ref="S49" ca="1">_FV(B49,"Employees")</f>
        <v>77986</v>
      </c>
      <c r="T49" t="str">
        <f t="array" aca="1" ref="T49" ca="1">_FV(B49,"Industry")</f>
        <v>Software &amp; IT Services</v>
      </c>
      <c r="U49" s="7">
        <f t="array" aca="1" ref="U49" ca="1">_FV(B49,"Market cap",TRUE)</f>
        <v>1500537987990</v>
      </c>
      <c r="V49" s="7">
        <f t="array" aca="1" ref="V49" ca="1">_FV(B49,"Shares outstanding",TRUE)</f>
        <v>2538423000</v>
      </c>
    </row>
    <row r="50" spans="1:22">
      <c r="A50" t="s">
        <v>48</v>
      </c>
      <c r="B50" t="e" vm="53">
        <v>#VALUE!</v>
      </c>
      <c r="C50" s="2">
        <f t="array" aca="1" ref="C50" ca="1">_FV(B50,"Last trade time",TRUE)</f>
        <v>46182.797934050781</v>
      </c>
      <c r="D50" t="str">
        <f t="array" aca="1" ref="D50" ca="1">_FV(B50,"Currency")</f>
        <v>USD</v>
      </c>
      <c r="E50" s="3">
        <f t="array" aca="1" ref="E50" ca="1">_FV(B50,"Price")</f>
        <v>262.95999999999998</v>
      </c>
      <c r="F50" s="4">
        <f t="array" aca="1" ref="F50" ca="1">_FV(B50,"Change (%)",TRUE)</f>
        <v>-8.9631000000000002E-2</v>
      </c>
      <c r="G50" s="5">
        <f t="array" aca="1" ref="G50" ca="1">_FV(B50,"Change")</f>
        <v>-25.89</v>
      </c>
      <c r="H50" s="6">
        <f t="array" aca="1" ref="H50" ca="1">_FV(B50,"P/E",TRUE)</f>
        <v>90.0702</v>
      </c>
      <c r="I50" s="6">
        <f t="array" aca="1" ref="I50" ca="1">_FV(B50,"Beta")</f>
        <v>2.1436999999999999</v>
      </c>
      <c r="J50" s="3">
        <f t="array" aca="1" ref="J50" ca="1">_FV(B50,"52 week high",TRUE)</f>
        <v>324.2</v>
      </c>
      <c r="K50" s="3">
        <f t="array" aca="1" ref="K50" ca="1">_FV(B50,"52 week low",TRUE)</f>
        <v>61.44</v>
      </c>
      <c r="L50" s="3">
        <f t="array" aca="1" ref="L50" ca="1">_FV(B50,"High")</f>
        <v>302.37</v>
      </c>
      <c r="M50" s="3">
        <f t="array" aca="1" ref="M50" ca="1">_FV(B50,"Low")</f>
        <v>244.12</v>
      </c>
      <c r="N50" s="3">
        <f t="array" aca="1" ref="N50" ca="1">_FV(B50,"Open")</f>
        <v>300</v>
      </c>
      <c r="O50" s="3">
        <f t="array" aca="1" ref="O50" ca="1">_FV(B50,"Previous close",TRUE)</f>
        <v>288.85000000000002</v>
      </c>
      <c r="P50" s="7">
        <f t="array" aca="1" ref="P50" ca="1">_FV(B50,"Volume")</f>
        <v>77815118</v>
      </c>
      <c r="Q50" s="7">
        <f t="array" aca="1" ref="Q50" ca="1">_FV(B50,"Volume average",TRUE)</f>
        <v>42738515</v>
      </c>
      <c r="R50" s="8">
        <f t="array" aca="1" ref="R50" ca="1">_FV(B50,"Year incorporated",TRUE)</f>
        <v>2020</v>
      </c>
      <c r="S50" s="7">
        <f t="array" aca="1" ref="S50" ca="1">_FV(B50,"Employees")</f>
        <v>7480</v>
      </c>
      <c r="T50" t="str">
        <f t="array" aca="1" ref="T50" ca="1">_FV(B50,"Industry")</f>
        <v>Semiconductors &amp; Semiconductor Equipment</v>
      </c>
      <c r="U50" s="7">
        <f t="array" aca="1" ref="U50" ca="1">_FV(B50,"Market cap",TRUE)</f>
        <v>230037407999</v>
      </c>
      <c r="V50" s="7">
        <f t="array" aca="1" ref="V50" ca="1">_FV(B50,"Shares outstanding",TRUE)</f>
        <v>874800000</v>
      </c>
    </row>
    <row r="51" spans="1:22">
      <c r="A51" t="s">
        <v>23</v>
      </c>
      <c r="B51" t="e" vm="54">
        <v>#VALUE!</v>
      </c>
      <c r="C51" s="2">
        <f t="array" aca="1" ref="C51" ca="1">_FV(B51,"Last trade time",TRUE)</f>
        <v>46182.797944385937</v>
      </c>
      <c r="D51" t="str">
        <f t="array" aca="1" ref="D51" ca="1">_FV(B51,"Currency")</f>
        <v>USD</v>
      </c>
      <c r="E51" s="3">
        <f t="array" aca="1" ref="E51" ca="1">_FV(B51,"Price")</f>
        <v>403.93</v>
      </c>
      <c r="F51" s="4">
        <f t="array" aca="1" ref="F51" ca="1">_FV(B51,"Change (%)",TRUE)</f>
        <v>-1.8967999999999999E-2</v>
      </c>
      <c r="G51" s="5">
        <f t="array" aca="1" ref="G51" ca="1">_FV(B51,"Change")</f>
        <v>-7.81</v>
      </c>
      <c r="H51" s="6">
        <f t="array" aca="1" ref="H51" ca="1">_FV(B51,"P/E",TRUE)</f>
        <v>24.058299999999999</v>
      </c>
      <c r="I51" s="6">
        <f t="array" aca="1" ref="I51" ca="1">_FV(B51,"Beta")</f>
        <v>1.1191</v>
      </c>
      <c r="J51" s="3">
        <f t="array" aca="1" ref="J51" ca="1">_FV(B51,"52 week high",TRUE)</f>
        <v>555.45000000000005</v>
      </c>
      <c r="K51" s="3">
        <f t="array" aca="1" ref="K51" ca="1">_FV(B51,"52 week low",TRUE)</f>
        <v>356.28</v>
      </c>
      <c r="L51" s="3">
        <f t="array" aca="1" ref="L51" ca="1">_FV(B51,"High")</f>
        <v>411.98</v>
      </c>
      <c r="M51" s="3">
        <f t="array" aca="1" ref="M51" ca="1">_FV(B51,"Low")</f>
        <v>398.48140000000001</v>
      </c>
      <c r="N51" s="3">
        <f t="array" aca="1" ref="N51" ca="1">_FV(B51,"Open")</f>
        <v>408.91</v>
      </c>
      <c r="O51" s="3">
        <f t="array" aca="1" ref="O51" ca="1">_FV(B51,"Previous close",TRUE)</f>
        <v>411.74</v>
      </c>
      <c r="P51" s="7">
        <f t="array" aca="1" ref="P51" ca="1">_FV(B51,"Volume")</f>
        <v>22706202</v>
      </c>
      <c r="Q51" s="7">
        <f t="array" aca="1" ref="Q51" ca="1">_FV(B51,"Volume average",TRUE)</f>
        <v>35642147</v>
      </c>
      <c r="R51" s="8">
        <f t="array" aca="1" ref="R51" ca="1">_FV(B51,"Year incorporated",TRUE)</f>
        <v>1993</v>
      </c>
      <c r="S51" s="7">
        <f t="array" aca="1" ref="S51" ca="1">_FV(B51,"Employees")</f>
        <v>228000</v>
      </c>
      <c r="T51" t="str">
        <f t="array" aca="1" ref="T51" ca="1">_FV(B51,"Industry")</f>
        <v>Software &amp; IT Services</v>
      </c>
      <c r="U51" s="7">
        <f t="array" aca="1" ref="U51" ca="1">_FV(B51,"Market cap",TRUE)</f>
        <v>3000567749550</v>
      </c>
      <c r="V51" s="7">
        <f t="array" aca="1" ref="V51" ca="1">_FV(B51,"Shares outstanding",TRUE)</f>
        <v>7428435000</v>
      </c>
    </row>
    <row r="52" spans="1:22">
      <c r="A52" t="s">
        <v>447</v>
      </c>
      <c r="B52" t="e" vm="55">
        <v>#VALUE!</v>
      </c>
      <c r="C52" s="2">
        <f t="array" aca="1" ref="C52" ca="1">_FV(B52,"Last trade time",TRUE)</f>
        <v>46182.79788916641</v>
      </c>
      <c r="D52" t="str">
        <f t="array" aca="1" ref="D52" ca="1">_FV(B52,"Currency")</f>
        <v>USD</v>
      </c>
      <c r="E52" s="3">
        <f t="array" aca="1" ref="E52" ca="1">_FV(B52,"Price")</f>
        <v>116.93</v>
      </c>
      <c r="F52" s="4">
        <f t="array" aca="1" ref="F52" ca="1">_FV(B52,"Change (%)",TRUE)</f>
        <v>-8.0739000000000005E-2</v>
      </c>
      <c r="G52" s="5">
        <f t="array" aca="1" ref="G52" ca="1">_FV(B52,"Change")</f>
        <v>-10.27</v>
      </c>
      <c r="H52" s="6">
        <f t="array" aca="1" ref="H52" ca="1">_FV(B52,"P/E",TRUE)</f>
        <v>0</v>
      </c>
      <c r="I52" s="6">
        <f t="array" aca="1" ref="I52" ca="1">_FV(B52,"Beta")</f>
        <v>3.5070999999999999</v>
      </c>
      <c r="J52" s="3">
        <f t="array" aca="1" ref="J52" ca="1">_FV(B52,"52 week high",TRUE)</f>
        <v>457.22</v>
      </c>
      <c r="K52" s="3">
        <f t="array" aca="1" ref="K52" ca="1">_FV(B52,"52 week low",TRUE)</f>
        <v>104.16500000000001</v>
      </c>
      <c r="L52" s="3">
        <f t="array" aca="1" ref="L52" ca="1">_FV(B52,"High")</f>
        <v>125.55</v>
      </c>
      <c r="M52" s="3">
        <f t="array" aca="1" ref="M52" ca="1">_FV(B52,"Low")</f>
        <v>114.206</v>
      </c>
      <c r="N52" s="3">
        <f t="array" aca="1" ref="N52" ca="1">_FV(B52,"Open")</f>
        <v>123</v>
      </c>
      <c r="O52" s="3">
        <f t="array" aca="1" ref="O52" ca="1">_FV(B52,"Previous close",TRUE)</f>
        <v>127.2</v>
      </c>
      <c r="P52" s="7">
        <f t="array" aca="1" ref="P52" ca="1">_FV(B52,"Volume")</f>
        <v>17022987</v>
      </c>
      <c r="Q52" s="7">
        <f t="array" aca="1" ref="Q52" ca="1">_FV(B52,"Volume average",TRUE)</f>
        <v>17517825</v>
      </c>
      <c r="R52" s="8">
        <f t="array" aca="1" ref="R52" ca="1">_FV(B52,"Year incorporated",TRUE)</f>
        <v>1989</v>
      </c>
      <c r="S52" s="7">
        <f t="array" aca="1" ref="S52" ca="1">_FV(B52,"Employees")</f>
        <v>1511</v>
      </c>
      <c r="T52" t="str">
        <f t="array" aca="1" ref="T52" ca="1">_FV(B52,"Industry")</f>
        <v>Software &amp; IT Services</v>
      </c>
      <c r="U52" s="7">
        <f t="array" aca="1" ref="U52" ca="1">_FV(B52,"Market cap",TRUE)</f>
        <v>41884080447</v>
      </c>
      <c r="V52" s="7">
        <f t="array" aca="1" ref="V52" ca="1">_FV(B52,"Shares outstanding",TRUE)</f>
        <v>358197900</v>
      </c>
    </row>
    <row r="53" spans="1:22">
      <c r="A53" t="s">
        <v>67</v>
      </c>
      <c r="B53" t="e" vm="56">
        <v>#VALUE!</v>
      </c>
      <c r="C53" s="2">
        <f t="array" aca="1" ref="C53" ca="1">_FV(B53,"Last trade time",TRUE)</f>
        <v>46182.797850416406</v>
      </c>
      <c r="D53" t="str">
        <f t="array" aca="1" ref="D53" ca="1">_FV(B53,"Currency")</f>
        <v>USD</v>
      </c>
      <c r="E53" s="3">
        <f t="array" aca="1" ref="E53" ca="1">_FV(B53,"Price")</f>
        <v>910.24</v>
      </c>
      <c r="F53" s="4">
        <f t="array" aca="1" ref="F53" ca="1">_FV(B53,"Change (%)",TRUE)</f>
        <v>-4.1125999999999996E-2</v>
      </c>
      <c r="G53" s="5">
        <f t="array" aca="1" ref="G53" ca="1">_FV(B53,"Change")</f>
        <v>-39.04</v>
      </c>
      <c r="H53" s="6">
        <f t="array" aca="1" ref="H53" ca="1">_FV(B53,"P/E",TRUE)</f>
        <v>42.973799999999997</v>
      </c>
      <c r="I53" s="6">
        <f t="array" aca="1" ref="I53" ca="1">_FV(B53,"Beta")</f>
        <v>2.1724000000000001</v>
      </c>
      <c r="J53" s="3">
        <f t="array" aca="1" ref="J53" ca="1">_FV(B53,"52 week high",TRUE)</f>
        <v>1089.29</v>
      </c>
      <c r="K53" s="3">
        <f t="array" aca="1" ref="K53" ca="1">_FV(B53,"52 week low",TRUE)</f>
        <v>103.38</v>
      </c>
      <c r="L53" s="3">
        <f t="array" aca="1" ref="L53" ca="1">_FV(B53,"High")</f>
        <v>989.15</v>
      </c>
      <c r="M53" s="3">
        <f t="array" aca="1" ref="M53" ca="1">_FV(B53,"Low")</f>
        <v>854.35</v>
      </c>
      <c r="N53" s="3">
        <f t="array" aca="1" ref="N53" ca="1">_FV(B53,"Open")</f>
        <v>987.27</v>
      </c>
      <c r="O53" s="3">
        <f t="array" aca="1" ref="O53" ca="1">_FV(B53,"Previous close",TRUE)</f>
        <v>949.28</v>
      </c>
      <c r="P53" s="7">
        <f t="array" aca="1" ref="P53" ca="1">_FV(B53,"Volume")</f>
        <v>59440552</v>
      </c>
      <c r="Q53" s="7">
        <f t="array" aca="1" ref="Q53" ca="1">_FV(B53,"Volume average",TRUE)</f>
        <v>55912882</v>
      </c>
      <c r="R53" s="8">
        <f t="array" aca="1" ref="R53" ca="1">_FV(B53,"Year incorporated",TRUE)</f>
        <v>1984</v>
      </c>
      <c r="S53" s="7">
        <f t="array" aca="1" ref="S53" ca="1">_FV(B53,"Employees")</f>
        <v>53000</v>
      </c>
      <c r="T53" t="str">
        <f t="array" aca="1" ref="T53" ca="1">_FV(B53,"Industry")</f>
        <v>Semiconductors &amp; Semiconductor Equipment</v>
      </c>
      <c r="U53" s="7">
        <f t="array" aca="1" ref="U53" ca="1">_FV(B53,"Market cap",TRUE)</f>
        <v>1026508596160</v>
      </c>
      <c r="V53" s="7">
        <f t="array" aca="1" ref="V53" ca="1">_FV(B53,"Shares outstanding",TRUE)</f>
        <v>1127734000</v>
      </c>
    </row>
    <row r="54" spans="1:22">
      <c r="A54" t="s">
        <v>138</v>
      </c>
      <c r="B54" t="e" vm="57">
        <v>#VALUE!</v>
      </c>
      <c r="C54" s="2" cm="1">
        <f t="array" aca="1" ref="C54" ca="1">_FV(B54,"Last trade time",TRUE)</f>
        <v>46182.797830046096</v>
      </c>
      <c r="D54" t="str" cm="1">
        <f t="array" aca="1" ref="D54" ca="1">_FV(B54,"Currency")</f>
        <v>USD</v>
      </c>
      <c r="E54" s="3" cm="1">
        <f t="array" aca="1" ref="E54" ca="1">_FV(B54,"Price")</f>
        <v>235.89449999999999</v>
      </c>
      <c r="F54" s="4" cm="1">
        <f t="array" aca="1" ref="F54" ca="1">_FV(B54,"Change (%)",TRUE)</f>
        <v>-4.8006E-2</v>
      </c>
      <c r="G54" s="5" cm="1">
        <f t="array" aca="1" ref="G54" ca="1">_FV(B54,"Change")</f>
        <v>-11.8955</v>
      </c>
      <c r="H54" s="6" t="e" cm="1" vm="13">
        <f t="array" ref="H54">_FV(B54,"P/E",TRUE)</f>
        <v>#VALUE!</v>
      </c>
      <c r="I54" s="6" cm="1">
        <f t="array" aca="1" ref="I54" ca="1">_FV(B54,"Beta")</f>
        <v>1.6607000000000001</v>
      </c>
      <c r="J54" s="3" cm="1">
        <f t="array" aca="1" ref="J54" ca="1">_FV(B54,"52 week high",TRUE)</f>
        <v>276.815</v>
      </c>
      <c r="K54" s="3" cm="1">
        <f t="array" aca="1" ref="K54" ca="1">_FV(B54,"52 week low",TRUE)</f>
        <v>158.83000000000001</v>
      </c>
      <c r="L54" s="3" cm="1">
        <f t="array" aca="1" ref="L54" ca="1">_FV(B54,"High")</f>
        <v>249.245</v>
      </c>
      <c r="M54" s="3" cm="1">
        <f t="array" aca="1" ref="M54" ca="1">_FV(B54,"Low")</f>
        <v>229.48</v>
      </c>
      <c r="N54" s="3" cm="1">
        <f t="array" aca="1" ref="N54" ca="1">_FV(B54,"Open")</f>
        <v>245.62</v>
      </c>
      <c r="O54" s="3" cm="1">
        <f t="array" aca="1" ref="O54" ca="1">_FV(B54,"Previous close",TRUE)</f>
        <v>247.79</v>
      </c>
      <c r="P54" s="7" cm="1">
        <f t="array" aca="1" ref="P54" ca="1">_FV(B54,"Volume")</f>
        <v>3022302</v>
      </c>
      <c r="Q54" s="7" cm="1">
        <f t="array" aca="1" ref="Q54" ca="1">_FV(B54,"Volume average",TRUE)</f>
        <v>5109593</v>
      </c>
      <c r="R54" s="8" cm="1">
        <f t="array" aca="1" ref="R54" ca="1">_FV(B54,"Year incorporated",TRUE)</f>
        <v>2009</v>
      </c>
      <c r="S54" s="7" cm="1">
        <f t="array" aca="1" ref="S54" ca="1">_FV(B54,"Employees")</f>
        <v>5483</v>
      </c>
      <c r="T54" t="str" cm="1">
        <f t="array" aca="1" ref="T54" ca="1">_FV(B54,"Industry")</f>
        <v>Software &amp; IT Services</v>
      </c>
      <c r="U54" s="7" cm="1">
        <f t="array" aca="1" ref="U54" ca="1">_FV(B54,"Market cap",TRUE)</f>
        <v>83380732515</v>
      </c>
      <c r="V54" s="7" cm="1">
        <f t="array" aca="1" ref="V54" ca="1">_FV(B54,"Shares outstanding",TRUE)</f>
        <v>353466200</v>
      </c>
    </row>
    <row r="55" spans="1:22">
      <c r="A55" t="s">
        <v>616</v>
      </c>
      <c r="B55" t="e" vm="58">
        <v>#VALUE!</v>
      </c>
      <c r="C55" s="2" cm="1">
        <f t="array" aca="1" ref="C55" ca="1">_FV(B55,"Last trade time",TRUE)</f>
        <v>46182.786805555559</v>
      </c>
      <c r="D55" t="str" cm="1">
        <f t="array" aca="1" ref="D55" ca="1">_FV(B55,"Currency")</f>
        <v>EUR</v>
      </c>
      <c r="E55" s="3" cm="1">
        <f t="array" aca="1" ref="E55" ca="1">_FV(B55,"Price")</f>
        <v>38.71</v>
      </c>
      <c r="F55" s="4" cm="1">
        <f t="array" aca="1" ref="F55" ca="1">_FV(B55,"Change (%)",TRUE)</f>
        <v>3.3231000000000004E-2</v>
      </c>
      <c r="G55" s="5" cm="1">
        <f t="array" aca="1" ref="G55" ca="1">_FV(B55,"Change")</f>
        <v>1.2450000000000001</v>
      </c>
      <c r="H55" s="6" cm="1">
        <f t="array" aca="1" ref="H55" ca="1">_FV(B55,"P/E",TRUE)</f>
        <v>30.0078</v>
      </c>
      <c r="I55" s="6" cm="1">
        <f t="array" aca="1" ref="I55" ca="1">_FV(B55,"Beta")</f>
        <v>1.1189</v>
      </c>
      <c r="J55" s="3" t="e" cm="1" vm="59">
        <f t="array" ref="J55">_FV(B55,"52 week high",TRUE)</f>
        <v>#VALUE!</v>
      </c>
      <c r="K55" s="3" t="e" cm="1" vm="60">
        <f t="array" ref="K55">_FV(B55,"52 week low",TRUE)</f>
        <v>#VALUE!</v>
      </c>
      <c r="L55" s="3" cm="1">
        <f t="array" aca="1" ref="L55" ca="1">_FV(B55,"High")</f>
        <v>39.104999999999997</v>
      </c>
      <c r="M55" s="3" cm="1">
        <f t="array" aca="1" ref="M55" ca="1">_FV(B55,"Low")</f>
        <v>37.130000000000003</v>
      </c>
      <c r="N55" s="3" cm="1">
        <f t="array" aca="1" ref="N55" ca="1">_FV(B55,"Open")</f>
        <v>37.409999999999997</v>
      </c>
      <c r="O55" s="3" cm="1">
        <f t="array" aca="1" ref="O55" ca="1">_FV(B55,"Previous close",TRUE)</f>
        <v>37.465000000000003</v>
      </c>
      <c r="P55" s="7" cm="1">
        <f t="array" aca="1" ref="P55" ca="1">_FV(B55,"Volume")</f>
        <v>4643</v>
      </c>
      <c r="Q55" s="7" cm="1">
        <f t="array" aca="1" ref="Q55" ca="1">_FV(B55,"Volume average",TRUE)</f>
        <v>23286010</v>
      </c>
      <c r="R55" s="8" cm="1">
        <f t="array" aca="1" ref="R55" ca="1">_FV(B55,"Year incorporated",TRUE)</f>
        <v>1969</v>
      </c>
      <c r="S55" s="7" cm="1">
        <f t="array" aca="1" ref="S55" ca="1">_FV(B55,"Employees")</f>
        <v>77800</v>
      </c>
      <c r="T55" t="str" cm="1">
        <f t="array" aca="1" ref="T55" ca="1">_FV(B55,"Industry")</f>
        <v>Textiles &amp; Apparel</v>
      </c>
      <c r="U55" s="7" cm="1">
        <f t="array" aca="1" ref="U55" ca="1">_FV(B55,"Market cap",TRUE)</f>
        <v>98149420000</v>
      </c>
      <c r="V55" s="7" cm="1">
        <f t="array" aca="1" ref="V55" ca="1">_FV(B55,"Shares outstanding",TRUE)</f>
        <v>1480887000</v>
      </c>
    </row>
    <row r="56" spans="1:22">
      <c r="A56" t="s">
        <v>448</v>
      </c>
      <c r="B56" t="e" vm="61">
        <v>#VALUE!</v>
      </c>
      <c r="C56" s="2">
        <f t="array" aca="1" ref="C56" ca="1">_FV(B56,"Last trade time",TRUE)</f>
        <v>46182.79791611094</v>
      </c>
      <c r="D56" t="str">
        <f t="array" aca="1" ref="D56" ca="1">_FV(B56,"Currency")</f>
        <v>USD</v>
      </c>
      <c r="E56" s="3">
        <f t="array" aca="1" ref="E56" ca="1">_FV(B56,"Price")</f>
        <v>13.77</v>
      </c>
      <c r="F56" s="4">
        <f t="array" aca="1" ref="F56" ca="1">_FV(B56,"Change (%)",TRUE)</f>
        <v>-5.6203000000000003E-2</v>
      </c>
      <c r="G56" s="5">
        <f t="array" aca="1" ref="G56" ca="1">_FV(B56,"Change")</f>
        <v>-0.82</v>
      </c>
      <c r="H56" s="6">
        <f t="array" aca="1" ref="H56" ca="1">_FV(B56,"P/E",TRUE)</f>
        <v>85.581100000000006</v>
      </c>
      <c r="I56" s="6">
        <f t="array" aca="1" ref="I56" ca="1">_FV(B56,"Beta")</f>
        <v>1.1507000000000001</v>
      </c>
      <c r="J56" s="3">
        <f t="array" aca="1" ref="J56" ca="1">_FV(B56,"52 week high",TRUE)</f>
        <v>17.45</v>
      </c>
      <c r="K56" s="3">
        <f t="array" aca="1" ref="K56" ca="1">_FV(B56,"52 week low",TRUE)</f>
        <v>4</v>
      </c>
      <c r="L56" s="3">
        <f t="array" aca="1" ref="L56" ca="1">_FV(B56,"High")</f>
        <v>14.62</v>
      </c>
      <c r="M56" s="3">
        <f t="array" aca="1" ref="M56" ca="1">_FV(B56,"Low")</f>
        <v>13.18</v>
      </c>
      <c r="N56" s="3">
        <f t="array" aca="1" ref="N56" ca="1">_FV(B56,"Open")</f>
        <v>14.57</v>
      </c>
      <c r="O56" s="3">
        <f t="array" aca="1" ref="O56" ca="1">_FV(B56,"Previous close",TRUE)</f>
        <v>14.59</v>
      </c>
      <c r="P56" s="7">
        <f t="array" aca="1" ref="P56" ca="1">_FV(B56,"Volume")</f>
        <v>163119240</v>
      </c>
      <c r="Q56" s="7">
        <f t="array" aca="1" ref="Q56" ca="1">_FV(B56,"Volume average",TRUE)</f>
        <v>123058151</v>
      </c>
      <c r="R56" s="8">
        <f t="array" aca="1" ref="R56" ca="1">_FV(B56,"Year incorporated",TRUE)</f>
        <v>1997</v>
      </c>
      <c r="S56" s="7">
        <f t="array" aca="1" ref="S56" ca="1">_FV(B56,"Employees")</f>
        <v>77586</v>
      </c>
      <c r="T56" t="str">
        <f t="array" aca="1" ref="T56" ca="1">_FV(B56,"Industry")</f>
        <v>Communications &amp; Networking</v>
      </c>
      <c r="U56" s="7">
        <f t="array" aca="1" ref="U56" ca="1">_FV(B56,"Market cap",TRUE)</f>
        <v>79070644800</v>
      </c>
      <c r="V56" s="7">
        <f t="array" aca="1" ref="V56" ca="1">_FV(B56,"Shares outstanding",TRUE)</f>
        <v>5742240000</v>
      </c>
    </row>
    <row r="57" spans="1:22">
      <c r="A57" t="s">
        <v>16</v>
      </c>
      <c r="B57" t="e" vm="62">
        <v>#VALUE!</v>
      </c>
      <c r="C57" s="2">
        <f t="array" aca="1" ref="C57" ca="1">_FV(B57,"Last trade time",TRUE)</f>
        <v>46182.797846863279</v>
      </c>
      <c r="D57" t="str">
        <f t="array" aca="1" ref="D57" ca="1">_FV(B57,"Currency")</f>
        <v>USD</v>
      </c>
      <c r="E57" s="3">
        <f t="array" aca="1" ref="E57" ca="1">_FV(B57,"Price")</f>
        <v>106.48</v>
      </c>
      <c r="F57" s="4">
        <f t="array" aca="1" ref="F57" ca="1">_FV(B57,"Change (%)",TRUE)</f>
        <v>-6.7518999999999996E-2</v>
      </c>
      <c r="G57" s="5">
        <f t="array" aca="1" ref="G57" ca="1">_FV(B57,"Change")</f>
        <v>-7.71</v>
      </c>
      <c r="H57" s="6">
        <f t="array" aca="1" ref="H57" ca="1">_FV(B57,"P/E",TRUE)</f>
        <v>63.328200000000002</v>
      </c>
      <c r="I57" s="6">
        <f t="array" aca="1" ref="I57" ca="1">_FV(B57,"Beta")</f>
        <v>0.94210000000000005</v>
      </c>
      <c r="J57" s="3">
        <f t="array" aca="1" ref="J57" ca="1">_FV(B57,"52 week high",TRUE)</f>
        <v>211.47800000000001</v>
      </c>
      <c r="K57" s="3">
        <f t="array" aca="1" ref="K57" ca="1">_FV(B57,"52 week low",TRUE)</f>
        <v>81.239999999999995</v>
      </c>
      <c r="L57" s="3">
        <f t="array" aca="1" ref="L57" ca="1">_FV(B57,"High")</f>
        <v>112.39</v>
      </c>
      <c r="M57" s="3">
        <f t="array" aca="1" ref="M57" ca="1">_FV(B57,"Low")</f>
        <v>103.08</v>
      </c>
      <c r="N57" s="3">
        <f t="array" aca="1" ref="N57" ca="1">_FV(B57,"Open")</f>
        <v>110.3</v>
      </c>
      <c r="O57" s="3">
        <f t="array" aca="1" ref="O57" ca="1">_FV(B57,"Previous close",TRUE)</f>
        <v>114.19</v>
      </c>
      <c r="P57" s="7">
        <f t="array" aca="1" ref="P57" ca="1">_FV(B57,"Volume")</f>
        <v>27611363</v>
      </c>
      <c r="Q57" s="7">
        <f t="array" aca="1" ref="Q57" ca="1">_FV(B57,"Volume average",TRUE)</f>
        <v>32672077</v>
      </c>
      <c r="R57" s="8">
        <f t="array" aca="1" ref="R57" ca="1">_FV(B57,"Year incorporated",TRUE)</f>
        <v>2012</v>
      </c>
      <c r="S57" s="7">
        <f t="array" aca="1" ref="S57" ca="1">_FV(B57,"Employees")</f>
        <v>29187</v>
      </c>
      <c r="T57" t="str">
        <f t="array" aca="1" ref="T57" ca="1">_FV(B57,"Industry")</f>
        <v>Software &amp; IT Services</v>
      </c>
      <c r="U57" s="7">
        <f t="array" aca="1" ref="U57" ca="1">_FV(B57,"Market cap",TRUE)</f>
        <v>109813675840</v>
      </c>
      <c r="V57" s="7">
        <f t="array" aca="1" ref="V57" ca="1">_FV(B57,"Shares outstanding",TRUE)</f>
        <v>1031308000</v>
      </c>
    </row>
    <row r="58" spans="1:22">
      <c r="A58" t="s">
        <v>59</v>
      </c>
      <c r="B58" t="e" vm="63">
        <v>#VALUE!</v>
      </c>
      <c r="C58" s="2">
        <f t="array" aca="1" ref="C58" ca="1">_FV(B58,"Last trade time",TRUE)</f>
        <v>46182.797862789062</v>
      </c>
      <c r="D58" t="str">
        <f t="array" aca="1" ref="D58" ca="1">_FV(B58,"Currency")</f>
        <v>USD</v>
      </c>
      <c r="E58" s="3">
        <f t="array" aca="1" ref="E58" ca="1">_FV(B58,"Price")</f>
        <v>206.91</v>
      </c>
      <c r="F58" s="4">
        <f t="array" aca="1" ref="F58" ca="1">_FV(B58,"Change (%)",TRUE)</f>
        <v>-8.2920000000000008E-3</v>
      </c>
      <c r="G58" s="5">
        <f t="array" aca="1" ref="G58" ca="1">_FV(B58,"Change")</f>
        <v>-1.73</v>
      </c>
      <c r="H58" s="6">
        <f t="array" aca="1" ref="H58" ca="1">_FV(B58,"P/E",TRUE)</f>
        <v>31.6861</v>
      </c>
      <c r="I58" s="6">
        <f t="array" aca="1" ref="I58" ca="1">_FV(B58,"Beta")</f>
        <v>2.1962000000000002</v>
      </c>
      <c r="J58" s="3">
        <f t="array" aca="1" ref="J58" ca="1">_FV(B58,"52 week high",TRUE)</f>
        <v>236.54</v>
      </c>
      <c r="K58" s="3">
        <f t="array" aca="1" ref="K58" ca="1">_FV(B58,"52 week low",TRUE)</f>
        <v>140.85499999999999</v>
      </c>
      <c r="L58" s="3">
        <f t="array" aca="1" ref="L58" ca="1">_FV(B58,"High")</f>
        <v>211.39</v>
      </c>
      <c r="M58" s="3">
        <f t="array" aca="1" ref="M58" ca="1">_FV(B58,"Low")</f>
        <v>199.34</v>
      </c>
      <c r="N58" s="3">
        <f t="array" aca="1" ref="N58" ca="1">_FV(B58,"Open")</f>
        <v>210.76</v>
      </c>
      <c r="O58" s="3">
        <f t="array" aca="1" ref="O58" ca="1">_FV(B58,"Previous close",TRUE)</f>
        <v>208.64</v>
      </c>
      <c r="P58" s="7">
        <f t="array" aca="1" ref="P58" ca="1">_FV(B58,"Volume")</f>
        <v>135373430</v>
      </c>
      <c r="Q58" s="7">
        <f t="array" aca="1" ref="Q58" ca="1">_FV(B58,"Volume average",TRUE)</f>
        <v>171614589</v>
      </c>
      <c r="R58" s="8">
        <f t="array" aca="1" ref="R58" ca="1">_FV(B58,"Year incorporated",TRUE)</f>
        <v>1998</v>
      </c>
      <c r="S58" s="7">
        <f t="array" aca="1" ref="S58" ca="1">_FV(B58,"Employees")</f>
        <v>42000</v>
      </c>
      <c r="T58" t="str">
        <f t="array" aca="1" ref="T58" ca="1">_FV(B58,"Industry")</f>
        <v>Semiconductors &amp; Semiconductor Equipment</v>
      </c>
      <c r="U58" s="7">
        <f t="array" aca="1" ref="U58" ca="1">_FV(B58,"Market cap",TRUE)</f>
        <v>5007222000000</v>
      </c>
      <c r="V58" s="7">
        <f t="array" aca="1" ref="V58" ca="1">_FV(B58,"Shares outstanding",TRUE)</f>
        <v>24200000000</v>
      </c>
    </row>
    <row r="59" spans="1:22">
      <c r="A59" t="s">
        <v>301</v>
      </c>
      <c r="B59" t="e" vm="64">
        <v>#VALUE!</v>
      </c>
      <c r="C59" s="2" cm="1">
        <f t="array" aca="1" ref="C59" ca="1">_FV(B59,"Last trade time",TRUE)</f>
        <v>46182.797831365628</v>
      </c>
      <c r="D59" t="str" cm="1">
        <f t="array" aca="1" ref="D59" ca="1">_FV(B59,"Currency")</f>
        <v>USD</v>
      </c>
      <c r="E59" s="3" cm="1">
        <f t="array" aca="1" ref="E59" ca="1">_FV(B59,"Price")</f>
        <v>115.83</v>
      </c>
      <c r="F59" s="4" cm="1">
        <f t="array" aca="1" ref="F59" ca="1">_FV(B59,"Change (%)",TRUE)</f>
        <v>-4.1935E-2</v>
      </c>
      <c r="G59" s="5" cm="1">
        <f t="array" aca="1" ref="G59" ca="1">_FV(B59,"Change")</f>
        <v>-5.07</v>
      </c>
      <c r="H59" s="6" cm="1">
        <f t="array" aca="1" ref="H59" ca="1">_FV(B59,"P/E",TRUE)</f>
        <v>82.712100000000007</v>
      </c>
      <c r="I59" s="6" cm="1">
        <f t="array" aca="1" ref="I59" ca="1">_FV(B59,"Beta")</f>
        <v>1.964</v>
      </c>
      <c r="J59" s="3" cm="1">
        <f t="array" aca="1" ref="J59" ca="1">_FV(B59,"52 week high",TRUE)</f>
        <v>134.91999999999999</v>
      </c>
      <c r="K59" s="3" cm="1">
        <f t="array" aca="1" ref="K59" ca="1">_FV(B59,"52 week low",TRUE)</f>
        <v>44.56</v>
      </c>
      <c r="L59" s="3" cm="1">
        <f t="array" aca="1" ref="L59" ca="1">_FV(B59,"High")</f>
        <v>124</v>
      </c>
      <c r="M59" s="3" cm="1">
        <f t="array" aca="1" ref="M59" ca="1">_FV(B59,"Low")</f>
        <v>108.3</v>
      </c>
      <c r="N59" s="3" cm="1">
        <f t="array" aca="1" ref="N59" ca="1">_FV(B59,"Open")</f>
        <v>122.62</v>
      </c>
      <c r="O59" s="3" cm="1">
        <f t="array" aca="1" ref="O59" ca="1">_FV(B59,"Previous close",TRUE)</f>
        <v>120.9</v>
      </c>
      <c r="P59" s="7" cm="1">
        <f t="array" aca="1" ref="P59" ca="1">_FV(B59,"Volume")</f>
        <v>10339535</v>
      </c>
      <c r="Q59" s="7" cm="1">
        <f t="array" aca="1" ref="Q59" ca="1">_FV(B59,"Volume average",TRUE)</f>
        <v>13146092</v>
      </c>
      <c r="R59" s="8" cm="1">
        <f t="array" aca="1" ref="R59" ca="1">_FV(B59,"Year incorporated",TRUE)</f>
        <v>2000</v>
      </c>
      <c r="S59" s="7" cm="1">
        <f t="array" aca="1" ref="S59" ca="1">_FV(B59,"Employees")</f>
        <v>22600</v>
      </c>
      <c r="T59" t="str" cm="1">
        <f t="array" aca="1" ref="T59" ca="1">_FV(B59,"Industry")</f>
        <v>Semiconductors &amp; Semiconductor Equipment</v>
      </c>
      <c r="U59" s="7" cm="1">
        <f t="array" aca="1" ref="U59" ca="1">_FV(B59,"Market cap",TRUE)</f>
        <v>45394147656</v>
      </c>
      <c r="V59" s="7" cm="1">
        <f t="array" aca="1" ref="V59" ca="1">_FV(B59,"Shares outstanding",TRUE)</f>
        <v>391903200</v>
      </c>
    </row>
    <row r="60" spans="1:22">
      <c r="A60" t="s">
        <v>449</v>
      </c>
      <c r="B60" t="e" vm="65">
        <v>#VALUE!</v>
      </c>
      <c r="C60" s="2">
        <f t="array" aca="1" ref="C60" ca="1">_FV(B60,"Last trade time",TRUE)</f>
        <v>46182.797879062498</v>
      </c>
      <c r="D60" t="str">
        <f t="array" aca="1" ref="D60" ca="1">_FV(B60,"Currency")</f>
        <v>USD</v>
      </c>
      <c r="E60" s="3">
        <f t="array" aca="1" ref="E60" ca="1">_FV(B60,"Price")</f>
        <v>9.6</v>
      </c>
      <c r="F60" s="4">
        <f t="array" aca="1" ref="F60" ca="1">_FV(B60,"Change (%)",TRUE)</f>
        <v>-6.7960999999999994E-2</v>
      </c>
      <c r="G60" s="5">
        <f t="array" aca="1" ref="G60" ca="1">_FV(B60,"Change")</f>
        <v>-0.7</v>
      </c>
      <c r="H60" s="6">
        <f t="array" aca="1" ref="H60" ca="1">_FV(B60,"P/E",TRUE)</f>
        <v>24.2057</v>
      </c>
      <c r="I60" s="6">
        <f t="array" aca="1" ref="I60" ca="1">_FV(B60,"Beta")</f>
        <v>2.6795</v>
      </c>
      <c r="J60" s="3">
        <f t="array" aca="1" ref="J60" ca="1">_FV(B60,"52 week high",TRUE)</f>
        <v>15.28</v>
      </c>
      <c r="K60" s="3">
        <f t="array" aca="1" ref="K60" ca="1">_FV(B60,"52 week low",TRUE)</f>
        <v>1.36</v>
      </c>
      <c r="L60" s="3">
        <f t="array" aca="1" ref="L60" ca="1">_FV(B60,"High")</f>
        <v>10.41</v>
      </c>
      <c r="M60" s="3">
        <f t="array" aca="1" ref="M60" ca="1">_FV(B60,"Low")</f>
        <v>9.0401000000000007</v>
      </c>
      <c r="N60" s="3">
        <f t="array" aca="1" ref="N60" ca="1">_FV(B60,"Open")</f>
        <v>10.31</v>
      </c>
      <c r="O60" s="3">
        <f t="array" aca="1" ref="O60" ca="1">_FV(B60,"Previous close",TRUE)</f>
        <v>10.3</v>
      </c>
      <c r="P60" s="7">
        <f t="array" aca="1" ref="P60" ca="1">_FV(B60,"Volume")</f>
        <v>58843258</v>
      </c>
      <c r="Q60" s="7">
        <f t="array" aca="1" ref="Q60" ca="1">_FV(B60,"Volume average",TRUE)</f>
        <v>82330955</v>
      </c>
      <c r="R60" s="8">
        <f t="array" aca="1" ref="R60" ca="1">_FV(B60,"Year incorporated",TRUE)</f>
        <v>2014</v>
      </c>
      <c r="S60" s="7">
        <f t="array" aca="1" ref="S60" ca="1">_FV(B60,"Employees")</f>
        <v>459</v>
      </c>
      <c r="T60" t="str">
        <f t="array" aca="1" ref="T60" ca="1">_FV(B60,"Industry")</f>
        <v>Communications &amp; Networking</v>
      </c>
      <c r="U60" s="7">
        <f t="array" aca="1" ref="U60" ca="1">_FV(B60,"Market cap",TRUE)</f>
        <v>4873007040</v>
      </c>
      <c r="V60" s="7">
        <f t="array" aca="1" ref="V60" ca="1">_FV(B60,"Shares outstanding",TRUE)</f>
        <v>507604900</v>
      </c>
    </row>
    <row r="61" spans="1:22">
      <c r="A61" t="s">
        <v>44</v>
      </c>
      <c r="B61" t="e" vm="66">
        <v>#VALUE!</v>
      </c>
      <c r="C61" s="2">
        <f t="array" aca="1" ref="C61" ca="1">_FV(B61,"Last trade time",TRUE)</f>
        <v>46182.797926909378</v>
      </c>
      <c r="D61" t="str">
        <f t="array" aca="1" ref="D61" ca="1">_FV(B61,"Currency")</f>
        <v>USD</v>
      </c>
      <c r="E61" s="3">
        <f t="array" aca="1" ref="E61" ca="1">_FV(B61,"Price")</f>
        <v>204.965</v>
      </c>
      <c r="F61" s="4">
        <f t="array" aca="1" ref="F61" ca="1">_FV(B61,"Change (%)",TRUE)</f>
        <v>-3.2362000000000002E-2</v>
      </c>
      <c r="G61" s="5">
        <f t="array" aca="1" ref="G61" ca="1">_FV(B61,"Change")</f>
        <v>-6.8550000000000004</v>
      </c>
      <c r="H61" s="6">
        <f t="array" aca="1" ref="H61" ca="1">_FV(B61,"P/E",TRUE)</f>
        <v>34.740400000000001</v>
      </c>
      <c r="I61" s="6">
        <f t="array" aca="1" ref="I61" ca="1">_FV(B61,"Beta")</f>
        <v>1.6625000000000001</v>
      </c>
      <c r="J61" s="3">
        <f t="array" aca="1" ref="J61" ca="1">_FV(B61,"52 week high",TRUE)</f>
        <v>345.72</v>
      </c>
      <c r="K61" s="3">
        <f t="array" aca="1" ref="K61" ca="1">_FV(B61,"52 week low",TRUE)</f>
        <v>134.57</v>
      </c>
      <c r="L61" s="3">
        <f t="array" aca="1" ref="L61" ca="1">_FV(B61,"High")</f>
        <v>220.5</v>
      </c>
      <c r="M61" s="3">
        <f t="array" aca="1" ref="M61" ca="1">_FV(B61,"Low")</f>
        <v>197.7901</v>
      </c>
      <c r="N61" s="3">
        <f t="array" aca="1" ref="N61" ca="1">_FV(B61,"Open")</f>
        <v>214.45</v>
      </c>
      <c r="O61" s="3">
        <f t="array" aca="1" ref="O61" ca="1">_FV(B61,"Previous close",TRUE)</f>
        <v>211.82</v>
      </c>
      <c r="P61" s="7">
        <f t="array" aca="1" ref="P61" ca="1">_FV(B61,"Volume")</f>
        <v>20167237</v>
      </c>
      <c r="Q61" s="7">
        <f t="array" aca="1" ref="Q61" ca="1">_FV(B61,"Volume average",TRUE)</f>
        <v>22642535</v>
      </c>
      <c r="R61" s="8">
        <f t="array" aca="1" ref="R61" ca="1">_FV(B61,"Year incorporated",TRUE)</f>
        <v>2005</v>
      </c>
      <c r="S61" s="7">
        <f t="array" aca="1" ref="S61" ca="1">_FV(B61,"Employees")</f>
        <v>162000</v>
      </c>
      <c r="T61" t="str">
        <f t="array" aca="1" ref="T61" ca="1">_FV(B61,"Industry")</f>
        <v>Software &amp; IT Services</v>
      </c>
      <c r="U61" s="7">
        <f t="array" aca="1" ref="U61" ca="1">_FV(B61,"Market cap",TRUE)</f>
        <v>589488768390</v>
      </c>
      <c r="V61" s="7">
        <f t="array" aca="1" ref="V61" ca="1">_FV(B61,"Shares outstanding",TRUE)</f>
        <v>2876046000</v>
      </c>
    </row>
    <row r="62" spans="1:22">
      <c r="A62" s="49" t="s">
        <v>142</v>
      </c>
      <c r="B62" t="e" vm="67">
        <v>#VALUE!</v>
      </c>
      <c r="C62" s="2" cm="1">
        <f t="array" aca="1" ref="C62" ca="1">_FV(B62,"Last trade time",TRUE)</f>
        <v>46182.797949687498</v>
      </c>
      <c r="D62" t="str" cm="1">
        <f t="array" aca="1" ref="D62" ca="1">_FV(B62,"Currency")</f>
        <v>USD</v>
      </c>
      <c r="E62" s="3" cm="1">
        <f t="array" aca="1" ref="E62" ca="1">_FV(B62,"Price")</f>
        <v>259.41500000000002</v>
      </c>
      <c r="F62" s="4" cm="1">
        <f t="array" aca="1" ref="F62" ca="1">_FV(B62,"Change (%)",TRUE)</f>
        <v>-2.5964000000000001E-2</v>
      </c>
      <c r="G62" s="5" cm="1">
        <f t="array" aca="1" ref="G62" ca="1">_FV(B62,"Change")</f>
        <v>-6.915</v>
      </c>
      <c r="H62" s="6" cm="1">
        <f t="array" aca="1" ref="H62" ca="1">_FV(B62,"P/E",TRUE)</f>
        <v>213.59819999999999</v>
      </c>
      <c r="I62" s="6" cm="1">
        <f t="array" aca="1" ref="I62" ca="1">_FV(B62,"Beta")</f>
        <v>0.95740000000000003</v>
      </c>
      <c r="J62" s="3" cm="1">
        <f t="array" aca="1" ref="J62" ca="1">_FV(B62,"52 week high",TRUE)</f>
        <v>302.95</v>
      </c>
      <c r="K62" s="3" cm="1">
        <f t="array" aca="1" ref="K62" ca="1">_FV(B62,"52 week low",TRUE)</f>
        <v>139.57060000000001</v>
      </c>
      <c r="L62" s="3" cm="1">
        <f t="array" aca="1" ref="L62" ca="1">_FV(B62,"High")</f>
        <v>266.44</v>
      </c>
      <c r="M62" s="3" cm="1">
        <f t="array" aca="1" ref="M62" ca="1">_FV(B62,"Low")</f>
        <v>251.20500000000001</v>
      </c>
      <c r="N62" s="3" cm="1">
        <f t="array" aca="1" ref="N62" ca="1">_FV(B62,"Open")</f>
        <v>265</v>
      </c>
      <c r="O62" s="3" cm="1">
        <f t="array" aca="1" ref="O62" ca="1">_FV(B62,"Previous close",TRUE)</f>
        <v>266.33</v>
      </c>
      <c r="P62" s="7" cm="1">
        <f t="array" aca="1" ref="P62" ca="1">_FV(B62,"Volume")</f>
        <v>4763152</v>
      </c>
      <c r="Q62" s="7" cm="1">
        <f t="array" aca="1" ref="Q62" ca="1">_FV(B62,"Volume average",TRUE)</f>
        <v>9528069</v>
      </c>
      <c r="R62" s="8" cm="1">
        <f t="array" aca="1" ref="R62" ca="1">_FV(B62,"Year incorporated",TRUE)</f>
        <v>2005</v>
      </c>
      <c r="S62" s="7" cm="1">
        <f t="array" aca="1" ref="S62" ca="1">_FV(B62,"Employees")</f>
        <v>21491</v>
      </c>
      <c r="T62" t="str" cm="1">
        <f t="array" aca="1" ref="T62" ca="1">_FV(B62,"Industry")</f>
        <v>Software &amp; IT Services</v>
      </c>
      <c r="U62" s="7" cm="1">
        <f t="array" aca="1" ref="U62" ca="1">_FV(B62,"Market cap",TRUE)</f>
        <v>211423225000</v>
      </c>
      <c r="V62" s="7" cm="1">
        <f t="array" aca="1" ref="V62" ca="1">_FV(B62,"Shares outstanding",TRUE)</f>
        <v>815000000</v>
      </c>
    </row>
    <row r="63" spans="1:22">
      <c r="A63" t="s">
        <v>11</v>
      </c>
      <c r="B63" t="e" vm="68">
        <v>#VALUE!</v>
      </c>
      <c r="C63" s="2">
        <f t="array" aca="1" ref="C63" ca="1">_FV(B63,"Last trade time",TRUE)</f>
        <v>46182.797924560153</v>
      </c>
      <c r="D63" t="str">
        <f t="array" aca="1" ref="D63" ca="1">_FV(B63,"Currency")</f>
        <v>USD</v>
      </c>
      <c r="E63" s="3">
        <f t="array" aca="1" ref="E63" ca="1">_FV(B63,"Price")</f>
        <v>10.615</v>
      </c>
      <c r="F63" s="4">
        <f t="array" aca="1" ref="F63" ca="1">_FV(B63,"Change (%)",TRUE)</f>
        <v>-4.9687000000000002E-2</v>
      </c>
      <c r="G63" s="5">
        <f t="array" aca="1" ref="G63" ca="1">_FV(B63,"Change")</f>
        <v>-0.55500000000000005</v>
      </c>
      <c r="H63" s="6">
        <f t="array" aca="1" ref="H63" ca="1">_FV(B63,"P/E",TRUE)</f>
        <v>17.644600000000001</v>
      </c>
      <c r="I63" s="6">
        <f t="array" aca="1" ref="I63" ca="1">_FV(B63,"Beta")</f>
        <v>0.96719999999999995</v>
      </c>
      <c r="J63" s="3">
        <f t="array" aca="1" ref="J63" ca="1">_FV(B63,"52 week high",TRUE)</f>
        <v>19.84</v>
      </c>
      <c r="K63" s="3">
        <f t="array" aca="1" ref="K63" ca="1">_FV(B63,"52 week low",TRUE)</f>
        <v>9.2002000000000006</v>
      </c>
      <c r="L63" s="3">
        <f t="array" aca="1" ref="L63" ca="1">_FV(B63,"High")</f>
        <v>11.239699999999999</v>
      </c>
      <c r="M63" s="3">
        <f t="array" aca="1" ref="M63" ca="1">_FV(B63,"Low")</f>
        <v>10.3</v>
      </c>
      <c r="N63" s="3">
        <f t="array" aca="1" ref="N63" ca="1">_FV(B63,"Open")</f>
        <v>11.01</v>
      </c>
      <c r="O63" s="3">
        <f t="array" aca="1" ref="O63" ca="1">_FV(B63,"Previous close",TRUE)</f>
        <v>11.17</v>
      </c>
      <c r="P63" s="7">
        <f t="array" aca="1" ref="P63" ca="1">_FV(B63,"Volume")</f>
        <v>43480238</v>
      </c>
      <c r="Q63" s="7">
        <f t="array" aca="1" ref="Q63" ca="1">_FV(B63,"Volume average",TRUE)</f>
        <v>41623416</v>
      </c>
      <c r="R63" s="8">
        <f t="array" aca="1" ref="R63" ca="1">_FV(B63,"Year incorporated",TRUE)</f>
        <v>2015</v>
      </c>
      <c r="S63" s="7">
        <f t="array" aca="1" ref="S63" ca="1">_FV(B63,"Employees")</f>
        <v>3981</v>
      </c>
      <c r="T63" t="str">
        <f t="array" aca="1" ref="T63" ca="1">_FV(B63,"Industry")</f>
        <v>Software &amp; IT Services</v>
      </c>
      <c r="U63" s="7">
        <f t="array" aca="1" ref="U63" ca="1">_FV(B63,"Market cap",TRUE)</f>
        <v>5499846984</v>
      </c>
      <c r="V63" s="7">
        <f t="array" aca="1" ref="V63" ca="1">_FV(B63,"Shares outstanding",TRUE)</f>
        <v>518120300</v>
      </c>
    </row>
    <row r="64" spans="1:22">
      <c r="A64" t="s">
        <v>615</v>
      </c>
      <c r="B64" t="e" vm="69">
        <v>#VALUE!</v>
      </c>
      <c r="C64" s="2" cm="1">
        <f t="array" aca="1" ref="C64" ca="1">_FV(B64,"Last trade time",TRUE)</f>
        <v>46182.797894363284</v>
      </c>
      <c r="D64" t="str" cm="1">
        <f t="array" aca="1" ref="D64" ca="1">_FV(B64,"Currency")</f>
        <v>USD</v>
      </c>
      <c r="E64" s="3" cm="1">
        <f t="array" aca="1" ref="E64" ca="1">_FV(B64,"Price")</f>
        <v>148.37</v>
      </c>
      <c r="F64" s="4" cm="1">
        <f t="array" aca="1" ref="F64" ca="1">_FV(B64,"Change (%)",TRUE)</f>
        <v>2.2536E-2</v>
      </c>
      <c r="G64" s="5" cm="1">
        <f t="array" aca="1" ref="G64" ca="1">_FV(B64,"Change")</f>
        <v>3.27</v>
      </c>
      <c r="H64" s="6" cm="1">
        <f t="array" aca="1" ref="H64" ca="1">_FV(B64,"P/E",TRUE)</f>
        <v>21.699100000000001</v>
      </c>
      <c r="I64" s="6" cm="1">
        <f t="array" aca="1" ref="I64" ca="1">_FV(B64,"Beta")</f>
        <v>0.379</v>
      </c>
      <c r="J64" s="3" cm="1">
        <f t="array" aca="1" ref="J64" ca="1">_FV(B64,"52 week high",TRUE)</f>
        <v>167.25</v>
      </c>
      <c r="K64" s="3" cm="1">
        <f t="array" aca="1" ref="K64" ca="1">_FV(B64,"52 week low",TRUE)</f>
        <v>137.62</v>
      </c>
      <c r="L64" s="3" cm="1">
        <f t="array" aca="1" ref="L64" ca="1">_FV(B64,"High")</f>
        <v>149.4796</v>
      </c>
      <c r="M64" s="3" cm="1">
        <f t="array" aca="1" ref="M64" ca="1">_FV(B64,"Low")</f>
        <v>144.53</v>
      </c>
      <c r="N64" s="3" cm="1">
        <f t="array" aca="1" ref="N64" ca="1">_FV(B64,"Open")</f>
        <v>144.69</v>
      </c>
      <c r="O64" s="3" cm="1">
        <f t="array" aca="1" ref="O64" ca="1">_FV(B64,"Previous close",TRUE)</f>
        <v>145.1</v>
      </c>
      <c r="P64" s="7" cm="1">
        <f t="array" aca="1" ref="P64" ca="1">_FV(B64,"Volume")</f>
        <v>4686996</v>
      </c>
      <c r="Q64" s="7" cm="1">
        <f t="array" aca="1" ref="Q64" ca="1">_FV(B64,"Volume average",TRUE)</f>
        <v>8575921</v>
      </c>
      <c r="R64" s="8" cm="1">
        <f t="array" aca="1" ref="R64" ca="1">_FV(B64,"Year incorporated",TRUE)</f>
        <v>1905</v>
      </c>
      <c r="S64" s="7" cm="1">
        <f t="array" aca="1" ref="S64" ca="1">_FV(B64,"Employees")</f>
        <v>109000</v>
      </c>
      <c r="T64" t="str" cm="1">
        <f t="array" aca="1" ref="T64" ca="1">_FV(B64,"Industry")</f>
        <v>Personal &amp; Household Products &amp; Services</v>
      </c>
      <c r="U64" s="7" cm="1">
        <f t="array" aca="1" ref="U64" ca="1">_FV(B64,"Market cap",TRUE)</f>
        <v>345494233630</v>
      </c>
      <c r="V64" s="7" cm="1">
        <f t="array" aca="1" ref="V64" ca="1">_FV(B64,"Shares outstanding",TRUE)</f>
        <v>2328599000</v>
      </c>
    </row>
    <row r="65" spans="1:22">
      <c r="A65" t="s">
        <v>58</v>
      </c>
      <c r="B65" t="e" vm="70">
        <v>#VALUE!</v>
      </c>
      <c r="C65" s="2">
        <f t="array" aca="1" ref="C65" ca="1">_FV(B65,"Last trade time",TRUE)</f>
        <v>46182.79791693281</v>
      </c>
      <c r="D65" t="str">
        <f t="array" aca="1" ref="D65" ca="1">_FV(B65,"Currency")</f>
        <v>USD</v>
      </c>
      <c r="E65" s="3">
        <f t="array" aca="1" ref="E65" ca="1">_FV(B65,"Price")</f>
        <v>29.5</v>
      </c>
      <c r="F65" s="4">
        <f t="array" aca="1" ref="F65" ca="1">_FV(B65,"Change (%)",TRUE)</f>
        <v>-1.5354000000000001E-2</v>
      </c>
      <c r="G65" s="5">
        <f t="array" aca="1" ref="G65" ca="1">_FV(B65,"Change")</f>
        <v>-0.46</v>
      </c>
      <c r="H65" s="6">
        <f t="array" aca="1" ref="H65" ca="1">_FV(B65,"P/E",TRUE)</f>
        <v>10.803900000000001</v>
      </c>
      <c r="I65" s="6">
        <f t="array" aca="1" ref="I65" ca="1">_FV(B65,"Beta")</f>
        <v>1.3845000000000001</v>
      </c>
      <c r="J65" s="3">
        <f t="array" aca="1" ref="J65" ca="1">_FV(B65,"52 week high",TRUE)</f>
        <v>56</v>
      </c>
      <c r="K65" s="3">
        <f t="array" aca="1" ref="K65" ca="1">_FV(B65,"52 week low",TRUE)</f>
        <v>18</v>
      </c>
      <c r="L65" s="3">
        <f t="array" aca="1" ref="L65" ca="1">_FV(B65,"High")</f>
        <v>32.049999999999997</v>
      </c>
      <c r="M65" s="3">
        <f t="array" aca="1" ref="M65" ca="1">_FV(B65,"Low")</f>
        <v>28.12</v>
      </c>
      <c r="N65" s="3">
        <f t="array" aca="1" ref="N65" ca="1">_FV(B65,"Open")</f>
        <v>30.68</v>
      </c>
      <c r="O65" s="3">
        <f t="array" aca="1" ref="O65" ca="1">_FV(B65,"Previous close",TRUE)</f>
        <v>29.96</v>
      </c>
      <c r="P65" s="7">
        <f t="array" aca="1" ref="P65" ca="1">_FV(B65,"Volume")</f>
        <v>1340617</v>
      </c>
      <c r="Q65" s="7">
        <f t="array" aca="1" ref="Q65" ca="1">_FV(B65,"Volume average",TRUE)</f>
        <v>1858655</v>
      </c>
      <c r="R65" s="8">
        <f t="array" aca="1" ref="R65" ca="1">_FV(B65,"Year incorporated",TRUE)</f>
        <v>1969</v>
      </c>
      <c r="S65" s="7">
        <f t="array" aca="1" ref="S65" ca="1">_FV(B65,"Employees")</f>
        <v>1908</v>
      </c>
      <c r="T65" t="str">
        <f t="array" aca="1" ref="T65" ca="1">_FV(B65,"Industry")</f>
        <v>Semiconductors &amp; Semiconductor Equipment</v>
      </c>
      <c r="U65" s="7">
        <f t="array" aca="1" ref="U65" ca="1">_FV(B65,"Market cap",TRUE)</f>
        <v>1739508505</v>
      </c>
      <c r="V65" s="7">
        <f t="array" aca="1" ref="V65" ca="1">_FV(B65,"Shares outstanding",TRUE)</f>
        <v>58966390</v>
      </c>
    </row>
    <row r="66" spans="1:22">
      <c r="A66" t="s">
        <v>80</v>
      </c>
      <c r="B66" t="e" vm="71">
        <v>#VALUE!</v>
      </c>
      <c r="C66" s="2">
        <f t="array" aca="1" ref="C66" ca="1">_FV(B66,"Last trade time",TRUE)</f>
        <v>46182.797888992965</v>
      </c>
      <c r="D66" t="str">
        <f t="array" aca="1" ref="D66" ca="1">_FV(B66,"Currency")</f>
        <v>USD</v>
      </c>
      <c r="E66" s="3">
        <f t="array" aca="1" ref="E66" ca="1">_FV(B66,"Price")</f>
        <v>10.744999999999999</v>
      </c>
      <c r="F66" s="4">
        <f t="array" aca="1" ref="F66" ca="1">_FV(B66,"Change (%)",TRUE)</f>
        <v>-0.125</v>
      </c>
      <c r="G66" s="5">
        <f t="array" aca="1" ref="G66" ca="1">_FV(B66,"Change")</f>
        <v>-1.5349999999999999</v>
      </c>
      <c r="H66" s="6">
        <f t="array" aca="1" ref="H66" ca="1">_FV(B66,"P/E",TRUE)</f>
        <v>0</v>
      </c>
      <c r="I66" s="6">
        <f t="array" aca="1" ref="I66" ca="1">_FV(B66,"Beta")</f>
        <v>0.7359</v>
      </c>
      <c r="J66" s="3">
        <f t="array" aca="1" ref="J66" ca="1">_FV(B66,"52 week high",TRUE)</f>
        <v>20.81</v>
      </c>
      <c r="K66" s="3">
        <f t="array" aca="1" ref="K66" ca="1">_FV(B66,"52 week low",TRUE)</f>
        <v>3.87</v>
      </c>
      <c r="L66" s="3">
        <f t="array" aca="1" ref="L66" ca="1">_FV(B66,"High")</f>
        <v>12.47</v>
      </c>
      <c r="M66" s="3">
        <f t="array" aca="1" ref="M66" ca="1">_FV(B66,"Low")</f>
        <v>10.11</v>
      </c>
      <c r="N66" s="3">
        <f t="array" aca="1" ref="N66" ca="1">_FV(B66,"Open")</f>
        <v>12.25</v>
      </c>
      <c r="O66" s="3">
        <f t="array" aca="1" ref="O66" ca="1">_FV(B66,"Previous close",TRUE)</f>
        <v>12.28</v>
      </c>
      <c r="P66" s="7">
        <f t="array" aca="1" ref="P66" ca="1">_FV(B66,"Volume")</f>
        <v>35470465</v>
      </c>
      <c r="Q66" s="7">
        <f t="array" aca="1" ref="Q66" ca="1">_FV(B66,"Volume average",TRUE)</f>
        <v>56870046</v>
      </c>
      <c r="R66" s="8">
        <f t="array" aca="1" ref="R66" ca="1">_FV(B66,"Year incorporated",TRUE)</f>
        <v>2010</v>
      </c>
      <c r="S66" s="7">
        <f t="array" aca="1" ref="S66" ca="1">_FV(B66,"Employees")</f>
        <v>180</v>
      </c>
      <c r="T66" t="str">
        <f t="array" aca="1" ref="T66" ca="1">_FV(B66,"Industry")</f>
        <v>Semiconductors &amp; Semiconductor Equipment</v>
      </c>
      <c r="U66" s="7">
        <f t="array" aca="1" ref="U66" ca="1">_FV(B66,"Market cap",TRUE)</f>
        <v>1854537572</v>
      </c>
      <c r="V66" s="7">
        <f t="array" aca="1" ref="V66" ca="1">_FV(B66,"Shares outstanding",TRUE)</f>
        <v>172595400</v>
      </c>
    </row>
    <row r="67" spans="1:22">
      <c r="A67" t="s">
        <v>451</v>
      </c>
      <c r="B67" t="e" vm="72">
        <v>#VALUE!</v>
      </c>
      <c r="C67" s="2" cm="1">
        <f t="array" aca="1" ref="C67" ca="1">_FV(B67,"Last trade time",TRUE)</f>
        <v>46182.797949166408</v>
      </c>
      <c r="D67" t="str" cm="1">
        <f t="array" aca="1" ref="D67" ca="1">_FV(B67,"Currency")</f>
        <v>USD</v>
      </c>
      <c r="E67" s="3" cm="1">
        <f t="array" aca="1" ref="E67" ca="1">_FV(B67,"Price")</f>
        <v>202.41499999999999</v>
      </c>
      <c r="F67" s="4" cm="1">
        <f t="array" aca="1" ref="F67" ca="1">_FV(B67,"Change (%)",TRUE)</f>
        <v>-7.0510000000000003E-2</v>
      </c>
      <c r="G67" s="5" cm="1">
        <f t="array" aca="1" ref="G67" ca="1">_FV(B67,"Change")</f>
        <v>-15.355</v>
      </c>
      <c r="H67" s="6" cm="1">
        <f t="array" aca="1" ref="H67" ca="1">_FV(B67,"P/E",TRUE)</f>
        <v>22.017399999999999</v>
      </c>
      <c r="I67" s="6" cm="1">
        <f t="array" aca="1" ref="I67" ca="1">_FV(B67,"Beta")</f>
        <v>1.6220000000000001</v>
      </c>
      <c r="J67" s="3" cm="1">
        <f t="array" aca="1" ref="J67" ca="1">_FV(B67,"52 week high",TRUE)</f>
        <v>259.92</v>
      </c>
      <c r="K67" s="3" cm="1">
        <f t="array" aca="1" ref="K67" ca="1">_FV(B67,"52 week low",TRUE)</f>
        <v>121.99</v>
      </c>
      <c r="L67" s="3" cm="1">
        <f t="array" aca="1" ref="L67" ca="1">_FV(B67,"High")</f>
        <v>219.64</v>
      </c>
      <c r="M67" s="3" cm="1">
        <f t="array" aca="1" ref="M67" ca="1">_FV(B67,"Low")</f>
        <v>192.67</v>
      </c>
      <c r="N67" s="3" cm="1">
        <f t="array" aca="1" ref="N67" ca="1">_FV(B67,"Open")</f>
        <v>216</v>
      </c>
      <c r="O67" s="3" cm="1">
        <f t="array" aca="1" ref="O67" ca="1">_FV(B67,"Previous close",TRUE)</f>
        <v>217.77</v>
      </c>
      <c r="P67" s="7" cm="1">
        <f t="array" aca="1" ref="P67" ca="1">_FV(B67,"Volume")</f>
        <v>23382765</v>
      </c>
      <c r="Q67" s="7" cm="1">
        <f t="array" aca="1" ref="Q67" ca="1">_FV(B67,"Volume average",TRUE)</f>
        <v>27070102</v>
      </c>
      <c r="R67" s="8" cm="1">
        <f t="array" aca="1" ref="R67" ca="1">_FV(B67,"Year incorporated",TRUE)</f>
        <v>1991</v>
      </c>
      <c r="S67" s="7" cm="1">
        <f t="array" aca="1" ref="S67" ca="1">_FV(B67,"Employees")</f>
        <v>52000</v>
      </c>
      <c r="T67" t="str" cm="1">
        <f t="array" aca="1" ref="T67" ca="1">_FV(B67,"Industry")</f>
        <v>Semiconductors &amp; Semiconductor Equipment</v>
      </c>
      <c r="U67" s="7" cm="1">
        <f t="array" aca="1" ref="U67" ca="1">_FV(B67,"Market cap",TRUE)</f>
        <v>213345410000</v>
      </c>
      <c r="V67" s="7" cm="1">
        <f t="array" aca="1" ref="V67" ca="1">_FV(B67,"Shares outstanding",TRUE)</f>
        <v>1054000000</v>
      </c>
    </row>
    <row r="68" spans="1:22">
      <c r="A68" t="s">
        <v>20</v>
      </c>
      <c r="B68" t="e" vm="73">
        <v>#VALUE!</v>
      </c>
      <c r="C68" s="2">
        <f t="array" aca="1" ref="C68" ca="1">_FV(B68,"Last trade time",TRUE)</f>
        <v>46182.797715520312</v>
      </c>
      <c r="D68" t="str">
        <f t="array" aca="1" ref="D68" ca="1">_FV(B68,"Currency")</f>
        <v>USD</v>
      </c>
      <c r="E68" s="3">
        <f t="array" aca="1" ref="E68" ca="1">_FV(B68,"Price")</f>
        <v>109.12</v>
      </c>
      <c r="F68" s="4">
        <f t="array" aca="1" ref="F68" ca="1">_FV(B68,"Change (%)",TRUE)</f>
        <v>-1.0787999999999999E-2</v>
      </c>
      <c r="G68" s="5">
        <f t="array" aca="1" ref="G68" ca="1">_FV(B68,"Change")</f>
        <v>-1.19</v>
      </c>
      <c r="H68" s="6">
        <f t="array" aca="1" ref="H68" ca="1">_FV(B68,"P/E",TRUE)</f>
        <v>19.5945</v>
      </c>
      <c r="I68" s="6">
        <f t="array" aca="1" ref="I68" ca="1">_FV(B68,"Beta")</f>
        <v>0.6431</v>
      </c>
      <c r="J68" s="3">
        <f t="array" aca="1" ref="J68" ca="1">_FV(B68,"52 week high",TRUE)</f>
        <v>155.47</v>
      </c>
      <c r="K68" s="3">
        <f t="array" aca="1" ref="K68" ca="1">_FV(B68,"52 week low",TRUE)</f>
        <v>74.510000000000005</v>
      </c>
      <c r="L68" s="3">
        <f t="array" aca="1" ref="L68" ca="1">_FV(B68,"High")</f>
        <v>109.69</v>
      </c>
      <c r="M68" s="3">
        <f t="array" aca="1" ref="M68" ca="1">_FV(B68,"Low")</f>
        <v>107.4</v>
      </c>
      <c r="N68" s="3">
        <f t="array" aca="1" ref="N68" ca="1">_FV(B68,"Open")</f>
        <v>108.66</v>
      </c>
      <c r="O68" s="3">
        <f t="array" aca="1" ref="O68" ca="1">_FV(B68,"Previous close",TRUE)</f>
        <v>110.31</v>
      </c>
      <c r="P68" s="7">
        <f t="array" aca="1" ref="P68" ca="1">_FV(B68,"Volume")</f>
        <v>398186</v>
      </c>
      <c r="Q68" s="7">
        <f t="array" aca="1" ref="Q68" ca="1">_FV(B68,"Volume average",TRUE)</f>
        <v>783680</v>
      </c>
      <c r="R68" s="8">
        <f t="array" aca="1" ref="R68" ca="1">_FV(B68,"Year incorporated",TRUE)</f>
        <v>1999</v>
      </c>
      <c r="S68" s="7">
        <f t="array" aca="1" ref="S68" ca="1">_FV(B68,"Employees")</f>
        <v>2683</v>
      </c>
      <c r="T68" t="str">
        <f t="array" aca="1" ref="T68" ca="1">_FV(B68,"Industry")</f>
        <v>Software &amp; IT Services</v>
      </c>
      <c r="U68" s="7">
        <f t="array" aca="1" ref="U68" ca="1">_FV(B68,"Market cap",TRUE)</f>
        <v>3842880131</v>
      </c>
      <c r="V68" s="7">
        <f t="array" aca="1" ref="V68" ca="1">_FV(B68,"Shares outstanding",TRUE)</f>
        <v>35217010</v>
      </c>
    </row>
    <row r="69" spans="1:22">
      <c r="A69" t="s">
        <v>152</v>
      </c>
      <c r="B69" t="e" vm="74">
        <v>#VALUE!</v>
      </c>
      <c r="C69" s="2" cm="1">
        <f t="array" aca="1" ref="C69" ca="1">_FV(B69,"Last trade time",TRUE)</f>
        <v>46182.797938020311</v>
      </c>
      <c r="D69" t="str" cm="1">
        <f t="array" aca="1" ref="D69" ca="1">_FV(B69,"Currency")</f>
        <v>USD</v>
      </c>
      <c r="E69" s="3" cm="1">
        <f t="array" aca="1" ref="E69" ca="1">_FV(B69,"Price")</f>
        <v>706.75</v>
      </c>
      <c r="F69" s="4" cm="1">
        <f t="array" aca="1" ref="F69" ca="1">_FV(B69,"Change (%)",TRUE)</f>
        <v>-1.3015000000000001E-2</v>
      </c>
      <c r="G69" s="5" cm="1">
        <f t="array" aca="1" ref="G69" ca="1">_FV(B69,"Change")</f>
        <v>-9.32</v>
      </c>
      <c r="H69" s="6" t="e" cm="1" vm="13">
        <f t="array" ref="H69">_FV(B69,"P/E",TRUE)</f>
        <v>#VALUE!</v>
      </c>
      <c r="I69" s="6" cm="1">
        <f t="array" aca="1" ref="I69" ca="1">_FV(B69,"Beta")</f>
        <v>1.0143</v>
      </c>
      <c r="J69" s="3" cm="1">
        <f t="array" aca="1" ref="J69" ca="1">_FV(B69,"52 week high",TRUE)</f>
        <v>748.65</v>
      </c>
      <c r="K69" s="3" cm="1">
        <f t="array" aca="1" ref="K69" ca="1">_FV(B69,"52 week low",TRUE)</f>
        <v>523.65</v>
      </c>
      <c r="L69" s="3" cm="1">
        <f t="array" aca="1" ref="L69" ca="1">_FV(B69,"High")</f>
        <v>725.66</v>
      </c>
      <c r="M69" s="3" cm="1">
        <f t="array" aca="1" ref="M69" ca="1">_FV(B69,"Low")</f>
        <v>686.37</v>
      </c>
      <c r="N69" s="3" cm="1">
        <f t="array" aca="1" ref="N69" ca="1">_FV(B69,"Open")</f>
        <v>722.7</v>
      </c>
      <c r="O69" s="3" cm="1">
        <f t="array" aca="1" ref="O69" ca="1">_FV(B69,"Previous close",TRUE)</f>
        <v>716.07</v>
      </c>
      <c r="P69" s="7" cm="1">
        <f t="array" aca="1" ref="P69" ca="1">_FV(B69,"Volume")</f>
        <v>75461447</v>
      </c>
      <c r="Q69" s="7" cm="1">
        <f t="array" aca="1" ref="Q69" ca="1">_FV(B69,"Volume average",TRUE)</f>
        <v>41613710</v>
      </c>
      <c r="R69" s="8" t="e" cm="1" vm="14">
        <f t="array" ref="R69">_FV(B69,"Year incorporated",TRUE)</f>
        <v>#VALUE!</v>
      </c>
      <c r="S69" s="7" t="e" cm="1" vm="15">
        <f t="array" ref="S69">_FV(B69,"Employees")</f>
        <v>#VALUE!</v>
      </c>
      <c r="T69" t="e" cm="1" vm="16">
        <f t="array" ref="T69">_FV(B69,"Industry")</f>
        <v>#VALUE!</v>
      </c>
      <c r="U69" s="7" cm="1">
        <f t="array" aca="1" ref="U69" ca="1">_FV(B69,"Market cap",TRUE)</f>
        <v>493982650931.38</v>
      </c>
      <c r="V69" s="7" t="e" cm="1" vm="17">
        <f t="array" ref="V69">_FV(B69,"Shares outstanding",TRUE)</f>
        <v>#VALUE!</v>
      </c>
    </row>
    <row r="70" spans="1:22">
      <c r="A70" t="s">
        <v>146</v>
      </c>
      <c r="B70" t="e" vm="75">
        <v>#VALUE!</v>
      </c>
      <c r="C70" s="2" cm="1">
        <f t="array" aca="1" ref="C70" ca="1">_FV(B70,"Last trade time",TRUE)</f>
        <v>46182.797801191409</v>
      </c>
      <c r="D70" t="str" cm="1">
        <f t="array" aca="1" ref="D70" ca="1">_FV(B70,"Currency")</f>
        <v>USD</v>
      </c>
      <c r="E70" s="3" cm="1">
        <f t="array" aca="1" ref="E70" ca="1">_FV(B70,"Price")</f>
        <v>458.61</v>
      </c>
      <c r="F70" s="4" cm="1">
        <f t="array" aca="1" ref="F70" ca="1">_FV(B70,"Change (%)",TRUE)</f>
        <v>1.5387999999999999E-2</v>
      </c>
      <c r="G70" s="5" cm="1">
        <f t="array" aca="1" ref="G70" ca="1">_FV(B70,"Change")</f>
        <v>6.95</v>
      </c>
      <c r="H70" s="6" cm="1">
        <f t="array" aca="1" ref="H70" ca="1">_FV(B70,"P/E",TRUE)</f>
        <v>47.6419</v>
      </c>
      <c r="I70" s="6" cm="1">
        <f t="array" aca="1" ref="I70" ca="1">_FV(B70,"Beta")</f>
        <v>1.5491999999999999</v>
      </c>
      <c r="J70" s="3" cm="1">
        <f t="array" aca="1" ref="J70" ca="1">_FV(B70,"52 week high",TRUE)</f>
        <v>468.11</v>
      </c>
      <c r="K70" s="3" cm="1">
        <f t="array" aca="1" ref="K70" ca="1">_FV(B70,"52 week low",TRUE)</f>
        <v>305.44009999999997</v>
      </c>
      <c r="L70" s="3" cm="1">
        <f t="array" aca="1" ref="L70" ca="1">_FV(B70,"High")</f>
        <v>464.64</v>
      </c>
      <c r="M70" s="3" cm="1">
        <f t="array" aca="1" ref="M70" ca="1">_FV(B70,"Low")</f>
        <v>445.51100000000002</v>
      </c>
      <c r="N70" s="3" cm="1">
        <f t="array" aca="1" ref="N70" ca="1">_FV(B70,"Open")</f>
        <v>457.96</v>
      </c>
      <c r="O70" s="3" cm="1">
        <f t="array" aca="1" ref="O70" ca="1">_FV(B70,"Previous close",TRUE)</f>
        <v>451.66</v>
      </c>
      <c r="P70" s="7" cm="1">
        <f t="array" aca="1" ref="P70" ca="1">_FV(B70,"Volume")</f>
        <v>274911</v>
      </c>
      <c r="Q70" s="7" cm="1">
        <f t="array" aca="1" ref="Q70" ca="1">_FV(B70,"Volume average",TRUE)</f>
        <v>815522</v>
      </c>
      <c r="R70" s="8" cm="1">
        <f t="array" aca="1" ref="R70" ca="1">_FV(B70,"Year incorporated",TRUE)</f>
        <v>1996</v>
      </c>
      <c r="S70" s="7" cm="1">
        <f t="array" aca="1" ref="S70" ca="1">_FV(B70,"Employees")</f>
        <v>26000</v>
      </c>
      <c r="T70" t="str" cm="1">
        <f t="array" aca="1" ref="T70" ca="1">_FV(B70,"Industry")</f>
        <v>Machinery, Equipment &amp; Components</v>
      </c>
      <c r="U70" s="7" cm="1">
        <f t="array" aca="1" ref="U70" ca="1">_FV(B70,"Market cap",TRUE)</f>
        <v>51031323279</v>
      </c>
      <c r="V70" s="7" cm="1">
        <f t="array" aca="1" ref="V70" ca="1">_FV(B70,"Shares outstanding",TRUE)</f>
        <v>111273900</v>
      </c>
    </row>
    <row r="71" spans="1:22">
      <c r="A71" t="s">
        <v>309</v>
      </c>
      <c r="B71" t="e" vm="76">
        <v>#VALUE!</v>
      </c>
      <c r="C71" s="2" cm="1">
        <f t="array" aca="1" ref="C71" ca="1">_FV(B71,"Last trade time",TRUE)</f>
        <v>46182.797909803128</v>
      </c>
      <c r="D71" t="str" cm="1">
        <f t="array" aca="1" ref="D71" ca="1">_FV(B71,"Currency")</f>
        <v>USD</v>
      </c>
      <c r="E71" s="3" cm="1">
        <f t="array" aca="1" ref="E71" ca="1">_FV(B71,"Price")</f>
        <v>3.2450000000000001</v>
      </c>
      <c r="F71" s="4" cm="1">
        <f t="array" aca="1" ref="F71" ca="1">_FV(B71,"Change (%)",TRUE)</f>
        <v>-2.2589999999999999E-2</v>
      </c>
      <c r="G71" s="5" cm="1">
        <f t="array" aca="1" ref="G71" ca="1">_FV(B71,"Change")</f>
        <v>-7.4999999999999997E-2</v>
      </c>
      <c r="H71" s="6" cm="1">
        <f t="array" aca="1" ref="H71" ca="1">_FV(B71,"P/E",TRUE)</f>
        <v>0</v>
      </c>
      <c r="I71" s="6" cm="1">
        <f t="array" aca="1" ref="I71" ca="1">_FV(B71,"Beta")</f>
        <v>1.0119</v>
      </c>
      <c r="J71" s="3" cm="1">
        <f t="array" aca="1" ref="J71" ca="1">_FV(B71,"52 week high",TRUE)</f>
        <v>7.18</v>
      </c>
      <c r="K71" s="3" cm="1">
        <f t="array" aca="1" ref="K71" ca="1">_FV(B71,"52 week low",TRUE)</f>
        <v>2.77</v>
      </c>
      <c r="L71" s="3" cm="1">
        <f t="array" aca="1" ref="L71" ca="1">_FV(B71,"High")</f>
        <v>3.4899</v>
      </c>
      <c r="M71" s="3" cm="1">
        <f t="array" aca="1" ref="M71" ca="1">_FV(B71,"Low")</f>
        <v>3.13</v>
      </c>
      <c r="N71" s="3" cm="1">
        <f t="array" aca="1" ref="N71" ca="1">_FV(B71,"Open")</f>
        <v>3.33</v>
      </c>
      <c r="O71" s="3" cm="1">
        <f t="array" aca="1" ref="O71" ca="1">_FV(B71,"Previous close",TRUE)</f>
        <v>3.32</v>
      </c>
      <c r="P71" s="7" cm="1">
        <f t="array" aca="1" ref="P71" ca="1">_FV(B71,"Volume")</f>
        <v>14532314</v>
      </c>
      <c r="Q71" s="7" cm="1">
        <f t="array" aca="1" ref="Q71" ca="1">_FV(B71,"Volume average",TRUE)</f>
        <v>19210821</v>
      </c>
      <c r="R71" s="8" cm="1">
        <f t="array" aca="1" ref="R71" ca="1">_FV(B71,"Year incorporated",TRUE)</f>
        <v>2013</v>
      </c>
      <c r="S71" s="7" cm="1">
        <f t="array" aca="1" ref="S71" ca="1">_FV(B71,"Employees")</f>
        <v>600</v>
      </c>
      <c r="T71" t="str" cm="1">
        <f t="array" aca="1" ref="T71" ca="1">_FV(B71,"Industry")</f>
        <v>Biotechnology &amp; Medical Research</v>
      </c>
      <c r="U71" s="7" cm="1">
        <f t="array" aca="1" ref="U71" ca="1">_FV(B71,"Market cap",TRUE)</f>
        <v>1719542374</v>
      </c>
      <c r="V71" s="7" cm="1">
        <f t="array" aca="1" ref="V71" ca="1">_FV(B71,"Shares outstanding",TRUE)</f>
        <v>529905200</v>
      </c>
    </row>
    <row r="72" spans="1:22">
      <c r="A72" t="s">
        <v>310</v>
      </c>
      <c r="B72" t="e" vm="77">
        <v>#VALUE!</v>
      </c>
      <c r="C72" s="2" cm="1">
        <f t="array" aca="1" ref="C72" ca="1">_FV(B72,"Last trade time",TRUE)</f>
        <v>46182.797932407033</v>
      </c>
      <c r="D72" t="str" cm="1">
        <f t="array" aca="1" ref="D72" ca="1">_FV(B72,"Currency")</f>
        <v>USD</v>
      </c>
      <c r="E72" s="3" cm="1">
        <f t="array" aca="1" ref="E72" ca="1">_FV(B72,"Price")</f>
        <v>15.255000000000001</v>
      </c>
      <c r="F72" s="4" cm="1">
        <f t="array" aca="1" ref="F72" ca="1">_FV(B72,"Change (%)",TRUE)</f>
        <v>-3.1428999999999999E-2</v>
      </c>
      <c r="G72" s="5" cm="1">
        <f t="array" aca="1" ref="G72" ca="1">_FV(B72,"Change")</f>
        <v>-0.495</v>
      </c>
      <c r="H72" s="6" cm="1">
        <f t="array" aca="1" ref="H72" ca="1">_FV(B72,"P/E",TRUE)</f>
        <v>0</v>
      </c>
      <c r="I72" s="6" cm="1">
        <f t="array" aca="1" ref="I72" ca="1">_FV(B72,"Beta")</f>
        <v>0.83689999999999998</v>
      </c>
      <c r="J72" s="3" cm="1">
        <f t="array" aca="1" ref="J72" ca="1">_FV(B72,"52 week high",TRUE)</f>
        <v>21.4</v>
      </c>
      <c r="K72" s="3" cm="1">
        <f t="array" aca="1" ref="K72" ca="1">_FV(B72,"52 week low",TRUE)</f>
        <v>11.81</v>
      </c>
      <c r="L72" s="3" cm="1">
        <f t="array" aca="1" ref="L72" ca="1">_FV(B72,"High")</f>
        <v>15.61</v>
      </c>
      <c r="M72" s="3" cm="1">
        <f t="array" aca="1" ref="M72" ca="1">_FV(B72,"Low")</f>
        <v>14.795</v>
      </c>
      <c r="N72" s="3" cm="1">
        <f t="array" aca="1" ref="N72" ca="1">_FV(B72,"Open")</f>
        <v>15.49</v>
      </c>
      <c r="O72" s="3" cm="1">
        <f t="array" aca="1" ref="O72" ca="1">_FV(B72,"Previous close",TRUE)</f>
        <v>15.75</v>
      </c>
      <c r="P72" s="7" cm="1">
        <f t="array" aca="1" ref="P72" ca="1">_FV(B72,"Volume")</f>
        <v>4495933</v>
      </c>
      <c r="Q72" s="7" cm="1">
        <f t="array" aca="1" ref="Q72" ca="1">_FV(B72,"Volume average",TRUE)</f>
        <v>9901358</v>
      </c>
      <c r="R72" s="8" cm="1">
        <f t="array" aca="1" ref="R72" ca="1">_FV(B72,"Year incorporated",TRUE)</f>
        <v>2013</v>
      </c>
      <c r="S72" s="7" cm="1">
        <f t="array" aca="1" ref="S72" ca="1">_FV(B72,"Employees")</f>
        <v>2700</v>
      </c>
      <c r="T72" t="str" cm="1">
        <f t="array" aca="1" ref="T72" ca="1">_FV(B72,"Industry")</f>
        <v>Software &amp; IT Services</v>
      </c>
      <c r="U72" s="7" cm="1">
        <f t="array" aca="1" ref="U72" ca="1">_FV(B72,"Market cap",TRUE)</f>
        <v>5229470443</v>
      </c>
      <c r="V72" s="7" cm="1">
        <f t="array" aca="1" ref="V72" ca="1">_FV(B72,"Shares outstanding",TRUE)</f>
        <v>342803700</v>
      </c>
    </row>
    <row r="73" spans="1:22">
      <c r="A73" t="s">
        <v>614</v>
      </c>
      <c r="B73" t="e" vm="78">
        <v>#VALUE!</v>
      </c>
      <c r="C73" s="2" cm="1">
        <f t="array" aca="1" ref="C73" ca="1">_FV(B73,"Last trade time",TRUE)</f>
        <v>46182.786724537036</v>
      </c>
      <c r="D73" t="str" cm="1">
        <f t="array" aca="1" ref="D73" ca="1">_FV(B73,"Currency")</f>
        <v>EUR</v>
      </c>
      <c r="E73" s="3" cm="1">
        <f t="array" aca="1" ref="E73" ca="1">_FV(B73,"Price")</f>
        <v>154.69999999999999</v>
      </c>
      <c r="F73" s="4" cm="1">
        <f t="array" aca="1" ref="F73" ca="1">_FV(B73,"Change (%)",TRUE)</f>
        <v>-2.1505E-2</v>
      </c>
      <c r="G73" s="5" cm="1">
        <f t="array" aca="1" ref="G73" ca="1">_FV(B73,"Change")</f>
        <v>-3.4</v>
      </c>
      <c r="H73" s="6" cm="1">
        <f t="array" aca="1" ref="H73" ca="1">_FV(B73,"P/E",TRUE)</f>
        <v>24.653400000000001</v>
      </c>
      <c r="I73" s="6" cm="1">
        <f t="array" aca="1" ref="I73" ca="1">_FV(B73,"Beta")</f>
        <v>1.1022000000000001</v>
      </c>
      <c r="J73" s="3" cm="1">
        <f t="array" aca="1" ref="J73" ca="1">_FV(B73,"52 week high",TRUE)</f>
        <v>271.2</v>
      </c>
      <c r="K73" s="3" cm="1">
        <f t="array" aca="1" ref="K73" ca="1">_FV(B73,"52 week low",TRUE)</f>
        <v>135.44</v>
      </c>
      <c r="L73" s="3" cm="1">
        <f t="array" aca="1" ref="L73" ca="1">_FV(B73,"High")</f>
        <v>157.94</v>
      </c>
      <c r="M73" s="3" cm="1">
        <f t="array" aca="1" ref="M73" ca="1">_FV(B73,"Low")</f>
        <v>153.74</v>
      </c>
      <c r="N73" s="3" cm="1">
        <f t="array" aca="1" ref="N73" ca="1">_FV(B73,"Open")</f>
        <v>157</v>
      </c>
      <c r="O73" s="3" cm="1">
        <f t="array" aca="1" ref="O73" ca="1">_FV(B73,"Previous close",TRUE)</f>
        <v>158.1</v>
      </c>
      <c r="P73" s="7" cm="1">
        <f t="array" aca="1" ref="P73" ca="1">_FV(B73,"Volume")</f>
        <v>2387427</v>
      </c>
      <c r="Q73" s="7" cm="1">
        <f t="array" aca="1" ref="Q73" ca="1">_FV(B73,"Volume average",TRUE)</f>
        <v>3211530</v>
      </c>
      <c r="R73" s="8" cm="1">
        <f t="array" aca="1" ref="R73" ca="1">_FV(B73,"Year incorporated",TRUE)</f>
        <v>2014</v>
      </c>
      <c r="S73" s="7" cm="1">
        <f t="array" aca="1" ref="S73" ca="1">_FV(B73,"Employees")</f>
        <v>111038</v>
      </c>
      <c r="T73" t="str" cm="1">
        <f t="array" aca="1" ref="T73" ca="1">_FV(B73,"Industry")</f>
        <v>Software &amp; IT Services</v>
      </c>
      <c r="U73" s="7" cm="1">
        <f t="array" aca="1" ref="U73" ca="1">_FV(B73,"Market cap",TRUE)</f>
        <v>262224200000</v>
      </c>
      <c r="V73" s="7" cm="1">
        <f t="array" aca="1" ref="V73" ca="1">_FV(B73,"Shares outstanding",TRUE)</f>
        <v>1228504000</v>
      </c>
    </row>
    <row r="74" spans="1:22">
      <c r="A74" t="s">
        <v>30</v>
      </c>
      <c r="B74" t="e" vm="79">
        <v>#VALUE!</v>
      </c>
      <c r="C74" s="2">
        <f t="array" aca="1" ref="C74" ca="1">_FV(B74,"Last trade time",TRUE)</f>
        <v>46182.797946284372</v>
      </c>
      <c r="D74" t="str">
        <f t="array" aca="1" ref="D74" ca="1">_FV(B74,"Currency")</f>
        <v>USD</v>
      </c>
      <c r="E74" s="3">
        <f t="array" aca="1" ref="E74" ca="1">_FV(B74,"Price")</f>
        <v>88.489900000000006</v>
      </c>
      <c r="F74" s="4">
        <f t="array" aca="1" ref="F74" ca="1">_FV(B74,"Change (%)",TRUE)</f>
        <v>4.6540000000000002E-3</v>
      </c>
      <c r="G74" s="5">
        <f t="array" aca="1" ref="G74" ca="1">_FV(B74,"Change")</f>
        <v>0.40989999999999999</v>
      </c>
      <c r="H74" s="6">
        <f t="array" aca="1" ref="H74" ca="1">_FV(B74,"P/E",TRUE)</f>
        <v>17.547799999999999</v>
      </c>
      <c r="I74" s="6">
        <f t="array" aca="1" ref="I74" ca="1">_FV(B74,"Beta")</f>
        <v>0.76570000000000005</v>
      </c>
      <c r="J74" s="3">
        <f t="array" aca="1" ref="J74" ca="1">_FV(B74,"52 week high",TRUE)</f>
        <v>107.5</v>
      </c>
      <c r="K74" s="3">
        <f t="array" aca="1" ref="K74" ca="1">_FV(B74,"52 week low",TRUE)</f>
        <v>83.96</v>
      </c>
      <c r="L74" s="3">
        <f t="array" aca="1" ref="L74" ca="1">_FV(B74,"High")</f>
        <v>88.59</v>
      </c>
      <c r="M74" s="3">
        <f t="array" aca="1" ref="M74" ca="1">_FV(B74,"Low")</f>
        <v>87.18</v>
      </c>
      <c r="N74" s="3">
        <f t="array" aca="1" ref="N74" ca="1">_FV(B74,"Open")</f>
        <v>88.25</v>
      </c>
      <c r="O74" s="3">
        <f t="array" aca="1" ref="O74" ca="1">_FV(B74,"Previous close",TRUE)</f>
        <v>88.08</v>
      </c>
      <c r="P74" s="7">
        <f t="array" aca="1" ref="P74" ca="1">_FV(B74,"Volume")</f>
        <v>7650352</v>
      </c>
      <c r="Q74" s="7">
        <f t="array" aca="1" ref="Q74" ca="1">_FV(B74,"Volume average",TRUE)</f>
        <v>11158064</v>
      </c>
      <c r="R74" s="8">
        <f t="array" aca="1" ref="R74" ca="1">_FV(B74,"Year incorporated",TRUE)</f>
        <v>1986</v>
      </c>
      <c r="S74" s="7">
        <f t="array" aca="1" ref="S74" ca="1">_FV(B74,"Employees")</f>
        <v>33500</v>
      </c>
      <c r="T74" t="str">
        <f t="array" aca="1" ref="T74" ca="1">_FV(B74,"Industry")</f>
        <v>Investment Banking &amp; Investment Services</v>
      </c>
      <c r="U74" s="7">
        <f t="array" aca="1" ref="U74" ca="1">_FV(B74,"Market cap",TRUE)</f>
        <v>153895882236</v>
      </c>
      <c r="V74" s="7">
        <f t="array" aca="1" ref="V74" ca="1">_FV(B74,"Shares outstanding",TRUE)</f>
        <v>1739135000</v>
      </c>
    </row>
    <row r="75" spans="1:22">
      <c r="A75" t="s">
        <v>32</v>
      </c>
      <c r="B75" t="e" vm="80">
        <v>#VALUE!</v>
      </c>
      <c r="C75" s="2">
        <f t="array" aca="1" ref="C75" ca="1">_FV(B75,"Last trade time",TRUE)</f>
        <v>46182.659016203703</v>
      </c>
      <c r="D75" t="str">
        <f t="array" aca="1" ref="D75" ca="1">_FV(B75,"Currency")</f>
        <v>GBp</v>
      </c>
      <c r="E75" s="9">
        <f t="array" aca="1" ref="E75" ca="1">_FV(B75,"Price")</f>
        <v>851.4</v>
      </c>
      <c r="F75" s="4">
        <f t="array" aca="1" ref="F75" ca="1">_FV(B75,"Change (%)",TRUE)</f>
        <v>-1.2525999999999999E-2</v>
      </c>
      <c r="G75" s="5">
        <f t="array" aca="1" ref="G75" ca="1">_FV(B75,"Change")</f>
        <v>-10.8</v>
      </c>
      <c r="H75" s="6">
        <f t="array" aca="1" ref="H75" ca="1">_FV(B75,"P/E",TRUE)</f>
        <v>0</v>
      </c>
      <c r="I75" s="6">
        <f t="array" aca="1" ref="I75" ca="1">_FV(B75,"Beta")</f>
        <v>0.35210000000000002</v>
      </c>
      <c r="J75" s="9">
        <f t="array" aca="1" ref="J75" ca="1">_FV(B75,"52 week high",TRUE)</f>
        <v>1335</v>
      </c>
      <c r="K75" s="9">
        <f t="array" aca="1" ref="K75" ca="1">_FV(B75,"52 week low",TRUE)</f>
        <v>771.66</v>
      </c>
      <c r="L75" s="9">
        <f t="array" aca="1" ref="L75" ca="1">_FV(B75,"High")</f>
        <v>859.4</v>
      </c>
      <c r="M75" s="9">
        <f t="array" aca="1" ref="M75" ca="1">_FV(B75,"Low")</f>
        <v>838.8</v>
      </c>
      <c r="N75" s="9">
        <f t="array" aca="1" ref="N75" ca="1">_FV(B75,"Open")</f>
        <v>856.4</v>
      </c>
      <c r="O75" s="9">
        <f t="array" aca="1" ref="O75" ca="1">_FV(B75,"Previous close",TRUE)</f>
        <v>862.2</v>
      </c>
      <c r="P75" s="7">
        <f t="array" aca="1" ref="P75" ca="1">_FV(B75,"Volume")</f>
        <v>2413758</v>
      </c>
      <c r="Q75" s="7">
        <f t="array" aca="1" ref="Q75" ca="1">_FV(B75,"Volume average",TRUE)</f>
        <v>5144340</v>
      </c>
      <c r="R75" s="8">
        <f t="array" aca="1" ref="R75" ca="1">_FV(B75,"Year incorporated",TRUE)</f>
        <v>1988</v>
      </c>
      <c r="S75" s="7">
        <f t="array" aca="1" ref="S75" ca="1">_FV(B75,"Employees")</f>
        <v>11074</v>
      </c>
      <c r="T75" t="str">
        <f t="array" aca="1" ref="T75" ca="1">_FV(B75,"Industry")</f>
        <v>Software &amp; IT Services</v>
      </c>
      <c r="U75" s="7">
        <f t="array" aca="1" ref="U75" ca="1">_FV(B75,"Market cap",TRUE)</f>
        <v>10571700000</v>
      </c>
      <c r="V75" s="7">
        <f t="array" aca="1" ref="V75" ca="1">_FV(B75,"Shares outstanding",TRUE)</f>
        <v>907731600</v>
      </c>
    </row>
    <row r="76" spans="1:22">
      <c r="A76" t="s">
        <v>55</v>
      </c>
      <c r="B76" t="e" vm="81">
        <v>#VALUE!</v>
      </c>
      <c r="C76" s="2">
        <f t="array" aca="1" ref="C76" ca="1">_FV(B76,"Last trade time",TRUE)</f>
        <v>46182.797841596876</v>
      </c>
      <c r="D76" t="str">
        <f t="array" aca="1" ref="D76" ca="1">_FV(B76,"Currency")</f>
        <v>USD</v>
      </c>
      <c r="E76" s="3">
        <f t="array" aca="1" ref="E76" ca="1">_FV(B76,"Price")</f>
        <v>35.299999999999997</v>
      </c>
      <c r="F76" s="4">
        <f t="array" aca="1" ref="F76" ca="1">_FV(B76,"Change (%)",TRUE)</f>
        <v>-4.2062000000000002E-2</v>
      </c>
      <c r="G76" s="5">
        <f t="array" aca="1" ref="G76" ca="1">_FV(B76,"Change")</f>
        <v>-1.55</v>
      </c>
      <c r="H76" s="6">
        <f t="array" aca="1" ref="H76" ca="1">_FV(B76,"P/E",TRUE)</f>
        <v>15.131399999999999</v>
      </c>
      <c r="I76" s="6">
        <f t="array" aca="1" ref="I76" ca="1">_FV(B76,"Beta")</f>
        <v>3.3212000000000002</v>
      </c>
      <c r="J76" s="3">
        <f t="array" aca="1" ref="J76" ca="1">_FV(B76,"52 week high",TRUE)</f>
        <v>39.93</v>
      </c>
      <c r="K76" s="3">
        <f t="array" aca="1" ref="K76" ca="1">_FV(B76,"52 week low",TRUE)</f>
        <v>8.18</v>
      </c>
      <c r="L76" s="3">
        <f t="array" aca="1" ref="L76" ca="1">_FV(B76,"High")</f>
        <v>37.1</v>
      </c>
      <c r="M76" s="3">
        <f t="array" aca="1" ref="M76" ca="1">_FV(B76,"Low")</f>
        <v>33.85</v>
      </c>
      <c r="N76" s="3">
        <f t="array" aca="1" ref="N76" ca="1">_FV(B76,"Open")</f>
        <v>36.909999999999997</v>
      </c>
      <c r="O76" s="3">
        <f t="array" aca="1" ref="O76" ca="1">_FV(B76,"Previous close",TRUE)</f>
        <v>36.85</v>
      </c>
      <c r="P76" s="7">
        <f t="array" aca="1" ref="P76" ca="1">_FV(B76,"Volume")</f>
        <v>652131</v>
      </c>
      <c r="Q76" s="7">
        <f t="array" aca="1" ref="Q76" ca="1">_FV(B76,"Volume average",TRUE)</f>
        <v>1190616</v>
      </c>
      <c r="R76" s="8">
        <f t="array" aca="1" ref="R76" ca="1">_FV(B76,"Year incorporated",TRUE)</f>
        <v>2016</v>
      </c>
      <c r="S76" s="7">
        <f t="array" aca="1" ref="S76" ca="1">_FV(B76,"Employees")</f>
        <v>1551</v>
      </c>
      <c r="T76" t="str">
        <f t="array" aca="1" ref="T76" ca="1">_FV(B76,"Industry")</f>
        <v>Semiconductors &amp; Semiconductor Equipment</v>
      </c>
      <c r="U76" s="7">
        <f t="array" aca="1" ref="U76" ca="1">_FV(B76,"Market cap",TRUE)</f>
        <v>1736922379</v>
      </c>
      <c r="V76" s="7">
        <f t="array" aca="1" ref="V76" ca="1">_FV(B76,"Shares outstanding",TRUE)</f>
        <v>49204600</v>
      </c>
    </row>
    <row r="77" spans="1:22">
      <c r="A77" t="s">
        <v>72</v>
      </c>
      <c r="B77" t="e" vm="82">
        <v>#VALUE!</v>
      </c>
      <c r="C77" s="2">
        <f t="array" aca="1" ref="C77" ca="1">_FV(B77,"Last trade time",TRUE)</f>
        <v>46182.797954895315</v>
      </c>
      <c r="D77" t="str">
        <f t="array" aca="1" ref="D77" ca="1">_FV(B77,"Currency")</f>
        <v>USD</v>
      </c>
      <c r="E77" s="3">
        <f t="array" aca="1" ref="E77" ca="1">_FV(B77,"Price")</f>
        <v>40.315100000000001</v>
      </c>
      <c r="F77" s="4">
        <f t="array" aca="1" ref="F77" ca="1">_FV(B77,"Change (%)",TRUE)</f>
        <v>-8.3538999999999988E-2</v>
      </c>
      <c r="G77" s="5">
        <f t="array" aca="1" ref="G77" ca="1">_FV(B77,"Change")</f>
        <v>-3.6749000000000001</v>
      </c>
      <c r="H77" s="6">
        <f t="array" aca="1" ref="H77" ca="1">_FV(B77,"P/E",TRUE)</f>
        <v>21.9665</v>
      </c>
      <c r="I77" s="6">
        <f t="array" aca="1" ref="I77" ca="1">_FV(B77,"Beta")</f>
        <v>1.8836999999999999</v>
      </c>
      <c r="J77" s="3">
        <f t="array" aca="1" ref="J77" ca="1">_FV(B77,"52 week high",TRUE)</f>
        <v>62.357999999999997</v>
      </c>
      <c r="K77" s="3">
        <f t="array" aca="1" ref="K77" ca="1">_FV(B77,"52 week low",TRUE)</f>
        <v>19.48</v>
      </c>
      <c r="L77" s="3">
        <f t="array" aca="1" ref="L77" ca="1">_FV(B77,"High")</f>
        <v>44.9</v>
      </c>
      <c r="M77" s="3">
        <f t="array" aca="1" ref="M77" ca="1">_FV(B77,"Low")</f>
        <v>38.04</v>
      </c>
      <c r="N77" s="3">
        <f t="array" aca="1" ref="N77" ca="1">_FV(B77,"Open")</f>
        <v>44.87</v>
      </c>
      <c r="O77" s="3">
        <f t="array" aca="1" ref="O77" ca="1">_FV(B77,"Previous close",TRUE)</f>
        <v>43.99</v>
      </c>
      <c r="P77" s="7">
        <f t="array" aca="1" ref="P77" ca="1">_FV(B77,"Volume")</f>
        <v>33987989</v>
      </c>
      <c r="Q77" s="7">
        <f t="array" aca="1" ref="Q77" ca="1">_FV(B77,"Volume average",TRUE)</f>
        <v>46254626</v>
      </c>
      <c r="R77" s="8">
        <f t="array" aca="1" ref="R77" ca="1">_FV(B77,"Year incorporated",TRUE)</f>
        <v>2006</v>
      </c>
      <c r="S77" s="7">
        <f t="array" aca="1" ref="S77" ca="1">_FV(B77,"Employees")</f>
        <v>6238</v>
      </c>
      <c r="T77" t="str">
        <f t="array" aca="1" ref="T77" ca="1">_FV(B77,"Industry")</f>
        <v>Computers, Phones &amp; Household Electronics</v>
      </c>
      <c r="U77" s="7">
        <f t="array" aca="1" ref="U77" ca="1">_FV(B77,"Market cap",TRUE)</f>
        <v>24246246969</v>
      </c>
      <c r="V77" s="7">
        <f t="array" aca="1" ref="V77" ca="1">_FV(B77,"Shares outstanding",TRUE)</f>
        <v>601418500</v>
      </c>
    </row>
    <row r="78" spans="1:22">
      <c r="A78" t="s">
        <v>153</v>
      </c>
      <c r="B78" t="e" vm="83">
        <v>#VALUE!</v>
      </c>
      <c r="C78" s="2" cm="1">
        <f t="array" aca="1" ref="C78" ca="1">_FV(B78,"Last trade time",TRUE)</f>
        <v>46182.79795172422</v>
      </c>
      <c r="D78" t="str" cm="1">
        <f t="array" aca="1" ref="D78" ca="1">_FV(B78,"Currency")</f>
        <v>USD</v>
      </c>
      <c r="E78" s="3" cm="1">
        <f t="array" aca="1" ref="E78" ca="1">_FV(B78,"Price")</f>
        <v>586.38499999999999</v>
      </c>
      <c r="F78" s="4" cm="1">
        <f t="array" aca="1" ref="F78" ca="1">_FV(B78,"Change (%)",TRUE)</f>
        <v>-1.9684999999999998E-2</v>
      </c>
      <c r="G78" s="5" cm="1">
        <f t="array" aca="1" ref="G78" ca="1">_FV(B78,"Change")</f>
        <v>-11.775</v>
      </c>
      <c r="H78" s="6" t="e" cm="1" vm="13">
        <f t="array" ref="H78">_FV(B78,"P/E",TRUE)</f>
        <v>#VALUE!</v>
      </c>
      <c r="I78" s="6" cm="1">
        <f t="array" aca="1" ref="I78" ca="1">_FV(B78,"Beta")</f>
        <v>1.5568</v>
      </c>
      <c r="J78" s="3" cm="1">
        <f t="array" aca="1" ref="J78" ca="1">_FV(B78,"52 week high",TRUE)</f>
        <v>642.77</v>
      </c>
      <c r="K78" s="3" cm="1">
        <f t="array" aca="1" ref="K78" ca="1">_FV(B78,"52 week low",TRUE)</f>
        <v>255</v>
      </c>
      <c r="L78" s="3" cm="1">
        <f t="array" aca="1" ref="L78" ca="1">_FV(B78,"High")</f>
        <v>613.69000000000005</v>
      </c>
      <c r="M78" s="3" cm="1">
        <f t="array" aca="1" ref="M78" ca="1">_FV(B78,"Low")</f>
        <v>554.66</v>
      </c>
      <c r="N78" s="3" cm="1">
        <f t="array" aca="1" ref="N78" ca="1">_FV(B78,"Open")</f>
        <v>609.4</v>
      </c>
      <c r="O78" s="3" cm="1">
        <f t="array" aca="1" ref="O78" ca="1">_FV(B78,"Previous close",TRUE)</f>
        <v>598.16</v>
      </c>
      <c r="P78" s="7" cm="1">
        <f t="array" aca="1" ref="P78" ca="1">_FV(B78,"Volume")</f>
        <v>17052277</v>
      </c>
      <c r="Q78" s="7" cm="1">
        <f t="array" aca="1" ref="Q78" ca="1">_FV(B78,"Volume average",TRUE)</f>
        <v>10811909</v>
      </c>
      <c r="R78" s="8" t="e" cm="1" vm="14">
        <f t="array" ref="R78">_FV(B78,"Year incorporated",TRUE)</f>
        <v>#VALUE!</v>
      </c>
      <c r="S78" s="7" t="e" cm="1" vm="15">
        <f t="array" ref="S78">_FV(B78,"Employees")</f>
        <v>#VALUE!</v>
      </c>
      <c r="T78" t="e" cm="1" vm="16">
        <f t="array" ref="T78">_FV(B78,"Industry")</f>
        <v>#VALUE!</v>
      </c>
      <c r="U78" s="7" cm="1">
        <f t="array" aca="1" ref="U78" ca="1">_FV(B78,"Market cap",TRUE)</f>
        <v>67822489502.050003</v>
      </c>
      <c r="V78" s="7" t="e" cm="1" vm="17">
        <f t="array" ref="V78">_FV(B78,"Shares outstanding",TRUE)</f>
        <v>#VALUE!</v>
      </c>
    </row>
    <row r="79" spans="1:22">
      <c r="A79" t="s">
        <v>150</v>
      </c>
      <c r="B79" t="e" vm="84">
        <v>#VALUE!</v>
      </c>
      <c r="C79" s="2" cm="1">
        <f t="array" aca="1" ref="C79" ca="1">_FV(B79,"Last trade time",TRUE)</f>
        <v>46182.797938240627</v>
      </c>
      <c r="D79" t="str" cm="1">
        <f t="array" aca="1" ref="D79" ca="1">_FV(B79,"Currency")</f>
        <v>USD</v>
      </c>
      <c r="E79" s="3" cm="1">
        <f t="array" aca="1" ref="E79" ca="1">_FV(B79,"Price")</f>
        <v>10</v>
      </c>
      <c r="F79" s="4" cm="1">
        <f t="array" aca="1" ref="F79" ca="1">_FV(B79,"Change (%)",TRUE)</f>
        <v>-7.0632E-2</v>
      </c>
      <c r="G79" s="5" cm="1">
        <f t="array" aca="1" ref="G79" ca="1">_FV(B79,"Change")</f>
        <v>-0.76</v>
      </c>
      <c r="H79" s="6" cm="1">
        <f t="array" aca="1" ref="H79" ca="1">_FV(B79,"P/E",TRUE)</f>
        <v>0</v>
      </c>
      <c r="I79" s="6" cm="1">
        <f t="array" aca="1" ref="I79" ca="1">_FV(B79,"Beta")</f>
        <v>2.2486999999999999</v>
      </c>
      <c r="J79" s="3" cm="1">
        <f t="array" aca="1" ref="J79" ca="1">_FV(B79,"52 week high",TRUE)</f>
        <v>57.42</v>
      </c>
      <c r="K79" s="3" cm="1">
        <f t="array" aca="1" ref="K79" ca="1">_FV(B79,"52 week low",TRUE)</f>
        <v>8.85</v>
      </c>
      <c r="L79" s="3" cm="1">
        <f t="array" aca="1" ref="L79" ca="1">_FV(B79,"High")</f>
        <v>11.019</v>
      </c>
      <c r="M79" s="3" cm="1">
        <f t="array" aca="1" ref="M79" ca="1">_FV(B79,"Low")</f>
        <v>9.59</v>
      </c>
      <c r="N79" s="3" cm="1">
        <f t="array" aca="1" ref="N79" ca="1">_FV(B79,"Open")</f>
        <v>10.73</v>
      </c>
      <c r="O79" s="3" cm="1">
        <f t="array" aca="1" ref="O79" ca="1">_FV(B79,"Previous close",TRUE)</f>
        <v>10.76</v>
      </c>
      <c r="P79" s="7" cm="1">
        <f t="array" aca="1" ref="P79" ca="1">_FV(B79,"Volume")</f>
        <v>31826711</v>
      </c>
      <c r="Q79" s="7" cm="1">
        <f t="array" aca="1" ref="Q79" ca="1">_FV(B79,"Volume average",TRUE)</f>
        <v>35104020</v>
      </c>
      <c r="R79" s="8" cm="1">
        <f t="array" aca="1" ref="R79" ca="1">_FV(B79,"Year incorporated",TRUE)</f>
        <v>2022</v>
      </c>
      <c r="S79" s="7" cm="1">
        <f t="array" aca="1" ref="S79" ca="1">_FV(B79,"Employees")</f>
        <v>428</v>
      </c>
      <c r="T79" t="str" cm="1">
        <f t="array" aca="1" ref="T79" ca="1">_FV(B79,"Industry")</f>
        <v>Electrical Utilities &amp; IPPs</v>
      </c>
      <c r="U79" s="7" cm="1">
        <f t="array" aca="1" ref="U79" ca="1">_FV(B79,"Market cap",TRUE)</f>
        <v>3654812000</v>
      </c>
      <c r="V79" s="7" cm="1">
        <f t="array" aca="1" ref="V79" ca="1">_FV(B79,"Shares outstanding",TRUE)</f>
        <v>365481200</v>
      </c>
    </row>
    <row r="80" spans="1:22">
      <c r="A80" t="s">
        <v>28</v>
      </c>
      <c r="B80" t="e" vm="85">
        <v>#VALUE!</v>
      </c>
      <c r="C80" s="2">
        <f t="array" aca="1" ref="C80" ca="1">_FV(B80,"Last trade time",TRUE)</f>
        <v>46182.797971539061</v>
      </c>
      <c r="D80" t="str">
        <f t="array" aca="1" ref="D80" ca="1">_FV(B80,"Currency")</f>
        <v>USD</v>
      </c>
      <c r="E80" s="3">
        <f t="array" aca="1" ref="E80" ca="1">_FV(B80,"Price")</f>
        <v>1675.65</v>
      </c>
      <c r="F80" s="4">
        <f t="array" aca="1" ref="F80" ca="1">_FV(B80,"Change (%)",TRUE)</f>
        <v>2.0493000000000001E-2</v>
      </c>
      <c r="G80" s="5">
        <f t="array" aca="1" ref="G80" ca="1">_FV(B80,"Change")</f>
        <v>33.65</v>
      </c>
      <c r="H80" s="6">
        <f t="array" aca="1" ref="H80" ca="1">_FV(B80,"P/E",TRUE)</f>
        <v>59.240400000000001</v>
      </c>
      <c r="I80" s="6">
        <f t="array" aca="1" ref="I80" ca="1">_FV(B80,"Beta")</f>
        <v>2.746</v>
      </c>
      <c r="J80" s="3">
        <f t="array" aca="1" ref="J80" ca="1">_FV(B80,"52 week high",TRUE)</f>
        <v>1861</v>
      </c>
      <c r="K80" s="3">
        <f t="array" aca="1" ref="K80" ca="1">_FV(B80,"52 week low",TRUE)</f>
        <v>39.44</v>
      </c>
      <c r="L80" s="3">
        <f t="array" aca="1" ref="L80" ca="1">_FV(B80,"High")</f>
        <v>1802.9999</v>
      </c>
      <c r="M80" s="3">
        <f t="array" aca="1" ref="M80" ca="1">_FV(B80,"Low")</f>
        <v>1536.0001</v>
      </c>
      <c r="N80" s="3">
        <f t="array" aca="1" ref="N80" ca="1">_FV(B80,"Open")</f>
        <v>1700</v>
      </c>
      <c r="O80" s="3">
        <f t="array" aca="1" ref="O80" ca="1">_FV(B80,"Previous close",TRUE)</f>
        <v>1642</v>
      </c>
      <c r="P80" s="7">
        <f t="array" aca="1" ref="P80" ca="1">_FV(B80,"Volume")</f>
        <v>13191666</v>
      </c>
      <c r="Q80" s="7">
        <f t="array" aca="1" ref="Q80" ca="1">_FV(B80,"Volume average",TRUE)</f>
        <v>13177149</v>
      </c>
      <c r="R80" s="8">
        <f t="array" aca="1" ref="R80" ca="1">_FV(B80,"Year incorporated",TRUE)</f>
        <v>2024</v>
      </c>
      <c r="S80" s="7">
        <f t="array" aca="1" ref="S80" ca="1">_FV(B80,"Employees")</f>
        <v>11000</v>
      </c>
      <c r="T80" t="str">
        <f t="array" aca="1" ref="T80" ca="1">_FV(B80,"Industry")</f>
        <v>Computers, Phones &amp; Household Electronics</v>
      </c>
      <c r="U80" s="7">
        <f t="array" aca="1" ref="U80" ca="1">_FV(B80,"Market cap",TRUE)</f>
        <v>248146673370</v>
      </c>
      <c r="V80" s="7">
        <f t="array" aca="1" ref="V80" ca="1">_FV(B80,"Shares outstanding",TRUE)</f>
        <v>148089800</v>
      </c>
    </row>
    <row r="81" spans="1:22">
      <c r="A81" t="s">
        <v>136</v>
      </c>
      <c r="B81" t="e" vm="86">
        <v>#VALUE!</v>
      </c>
      <c r="C81" s="2" cm="1">
        <f t="array" aca="1" ref="C81" ca="1">_FV(B81,"Last trade time",TRUE)</f>
        <v>46182.797932661721</v>
      </c>
      <c r="D81" t="str" cm="1">
        <f t="array" aca="1" ref="D81" ca="1">_FV(B81,"Currency")</f>
        <v>USD</v>
      </c>
      <c r="E81" s="3" cm="1">
        <f t="array" aca="1" ref="E81" ca="1">_FV(B81,"Price")</f>
        <v>237.23</v>
      </c>
      <c r="F81" s="4" cm="1">
        <f t="array" aca="1" ref="F81" ca="1">_FV(B81,"Change (%)",TRUE)</f>
        <v>-1.3391999999999999E-2</v>
      </c>
      <c r="G81" s="5" cm="1">
        <f t="array" aca="1" ref="G81" ca="1">_FV(B81,"Change")</f>
        <v>-3.22</v>
      </c>
      <c r="H81" s="6" t="e" cm="1" vm="13">
        <f t="array" ref="H81">_FV(B81,"P/E",TRUE)</f>
        <v>#VALUE!</v>
      </c>
      <c r="I81" s="6" cm="1">
        <f t="array" aca="1" ref="I81" ca="1">_FV(B81,"Beta")</f>
        <v>1.3622000000000001</v>
      </c>
      <c r="J81" s="3" cm="1">
        <f t="array" aca="1" ref="J81" ca="1">_FV(B81,"52 week high",TRUE)</f>
        <v>284.99</v>
      </c>
      <c r="K81" s="3" cm="1">
        <f t="array" aca="1" ref="K81" ca="1">_FV(B81,"52 week low",TRUE)</f>
        <v>118.3</v>
      </c>
      <c r="L81" s="3" cm="1">
        <f t="array" aca="1" ref="L81" ca="1">_FV(B81,"High")</f>
        <v>245.95</v>
      </c>
      <c r="M81" s="3" cm="1">
        <f t="array" aca="1" ref="M81" ca="1">_FV(B81,"Low")</f>
        <v>229.6</v>
      </c>
      <c r="N81" s="3" cm="1">
        <f t="array" aca="1" ref="N81" ca="1">_FV(B81,"Open")</f>
        <v>239.24</v>
      </c>
      <c r="O81" s="3" cm="1">
        <f t="array" aca="1" ref="O81" ca="1">_FV(B81,"Previous close",TRUE)</f>
        <v>240.45</v>
      </c>
      <c r="P81" s="7" cm="1">
        <f t="array" aca="1" ref="P81" ca="1">_FV(B81,"Volume")</f>
        <v>4447620</v>
      </c>
      <c r="Q81" s="7" cm="1">
        <f t="array" aca="1" ref="Q81" ca="1">_FV(B81,"Volume average",TRUE)</f>
        <v>10663365</v>
      </c>
      <c r="R81" s="8" cm="1">
        <f t="array" aca="1" ref="R81" ca="1">_FV(B81,"Year incorporated",TRUE)</f>
        <v>2012</v>
      </c>
      <c r="S81" s="7" cm="1">
        <f t="array" aca="1" ref="S81" ca="1">_FV(B81,"Employees")</f>
        <v>9060</v>
      </c>
      <c r="T81" t="str" cm="1">
        <f t="array" aca="1" ref="T81" ca="1">_FV(B81,"Industry")</f>
        <v>Software &amp; IT Services</v>
      </c>
      <c r="U81" s="7" cm="1">
        <f t="array" aca="1" ref="U81" ca="1">_FV(B81,"Market cap",TRUE)</f>
        <v>60745624254</v>
      </c>
      <c r="V81" s="7" cm="1">
        <f t="array" aca="1" ref="V81" ca="1">_FV(B81,"Shares outstanding",TRUE)</f>
        <v>346600000</v>
      </c>
    </row>
    <row r="82" spans="1:22">
      <c r="A82" t="s">
        <v>304</v>
      </c>
      <c r="B82" t="e" vm="87">
        <v>#VALUE!</v>
      </c>
      <c r="C82" s="2" cm="1">
        <f t="array" aca="1" ref="C82" ca="1">_FV(B82,"Last trade time",TRUE)</f>
        <v>46182.797928483596</v>
      </c>
      <c r="D82" t="str" cm="1">
        <f t="array" aca="1" ref="D82" ca="1">_FV(B82,"Currency")</f>
        <v>USD</v>
      </c>
      <c r="E82" s="3" cm="1">
        <f t="array" aca="1" ref="E82" ca="1">_FV(B82,"Price")</f>
        <v>464.49</v>
      </c>
      <c r="F82" s="4" cm="1">
        <f t="array" aca="1" ref="F82" ca="1">_FV(B82,"Change (%)",TRUE)</f>
        <v>-1.8987E-2</v>
      </c>
      <c r="G82" s="5" cm="1">
        <f t="array" aca="1" ref="G82" ca="1">_FV(B82,"Change")</f>
        <v>-8.99</v>
      </c>
      <c r="H82" s="6" cm="1">
        <f t="array" aca="1" ref="H82" ca="1">_FV(B82,"P/E",TRUE)</f>
        <v>107.64790000000001</v>
      </c>
      <c r="I82" s="6" cm="1">
        <f t="array" aca="1" ref="I82" ca="1">_FV(B82,"Beta")</f>
        <v>1.2060999999999999</v>
      </c>
      <c r="J82" s="3" cm="1">
        <f t="array" aca="1" ref="J82" ca="1">_FV(B82,"52 week high",TRUE)</f>
        <v>651.73</v>
      </c>
      <c r="K82" s="3" cm="1">
        <f t="array" aca="1" ref="K82" ca="1">_FV(B82,"52 week low",TRUE)</f>
        <v>376.18</v>
      </c>
      <c r="L82" s="3" cm="1">
        <f t="array" aca="1" ref="L82" ca="1">_FV(B82,"High")</f>
        <v>487.55</v>
      </c>
      <c r="M82" s="3" cm="1">
        <f t="array" aca="1" ref="M82" ca="1">_FV(B82,"Low")</f>
        <v>451</v>
      </c>
      <c r="N82" s="3" cm="1">
        <f t="array" aca="1" ref="N82" ca="1">_FV(B82,"Open")</f>
        <v>475.81</v>
      </c>
      <c r="O82" s="3" cm="1">
        <f t="array" aca="1" ref="O82" ca="1">_FV(B82,"Previous close",TRUE)</f>
        <v>473.48</v>
      </c>
      <c r="P82" s="7" cm="1">
        <f t="array" aca="1" ref="P82" ca="1">_FV(B82,"Volume")</f>
        <v>1319526</v>
      </c>
      <c r="Q82" s="7" cm="1">
        <f t="array" aca="1" ref="Q82" ca="1">_FV(B82,"Volume average",TRUE)</f>
        <v>1934008</v>
      </c>
      <c r="R82" s="8" cm="1">
        <f t="array" aca="1" ref="R82" ca="1">_FV(B82,"Year incorporated",TRUE)</f>
        <v>1987</v>
      </c>
      <c r="S82" s="7" cm="1">
        <f t="array" aca="1" ref="S82" ca="1">_FV(B82,"Employees")</f>
        <v>28000</v>
      </c>
      <c r="T82" t="str" cm="1">
        <f t="array" aca="1" ref="T82" ca="1">_FV(B82,"Industry")</f>
        <v>Software &amp; IT Services</v>
      </c>
      <c r="U82" s="7" cm="1">
        <f t="array" aca="1" ref="U82" ca="1">_FV(B82,"Market cap",TRUE)</f>
        <v>88940220057</v>
      </c>
      <c r="V82" s="7" cm="1">
        <f t="array" aca="1" ref="V82" ca="1">_FV(B82,"Shares outstanding",TRUE)</f>
        <v>191479300</v>
      </c>
    </row>
    <row r="83" spans="1:22">
      <c r="A83" t="s">
        <v>43</v>
      </c>
      <c r="B83" t="e" vm="88">
        <v>#VALUE!</v>
      </c>
      <c r="C83" s="2">
        <f t="array" aca="1" ref="C83" ca="1">_FV(B83,"Last trade time",TRUE)</f>
        <v>46182.797943159378</v>
      </c>
      <c r="D83" t="str">
        <f t="array" aca="1" ref="D83" ca="1">_FV(B83,"Currency")</f>
        <v>USD</v>
      </c>
      <c r="E83" s="3">
        <f t="array" aca="1" ref="E83" ca="1">_FV(B83,"Price")</f>
        <v>7.0049999999999999</v>
      </c>
      <c r="F83" s="4">
        <f t="array" aca="1" ref="F83" ca="1">_FV(B83,"Change (%)",TRUE)</f>
        <v>-6.4753000000000005E-2</v>
      </c>
      <c r="G83" s="5">
        <f t="array" aca="1" ref="G83" ca="1">_FV(B83,"Change")</f>
        <v>-0.48499999999999999</v>
      </c>
      <c r="H83" s="6">
        <f t="array" aca="1" ref="H83" ca="1">_FV(B83,"P/E",TRUE)</f>
        <v>0</v>
      </c>
      <c r="I83" s="6">
        <f t="array" aca="1" ref="I83" ca="1">_FV(B83,"Beta")</f>
        <v>2.7942</v>
      </c>
      <c r="J83" s="3">
        <f t="array" aca="1" ref="J83" ca="1">_FV(B83,"52 week high",TRUE)</f>
        <v>22.17</v>
      </c>
      <c r="K83" s="3">
        <f t="array" aca="1" ref="K83" ca="1">_FV(B83,"52 week low",TRUE)</f>
        <v>5.83</v>
      </c>
      <c r="L83" s="3">
        <f t="array" aca="1" ref="L83" ca="1">_FV(B83,"High")</f>
        <v>7.6059999999999999</v>
      </c>
      <c r="M83" s="3">
        <f t="array" aca="1" ref="M83" ca="1">_FV(B83,"Low")</f>
        <v>6.76</v>
      </c>
      <c r="N83" s="3">
        <f t="array" aca="1" ref="N83" ca="1">_FV(B83,"Open")</f>
        <v>7.51</v>
      </c>
      <c r="O83" s="3">
        <f t="array" aca="1" ref="O83" ca="1">_FV(B83,"Previous close",TRUE)</f>
        <v>7.49</v>
      </c>
      <c r="P83" s="7">
        <f t="array" aca="1" ref="P83" ca="1">_FV(B83,"Volume")</f>
        <v>21053544</v>
      </c>
      <c r="Q83" s="7">
        <f t="array" aca="1" ref="Q83" ca="1">_FV(B83,"Volume average",TRUE)</f>
        <v>29246290</v>
      </c>
      <c r="R83" s="8">
        <f t="array" aca="1" ref="R83" ca="1">_FV(B83,"Year incorporated",TRUE)</f>
        <v>2020</v>
      </c>
      <c r="S83" s="7">
        <f t="array" aca="1" ref="S83" ca="1">_FV(B83,"Employees")</f>
        <v>954</v>
      </c>
      <c r="T83" t="str">
        <f t="array" aca="1" ref="T83" ca="1">_FV(B83,"Industry")</f>
        <v>Software &amp; IT Services</v>
      </c>
      <c r="U83" s="7">
        <f t="array" aca="1" ref="U83" ca="1">_FV(B83,"Market cap",TRUE)</f>
        <v>3031551048</v>
      </c>
      <c r="V83" s="7">
        <f t="array" aca="1" ref="V83" ca="1">_FV(B83,"Shares outstanding",TRUE)</f>
        <v>432769600</v>
      </c>
    </row>
    <row r="84" spans="1:22">
      <c r="A84" t="s">
        <v>154</v>
      </c>
      <c r="B84" t="e" vm="89">
        <v>#VALUE!</v>
      </c>
      <c r="C84" s="2" cm="1">
        <f t="array" aca="1" ref="C84" ca="1">_FV(B84,"Last trade time",TRUE)</f>
        <v>46182.797948923435</v>
      </c>
      <c r="D84" t="str" cm="1">
        <f t="array" aca="1" ref="D84" ca="1">_FV(B84,"Currency")</f>
        <v>USD</v>
      </c>
      <c r="E84" s="3" cm="1">
        <f t="array" aca="1" ref="E84" ca="1">_FV(B84,"Price")</f>
        <v>556.67999999999995</v>
      </c>
      <c r="F84" s="4" cm="1">
        <f t="array" aca="1" ref="F84" ca="1">_FV(B84,"Change (%)",TRUE)</f>
        <v>-2.5847000000000002E-2</v>
      </c>
      <c r="G84" s="5" cm="1">
        <f t="array" aca="1" ref="G84" ca="1">_FV(B84,"Change")</f>
        <v>-14.77</v>
      </c>
      <c r="H84" s="6" t="e" cm="1" vm="13">
        <f t="array" ref="H84">_FV(B84,"P/E",TRUE)</f>
        <v>#VALUE!</v>
      </c>
      <c r="I84" s="6" cm="1">
        <f t="array" aca="1" ref="I84" ca="1">_FV(B84,"Beta")</f>
        <v>1.7036</v>
      </c>
      <c r="J84" s="3" cm="1">
        <f t="array" aca="1" ref="J84" ca="1">_FV(B84,"52 week high",TRUE)</f>
        <v>618.84</v>
      </c>
      <c r="K84" s="3" cm="1">
        <f t="array" aca="1" ref="K84" ca="1">_FV(B84,"52 week low",TRUE)</f>
        <v>219.13</v>
      </c>
      <c r="L84" s="3" cm="1">
        <f t="array" aca="1" ref="L84" ca="1">_FV(B84,"High")</f>
        <v>588.55999999999995</v>
      </c>
      <c r="M84" s="3" cm="1">
        <f t="array" aca="1" ref="M84" ca="1">_FV(B84,"Low")</f>
        <v>522.24</v>
      </c>
      <c r="N84" s="3" cm="1">
        <f t="array" aca="1" ref="N84" ca="1">_FV(B84,"Open")</f>
        <v>584.29999999999995</v>
      </c>
      <c r="O84" s="3" cm="1">
        <f t="array" aca="1" ref="O84" ca="1">_FV(B84,"Previous close",TRUE)</f>
        <v>571.45000000000005</v>
      </c>
      <c r="P84" s="7" cm="1">
        <f t="array" aca="1" ref="P84" ca="1">_FV(B84,"Volume")</f>
        <v>20909510</v>
      </c>
      <c r="Q84" s="7" cm="1">
        <f t="array" aca="1" ref="Q84" ca="1">_FV(B84,"Volume average",TRUE)</f>
        <v>9367969</v>
      </c>
      <c r="R84" s="8" t="e" cm="1" vm="14">
        <f t="array" ref="R84">_FV(B84,"Year incorporated",TRUE)</f>
        <v>#VALUE!</v>
      </c>
      <c r="S84" s="7" t="e" cm="1" vm="15">
        <f t="array" ref="S84">_FV(B84,"Employees")</f>
        <v>#VALUE!</v>
      </c>
      <c r="T84" t="e" cm="1" vm="16">
        <f t="array" ref="T84">_FV(B84,"Industry")</f>
        <v>#VALUE!</v>
      </c>
      <c r="U84" s="7" cm="1">
        <f t="array" aca="1" ref="U84" ca="1">_FV(B84,"Market cap",TRUE)</f>
        <v>38373488686.160004</v>
      </c>
      <c r="V84" s="7" t="e" cm="1" vm="17">
        <f t="array" ref="V84">_FV(B84,"Shares outstanding",TRUE)</f>
        <v>#VALUE!</v>
      </c>
    </row>
    <row r="85" spans="1:22">
      <c r="A85" t="s">
        <v>151</v>
      </c>
      <c r="B85" t="e" vm="90">
        <v>#VALUE!</v>
      </c>
      <c r="C85" s="2" cm="1">
        <f t="array" aca="1" ref="C85" ca="1">_FV(B85,"Last trade time",TRUE)</f>
        <v>46182.797959860938</v>
      </c>
      <c r="D85" t="str" cm="1">
        <f t="array" aca="1" ref="D85" ca="1">_FV(B85,"Currency")</f>
        <v>USD</v>
      </c>
      <c r="E85" s="3" cm="1">
        <f t="array" aca="1" ref="E85" ca="1">_FV(B85,"Price")</f>
        <v>736.86749999999995</v>
      </c>
      <c r="F85" s="4" cm="1">
        <f t="array" aca="1" ref="F85" ca="1">_FV(B85,"Change (%)",TRUE)</f>
        <v>-3.1819999999999999E-3</v>
      </c>
      <c r="G85" s="5" cm="1">
        <f t="array" aca="1" ref="G85" ca="1">_FV(B85,"Change")</f>
        <v>-2.3525</v>
      </c>
      <c r="H85" s="6" t="e" vm="13">
        <f t="array" ref="H85">_FV(B85,"P/E",TRUE)</f>
        <v>#VALUE!</v>
      </c>
      <c r="I85" s="6" cm="1">
        <f t="array" aca="1" ref="I85" ca="1">_FV(B85,"Beta")</f>
        <v>0.99870000000000003</v>
      </c>
      <c r="J85" s="3" cm="1">
        <f t="array" aca="1" ref="J85" ca="1">_FV(B85,"52 week high",TRUE)</f>
        <v>760.4</v>
      </c>
      <c r="K85" s="3" cm="1">
        <f t="array" aca="1" ref="K85" ca="1">_FV(B85,"52 week low",TRUE)</f>
        <v>591.89</v>
      </c>
      <c r="L85" s="3" cm="1">
        <f t="array" aca="1" ref="L85" ca="1">_FV(B85,"High")</f>
        <v>746.9</v>
      </c>
      <c r="M85" s="3" cm="1">
        <f t="array" aca="1" ref="M85" ca="1">_FV(B85,"Low")</f>
        <v>722.59</v>
      </c>
      <c r="N85" s="3" cm="1">
        <f t="array" aca="1" ref="N85" ca="1">_FV(B85,"Open")</f>
        <v>743.51</v>
      </c>
      <c r="O85" s="3" cm="1">
        <f t="array" aca="1" ref="O85" ca="1">_FV(B85,"Previous close",TRUE)</f>
        <v>739.22</v>
      </c>
      <c r="P85" s="7" cm="1">
        <f t="array" aca="1" ref="P85" ca="1">_FV(B85,"Volume")</f>
        <v>60974325</v>
      </c>
      <c r="Q85" s="7" cm="1">
        <f t="array" aca="1" ref="Q85" ca="1">_FV(B85,"Volume average",TRUE)</f>
        <v>46799314</v>
      </c>
      <c r="R85" s="8" t="e" cm="1" vm="14">
        <f t="array" ref="R85">_FV(B85,"Year incorporated",TRUE)</f>
        <v>#VALUE!</v>
      </c>
      <c r="S85" s="7" t="e" cm="1" vm="15">
        <f t="array" ref="S85">_FV(B85,"Employees")</f>
        <v>#VALUE!</v>
      </c>
      <c r="T85" t="e" cm="1" vm="16">
        <f t="array" ref="T85">_FV(B85,"Industry")</f>
        <v>#VALUE!</v>
      </c>
      <c r="U85" s="7" cm="1">
        <f t="array" aca="1" ref="U85" ca="1">_FV(B85,"Market cap",TRUE)</f>
        <v>783796407176.76001</v>
      </c>
      <c r="V85" s="7" t="e" cm="1" vm="17">
        <f t="array" ref="V85">_FV(B85,"Shares outstanding",TRUE)</f>
        <v>#VALUE!</v>
      </c>
    </row>
    <row r="86" spans="1:22">
      <c r="A86" t="s">
        <v>21</v>
      </c>
      <c r="B86" t="e" vm="91">
        <v>#VALUE!</v>
      </c>
      <c r="C86" s="2">
        <f t="array" aca="1" ref="C86" ca="1">_FV(B86,"Last trade time",TRUE)</f>
        <v>46182.797952256253</v>
      </c>
      <c r="D86" t="str">
        <f t="array" aca="1" ref="D86" ca="1">_FV(B86,"Currency")</f>
        <v>USD</v>
      </c>
      <c r="E86" s="3">
        <f t="array" aca="1" ref="E86" ca="1">_FV(B86,"Price")</f>
        <v>73.004999999999995</v>
      </c>
      <c r="F86" s="4">
        <f t="array" aca="1" ref="F86" ca="1">_FV(B86,"Change (%)",TRUE)</f>
        <v>-3.1379000000000004E-2</v>
      </c>
      <c r="G86" s="5">
        <f t="array" aca="1" ref="G86" ca="1">_FV(B86,"Change")</f>
        <v>-2.3650000000000002</v>
      </c>
      <c r="H86" s="6">
        <f t="array" aca="1" ref="H86" ca="1">_FV(B86,"P/E",TRUE)</f>
        <v>28.842099999999999</v>
      </c>
      <c r="I86" s="6">
        <f t="array" aca="1" ref="I86" ca="1">_FV(B86,"Beta")</f>
        <v>1.4730000000000001</v>
      </c>
      <c r="J86" s="3">
        <f t="array" aca="1" ref="J86" ca="1">_FV(B86,"52 week high",TRUE)</f>
        <v>90.9</v>
      </c>
      <c r="K86" s="3">
        <f t="array" aca="1" ref="K86" ca="1">_FV(B86,"52 week low",TRUE)</f>
        <v>51.93</v>
      </c>
      <c r="L86" s="3">
        <f t="array" aca="1" ref="L86" ca="1">_FV(B86,"High")</f>
        <v>77.27</v>
      </c>
      <c r="M86" s="3">
        <f t="array" aca="1" ref="M86" ca="1">_FV(B86,"Low")</f>
        <v>69.37</v>
      </c>
      <c r="N86" s="3">
        <f t="array" aca="1" ref="N86" ca="1">_FV(B86,"Open")</f>
        <v>75.91</v>
      </c>
      <c r="O86" s="3">
        <f t="array" aca="1" ref="O86" ca="1">_FV(B86,"Previous close",TRUE)</f>
        <v>75.37</v>
      </c>
      <c r="P86" s="7">
        <f t="array" aca="1" ref="P86" ca="1">_FV(B86,"Volume")</f>
        <v>3233830</v>
      </c>
      <c r="Q86" s="7">
        <f t="array" aca="1" ref="Q86" ca="1">_FV(B86,"Volume average",TRUE)</f>
        <v>5563748</v>
      </c>
      <c r="R86" s="8">
        <f t="array" aca="1" ref="R86" ca="1">_FV(B86,"Year incorporated",TRUE)</f>
        <v>2002</v>
      </c>
      <c r="S86" s="7">
        <f t="array" aca="1" ref="S86" ca="1">_FV(B86,"Employees")</f>
        <v>10000</v>
      </c>
      <c r="T86" t="str">
        <f t="array" aca="1" ref="T86" ca="1">_FV(B86,"Industry")</f>
        <v>Semiconductors &amp; Semiconductor Equipment</v>
      </c>
      <c r="U86" s="7">
        <f t="array" aca="1" ref="U86" ca="1">_FV(B86,"Market cap",TRUE)</f>
        <v>10980382729</v>
      </c>
      <c r="V86" s="7">
        <f t="array" aca="1" ref="V86" ca="1">_FV(B86,"Shares outstanding",TRUE)</f>
        <v>150405900</v>
      </c>
    </row>
    <row r="87" spans="1:22">
      <c r="A87" t="s">
        <v>145</v>
      </c>
      <c r="B87" t="e" vm="92">
        <v>#VALUE!</v>
      </c>
      <c r="C87" s="2" cm="1">
        <f t="array" aca="1" ref="C87" ca="1">_FV(B87,"Last trade time",TRUE)</f>
        <v>46182.79797157344</v>
      </c>
      <c r="D87" t="str" cm="1">
        <f t="array" aca="1" ref="D87" ca="1">_FV(B87,"Currency")</f>
        <v>USD</v>
      </c>
      <c r="E87" s="3" cm="1">
        <f t="array" aca="1" ref="E87" ca="1">_FV(B87,"Price")</f>
        <v>42.7</v>
      </c>
      <c r="F87" s="4" cm="1">
        <f t="array" aca="1" ref="F87" ca="1">_FV(B87,"Change (%)",TRUE)</f>
        <v>-3.6769999999999997E-2</v>
      </c>
      <c r="G87" s="5" cm="1">
        <f t="array" aca="1" ref="G87" ca="1">_FV(B87,"Change")</f>
        <v>-1.63</v>
      </c>
      <c r="H87" s="6" cm="1">
        <f t="array" aca="1" ref="H87" ca="1">_FV(B87,"P/E",TRUE)</f>
        <v>0</v>
      </c>
      <c r="I87" s="6" cm="1">
        <f t="array" aca="1" ref="I87" ca="1">_FV(B87,"Beta")</f>
        <v>1.9341999999999999</v>
      </c>
      <c r="J87" s="3" cm="1">
        <f t="array" aca="1" ref="J87" ca="1">_FV(B87,"52 week high",TRUE)</f>
        <v>87.88</v>
      </c>
      <c r="K87" s="3" cm="1">
        <f t="array" aca="1" ref="K87" ca="1">_FV(B87,"52 week low",TRUE)</f>
        <v>27.26</v>
      </c>
      <c r="L87" s="3" cm="1">
        <f t="array" aca="1" ref="L87" ca="1">_FV(B87,"High")</f>
        <v>45.34</v>
      </c>
      <c r="M87" s="3" cm="1">
        <f t="array" aca="1" ref="M87" ca="1">_FV(B87,"Low")</f>
        <v>40.6999</v>
      </c>
      <c r="N87" s="3" cm="1">
        <f t="array" aca="1" ref="N87" ca="1">_FV(B87,"Open")</f>
        <v>44.9</v>
      </c>
      <c r="O87" s="3" cm="1">
        <f t="array" aca="1" ref="O87" ca="1">_FV(B87,"Previous close",TRUE)</f>
        <v>44.33</v>
      </c>
      <c r="P87" s="7" cm="1">
        <f t="array" aca="1" ref="P87" ca="1">_FV(B87,"Volume")</f>
        <v>2022201</v>
      </c>
      <c r="Q87" s="7" cm="1">
        <f t="array" aca="1" ref="Q87" ca="1">_FV(B87,"Volume average",TRUE)</f>
        <v>2646577</v>
      </c>
      <c r="R87" s="8" cm="1">
        <f t="array" aca="1" ref="R87" ca="1">_FV(B87,"Year incorporated",TRUE)</f>
        <v>2022</v>
      </c>
      <c r="S87" s="7" cm="1">
        <f t="array" aca="1" ref="S87" ca="1">_FV(B87,"Employees")</f>
        <v>2000</v>
      </c>
      <c r="T87" t="str" cm="1">
        <f t="array" aca="1" ref="T87" ca="1">_FV(B87,"Industry")</f>
        <v>Machinery, Equipment &amp; Components</v>
      </c>
      <c r="U87" s="7" cm="1">
        <f t="array" aca="1" ref="U87" ca="1">_FV(B87,"Market cap",TRUE)</f>
        <v>25735580360</v>
      </c>
      <c r="V87" s="7" cm="1">
        <f t="array" aca="1" ref="V87" ca="1">_FV(B87,"Shares outstanding",TRUE)</f>
        <v>602706800</v>
      </c>
    </row>
    <row r="88" spans="1:22">
      <c r="A88" t="s">
        <v>52</v>
      </c>
      <c r="B88" t="e" vm="93">
        <v>#VALUE!</v>
      </c>
      <c r="C88" s="2">
        <f t="array" aca="1" ref="C88" ca="1">_FV(B88,"Last trade time",TRUE)</f>
        <v>46182.797922638281</v>
      </c>
      <c r="D88" t="str">
        <f t="array" aca="1" ref="D88" ca="1">_FV(B88,"Currency")</f>
        <v>USD</v>
      </c>
      <c r="E88" s="3">
        <f t="array" aca="1" ref="E88" ca="1">_FV(B88,"Price")</f>
        <v>48.604999999999997</v>
      </c>
      <c r="F88" s="4">
        <f t="array" aca="1" ref="F88" ca="1">_FV(B88,"Change (%)",TRUE)</f>
        <v>3.0870000000000002E-4</v>
      </c>
      <c r="G88" s="5">
        <f t="array" aca="1" ref="G88" ca="1">_FV(B88,"Change")</f>
        <v>1.4999999999999999E-2</v>
      </c>
      <c r="H88" s="6">
        <f t="array" aca="1" ref="H88" ca="1">_FV(B88,"P/E",TRUE)</f>
        <v>0</v>
      </c>
      <c r="I88" s="6">
        <f t="array" aca="1" ref="I88" ca="1">_FV(B88,"Beta")</f>
        <v>3.121</v>
      </c>
      <c r="J88" s="3">
        <f t="array" aca="1" ref="J88" ca="1">_FV(B88,"52 week high",TRUE)</f>
        <v>104.32</v>
      </c>
      <c r="K88" s="3">
        <f t="array" aca="1" ref="K88" ca="1">_FV(B88,"52 week low",TRUE)</f>
        <v>41.73</v>
      </c>
      <c r="L88" s="3">
        <f t="array" aca="1" ref="L88" ca="1">_FV(B88,"High")</f>
        <v>49.48</v>
      </c>
      <c r="M88" s="3">
        <f t="array" aca="1" ref="M88" ca="1">_FV(B88,"Low")</f>
        <v>45.31</v>
      </c>
      <c r="N88" s="3">
        <f t="array" aca="1" ref="N88" ca="1">_FV(B88,"Open")</f>
        <v>48.76</v>
      </c>
      <c r="O88" s="3">
        <f t="array" aca="1" ref="O88" ca="1">_FV(B88,"Previous close",TRUE)</f>
        <v>48.59</v>
      </c>
      <c r="P88" s="7">
        <f t="array" aca="1" ref="P88" ca="1">_FV(B88,"Volume")</f>
        <v>5720418</v>
      </c>
      <c r="Q88" s="7">
        <f t="array" aca="1" ref="Q88" ca="1">_FV(B88,"Volume average",TRUE)</f>
        <v>7235499</v>
      </c>
      <c r="R88" s="8">
        <f t="array" aca="1" ref="R88" ca="1">_FV(B88,"Year incorporated",TRUE)</f>
        <v>2025</v>
      </c>
      <c r="S88" s="7">
        <f t="array" aca="1" ref="S88" ca="1">_FV(B88,"Employees")</f>
        <v>3800</v>
      </c>
      <c r="T88" t="str">
        <f t="array" aca="1" ref="T88" ca="1">_FV(B88,"Industry")</f>
        <v>Biotechnology &amp; Medical Research</v>
      </c>
      <c r="U88" s="7">
        <f t="array" aca="1" ref="U88" ca="1">_FV(B88,"Market cap",TRUE)</f>
        <v>8727747104</v>
      </c>
      <c r="V88" s="7">
        <f t="array" aca="1" ref="V88" ca="1">_FV(B88,"Shares outstanding",TRUE)</f>
        <v>179564800</v>
      </c>
    </row>
    <row r="89" spans="1:22">
      <c r="A89" t="s">
        <v>305</v>
      </c>
      <c r="B89" t="e" vm="94">
        <v>#VALUE!</v>
      </c>
      <c r="C89" s="2" cm="1">
        <f t="array" aca="1" ref="C89" ca="1">_FV(B89,"Last trade time",TRUE)</f>
        <v>46182.797951562497</v>
      </c>
      <c r="D89" t="str" cm="1">
        <f t="array" aca="1" ref="D89" ca="1">_FV(B89,"Currency")</f>
        <v>USD</v>
      </c>
      <c r="E89" s="3" cm="1">
        <f t="array" aca="1" ref="E89" ca="1">_FV(B89,"Price")</f>
        <v>365.935</v>
      </c>
      <c r="F89" s="4" cm="1">
        <f t="array" aca="1" ref="F89" ca="1">_FV(B89,"Change (%)",TRUE)</f>
        <v>-2.3365999999999998E-2</v>
      </c>
      <c r="G89" s="5" cm="1">
        <f t="array" aca="1" ref="G89" ca="1">_FV(B89,"Change")</f>
        <v>-8.7550000000000008</v>
      </c>
      <c r="H89" s="6" cm="1">
        <f t="array" aca="1" ref="H89" ca="1">_FV(B89,"P/E",TRUE)</f>
        <v>67.726900000000001</v>
      </c>
      <c r="I89" s="6" cm="1">
        <f t="array" aca="1" ref="I89" ca="1">_FV(B89,"Beta")</f>
        <v>1.7825</v>
      </c>
      <c r="J89" s="3" cm="1">
        <f t="array" aca="1" ref="J89" ca="1">_FV(B89,"52 week high",TRUE)</f>
        <v>422.11</v>
      </c>
      <c r="K89" s="3" cm="1">
        <f t="array" aca="1" ref="K89" ca="1">_FV(B89,"52 week low",TRUE)</f>
        <v>83</v>
      </c>
      <c r="L89" s="3" cm="1">
        <f t="array" aca="1" ref="L89" ca="1">_FV(B89,"High")</f>
        <v>395.65</v>
      </c>
      <c r="M89" s="3" cm="1">
        <f t="array" aca="1" ref="M89" ca="1">_FV(B89,"Low")</f>
        <v>340.34010000000001</v>
      </c>
      <c r="N89" s="3" cm="1">
        <f t="array" aca="1" ref="N89" ca="1">_FV(B89,"Open")</f>
        <v>386.7</v>
      </c>
      <c r="O89" s="3" cm="1">
        <f t="array" aca="1" ref="O89" ca="1">_FV(B89,"Previous close",TRUE)</f>
        <v>374.69</v>
      </c>
      <c r="P89" s="7" cm="1">
        <f t="array" aca="1" ref="P89" ca="1">_FV(B89,"Volume")</f>
        <v>2421503</v>
      </c>
      <c r="Q89" s="7" cm="1">
        <f t="array" aca="1" ref="Q89" ca="1">_FV(B89,"Volume average",TRUE)</f>
        <v>3725780</v>
      </c>
      <c r="R89" s="8" cm="1">
        <f t="array" aca="1" ref="R89" ca="1">_FV(B89,"Year incorporated",TRUE)</f>
        <v>1960</v>
      </c>
      <c r="S89" s="7" cm="1">
        <f t="array" aca="1" ref="S89" ca="1">_FV(B89,"Employees")</f>
        <v>6600</v>
      </c>
      <c r="T89" t="str" cm="1">
        <f t="array" aca="1" ref="T89" ca="1">_FV(B89,"Industry")</f>
        <v>Semiconductors &amp; Semiconductor Equipment</v>
      </c>
      <c r="U89" s="7" cm="1">
        <f t="array" aca="1" ref="U89" ca="1">_FV(B89,"Market cap",TRUE)</f>
        <v>57284269957</v>
      </c>
      <c r="V89" s="7" cm="1">
        <f t="array" aca="1" ref="V89" ca="1">_FV(B89,"Shares outstanding",TRUE)</f>
        <v>156542200</v>
      </c>
    </row>
    <row r="90" spans="1:22">
      <c r="A90" t="s">
        <v>64</v>
      </c>
      <c r="B90" t="e" vm="95">
        <v>#VALUE!</v>
      </c>
      <c r="C90" s="2">
        <f t="array" aca="1" ref="C90" ca="1">_FV(B90,"Last trade time",TRUE)</f>
        <v>46182.797978193747</v>
      </c>
      <c r="D90" t="str">
        <f t="array" aca="1" ref="D90" ca="1">_FV(B90,"Currency")</f>
        <v>USD</v>
      </c>
      <c r="E90" s="3">
        <f t="array" aca="1" ref="E90" ca="1">_FV(B90,"Price")</f>
        <v>396.98</v>
      </c>
      <c r="F90" s="4">
        <f t="array" aca="1" ref="F90" ca="1">_FV(B90,"Change (%)",TRUE)</f>
        <v>-2.9270000000000001E-2</v>
      </c>
      <c r="G90" s="5">
        <f t="array" aca="1" ref="G90" ca="1">_FV(B90,"Change")</f>
        <v>-11.97</v>
      </c>
      <c r="H90" s="6">
        <f t="array" aca="1" ref="H90" ca="1">_FV(B90,"P/E",TRUE)</f>
        <v>362.83699999999999</v>
      </c>
      <c r="I90" s="6">
        <f t="array" aca="1" ref="I90" ca="1">_FV(B90,"Beta")</f>
        <v>1.8043</v>
      </c>
      <c r="J90" s="3">
        <f t="array" aca="1" ref="J90" ca="1">_FV(B90,"52 week high",TRUE)</f>
        <v>498.83</v>
      </c>
      <c r="K90" s="3">
        <f t="array" aca="1" ref="K90" ca="1">_FV(B90,"52 week low",TRUE)</f>
        <v>281.85000000000002</v>
      </c>
      <c r="L90" s="3">
        <f t="array" aca="1" ref="L90" ca="1">_FV(B90,"High")</f>
        <v>418.5</v>
      </c>
      <c r="M90" s="3">
        <f t="array" aca="1" ref="M90" ca="1">_FV(B90,"Low")</f>
        <v>384.24</v>
      </c>
      <c r="N90" s="3">
        <f t="array" aca="1" ref="N90" ca="1">_FV(B90,"Open")</f>
        <v>410.88</v>
      </c>
      <c r="O90" s="3">
        <f t="array" aca="1" ref="O90" ca="1">_FV(B90,"Previous close",TRUE)</f>
        <v>408.95</v>
      </c>
      <c r="P90" s="7">
        <f t="array" aca="1" ref="P90" ca="1">_FV(B90,"Volume")</f>
        <v>48887293</v>
      </c>
      <c r="Q90" s="7">
        <f t="array" aca="1" ref="Q90" ca="1">_FV(B90,"Volume average",TRUE)</f>
        <v>50495530</v>
      </c>
      <c r="R90" s="8">
        <f t="array" aca="1" ref="R90" ca="1">_FV(B90,"Year incorporated",TRUE)</f>
        <v>2024</v>
      </c>
      <c r="S90" s="7">
        <f t="array" aca="1" ref="S90" ca="1">_FV(B90,"Employees")</f>
        <v>134785</v>
      </c>
      <c r="T90" t="str">
        <f t="array" aca="1" ref="T90" ca="1">_FV(B90,"Industry")</f>
        <v>Automobiles &amp; Auto Parts</v>
      </c>
      <c r="U90" s="7">
        <f t="array" aca="1" ref="U90" ca="1">_FV(B90,"Market cap",TRUE)</f>
        <v>1490947313520</v>
      </c>
      <c r="V90" s="7">
        <f t="array" aca="1" ref="V90" ca="1">_FV(B90,"Shares outstanding",TRUE)</f>
        <v>3755724000</v>
      </c>
    </row>
    <row r="91" spans="1:22">
      <c r="A91" t="s">
        <v>51</v>
      </c>
      <c r="B91" t="e" vm="96">
        <v>#VALUE!</v>
      </c>
      <c r="C91" s="2">
        <f t="array" aca="1" ref="C91" ca="1">_FV(B91,"Last trade time",TRUE)</f>
        <v>46182.797986400001</v>
      </c>
      <c r="D91" t="str">
        <f t="array" aca="1" ref="D91" ca="1">_FV(B91,"Currency")</f>
        <v>USD</v>
      </c>
      <c r="E91" s="3">
        <f t="array" aca="1" ref="E91" ca="1">_FV(B91,"Price")</f>
        <v>427.91</v>
      </c>
      <c r="F91" s="4">
        <f t="array" aca="1" ref="F91" ca="1">_FV(B91,"Change (%)",TRUE)</f>
        <v>2.601E-3</v>
      </c>
      <c r="G91" s="5">
        <f t="array" aca="1" ref="G91" ca="1">_FV(B91,"Change")</f>
        <v>1.1100000000000001</v>
      </c>
      <c r="H91" s="6">
        <f t="array" aca="1" ref="H91" ca="1">_FV(B91,"P/E",TRUE)</f>
        <v>36.204999999999998</v>
      </c>
      <c r="I91" s="6">
        <f t="array" aca="1" ref="I91" ca="1">_FV(B91,"Beta")</f>
        <v>1.3828</v>
      </c>
      <c r="J91" s="3">
        <f t="array" aca="1" ref="J91" ca="1">_FV(B91,"52 week high",TRUE)</f>
        <v>450.16359999999997</v>
      </c>
      <c r="K91" s="3">
        <f t="array" aca="1" ref="K91" ca="1">_FV(B91,"52 week low",TRUE)</f>
        <v>205.87</v>
      </c>
      <c r="L91" s="3">
        <f t="array" aca="1" ref="L91" ca="1">_FV(B91,"High")</f>
        <v>438.16030000000001</v>
      </c>
      <c r="M91" s="3">
        <f t="array" aca="1" ref="M91" ca="1">_FV(B91,"Low")</f>
        <v>405.6</v>
      </c>
      <c r="N91" s="3">
        <f t="array" aca="1" ref="N91" ca="1">_FV(B91,"Open")</f>
        <v>431.61</v>
      </c>
      <c r="O91" s="3">
        <f t="array" aca="1" ref="O91" ca="1">_FV(B91,"Previous close",TRUE)</f>
        <v>426.8</v>
      </c>
      <c r="P91" s="7">
        <f t="array" aca="1" ref="P91" ca="1">_FV(B91,"Volume")</f>
        <v>12944295</v>
      </c>
      <c r="Q91" s="7">
        <f t="array" aca="1" ref="Q91" ca="1">_FV(B91,"Volume average",TRUE)</f>
        <v>13134837</v>
      </c>
      <c r="R91" s="8">
        <f t="array" aca="1" ref="R91" ca="1">_FV(B91,"Year incorporated",TRUE)</f>
        <v>1987</v>
      </c>
      <c r="S91" s="7">
        <f t="array" aca="1" ref="S91" ca="1">_FV(B91,"Employees")</f>
        <v>52045</v>
      </c>
      <c r="T91" t="str">
        <f t="array" aca="1" ref="T91" ca="1">_FV(B91,"Industry")</f>
        <v>Semiconductors &amp; Semiconductor Equipment</v>
      </c>
      <c r="U91" s="7">
        <f t="array" aca="1" ref="U91" ca="1">_FV(B91,"Market cap",TRUE)</f>
        <v>2219344089340</v>
      </c>
      <c r="V91" s="7">
        <f t="array" aca="1" ref="V91" ca="1">_FV(B91,"Shares outstanding",TRUE)</f>
        <v>5186474000</v>
      </c>
    </row>
    <row r="92" spans="1:22">
      <c r="A92" t="s">
        <v>307</v>
      </c>
      <c r="B92" t="e" vm="97">
        <v>#VALUE!</v>
      </c>
      <c r="C92" s="2" cm="1">
        <f t="array" aca="1" ref="C92" ca="1">_FV(B92,"Last trade time",TRUE)</f>
        <v>46182.797982140626</v>
      </c>
      <c r="D92" t="str" cm="1">
        <f t="array" aca="1" ref="D92" ca="1">_FV(B92,"Currency")</f>
        <v>USD</v>
      </c>
      <c r="E92" s="3" cm="1">
        <f t="array" aca="1" ref="E92" ca="1">_FV(B92,"Price")</f>
        <v>203.74</v>
      </c>
      <c r="F92" s="4" cm="1">
        <f t="array" aca="1" ref="F92" ca="1">_FV(B92,"Change (%)",TRUE)</f>
        <v>-4.1403999999999996E-2</v>
      </c>
      <c r="G92" s="5" cm="1">
        <f t="array" aca="1" ref="G92" ca="1">_FV(B92,"Change")</f>
        <v>-8.8000000000000007</v>
      </c>
      <c r="H92" s="6" cm="1">
        <f t="array" aca="1" ref="H92" ca="1">_FV(B92,"P/E",TRUE)</f>
        <v>316.71069999999997</v>
      </c>
      <c r="I92" s="6" cm="1">
        <f t="array" aca="1" ref="I92" ca="1">_FV(B92,"Beta")</f>
        <v>1.3371</v>
      </c>
      <c r="J92" s="3" cm="1">
        <f t="array" aca="1" ref="J92" ca="1">_FV(B92,"52 week high",TRUE)</f>
        <v>238.47989999999999</v>
      </c>
      <c r="K92" s="3" cm="1">
        <f t="array" aca="1" ref="K92" ca="1">_FV(B92,"52 week low",TRUE)</f>
        <v>91.84</v>
      </c>
      <c r="L92" s="3" cm="1">
        <f t="array" aca="1" ref="L92" ca="1">_FV(B92,"High")</f>
        <v>213.89</v>
      </c>
      <c r="M92" s="3" cm="1">
        <f t="array" aca="1" ref="M92" ca="1">_FV(B92,"Low")</f>
        <v>194.5309</v>
      </c>
      <c r="N92" s="3" cm="1">
        <f t="array" aca="1" ref="N92" ca="1">_FV(B92,"Open")</f>
        <v>211.11</v>
      </c>
      <c r="O92" s="3" cm="1">
        <f t="array" aca="1" ref="O92" ca="1">_FV(B92,"Previous close",TRUE)</f>
        <v>212.54</v>
      </c>
      <c r="P92" s="7" cm="1">
        <f t="array" aca="1" ref="P92" ca="1">_FV(B92,"Volume")</f>
        <v>1561308</v>
      </c>
      <c r="Q92" s="7" cm="1">
        <f t="array" aca="1" ref="Q92" ca="1">_FV(B92,"Volume average",TRUE)</f>
        <v>3121554</v>
      </c>
      <c r="R92" s="8" cm="1">
        <f t="array" aca="1" ref="R92" ca="1">_FV(B92,"Year incorporated",TRUE)</f>
        <v>2008</v>
      </c>
      <c r="S92" s="7" cm="1">
        <f t="array" aca="1" ref="S92" ca="1">_FV(B92,"Employees")</f>
        <v>5558</v>
      </c>
      <c r="T92" t="str" cm="1">
        <f t="array" aca="1" ref="T92" ca="1">_FV(B92,"Industry")</f>
        <v>Software &amp; IT Services</v>
      </c>
      <c r="U92" s="7" cm="1">
        <f t="array" aca="1" ref="U92" ca="1">_FV(B92,"Market cap",TRUE)</f>
        <v>30922414386</v>
      </c>
      <c r="V92" s="7" cm="1">
        <f t="array" aca="1" ref="V92" ca="1">_FV(B92,"Shares outstanding",TRUE)</f>
        <v>151773900</v>
      </c>
    </row>
    <row r="93" spans="1:22">
      <c r="A93" t="s">
        <v>147</v>
      </c>
      <c r="B93" t="e" vm="98">
        <v>#VALUE!</v>
      </c>
      <c r="C93" s="2" cm="1">
        <f t="array" aca="1" ref="C93" ca="1">_FV(B93,"Last trade time",TRUE)</f>
        <v>46182.797949189066</v>
      </c>
      <c r="D93" t="str" cm="1">
        <f t="array" aca="1" ref="D93" ca="1">_FV(B93,"Currency")</f>
        <v>USD</v>
      </c>
      <c r="E93" s="3" cm="1">
        <f t="array" aca="1" ref="E93" ca="1">_FV(B93,"Price")</f>
        <v>288.64</v>
      </c>
      <c r="F93" s="4" cm="1">
        <f t="array" aca="1" ref="F93" ca="1">_FV(B93,"Change (%)",TRUE)</f>
        <v>-3.9691000000000004E-2</v>
      </c>
      <c r="G93" s="5" cm="1">
        <f t="array" aca="1" ref="G93" ca="1">_FV(B93,"Change")</f>
        <v>-11.93</v>
      </c>
      <c r="H93" s="6" cm="1">
        <f t="array" aca="1" ref="H93" ca="1">_FV(B93,"P/E",TRUE)</f>
        <v>72.468000000000004</v>
      </c>
      <c r="I93" s="6" cm="1">
        <f t="array" aca="1" ref="I93" ca="1">_FV(B93,"Beta")</f>
        <v>2.0467</v>
      </c>
      <c r="J93" s="3" cm="1">
        <f t="array" aca="1" ref="J93" ca="1">_FV(B93,"52 week high",TRUE)</f>
        <v>379.935</v>
      </c>
      <c r="K93" s="3" cm="1">
        <f t="array" aca="1" ref="K93" ca="1">_FV(B93,"52 week low",TRUE)</f>
        <v>107.38</v>
      </c>
      <c r="L93" s="3" cm="1">
        <f t="array" aca="1" ref="L93" ca="1">_FV(B93,"High")</f>
        <v>307.07</v>
      </c>
      <c r="M93" s="3" cm="1">
        <f t="array" aca="1" ref="M93" ca="1">_FV(B93,"Low")</f>
        <v>276.5</v>
      </c>
      <c r="N93" s="3" cm="1">
        <f t="array" aca="1" ref="N93" ca="1">_FV(B93,"Open")</f>
        <v>300</v>
      </c>
      <c r="O93" s="3" cm="1">
        <f t="array" aca="1" ref="O93" ca="1">_FV(B93,"Previous close",TRUE)</f>
        <v>300.57</v>
      </c>
      <c r="P93" s="7" cm="1">
        <f t="array" aca="1" ref="P93" ca="1">_FV(B93,"Volume")</f>
        <v>8475026</v>
      </c>
      <c r="Q93" s="7" cm="1">
        <f t="array" aca="1" ref="Q93" ca="1">_FV(B93,"Volume average",TRUE)</f>
        <v>5729579</v>
      </c>
      <c r="R93" s="8" cm="1">
        <f t="array" aca="1" ref="R93" ca="1">_FV(B93,"Year incorporated",TRUE)</f>
        <v>2016</v>
      </c>
      <c r="S93" s="7" cm="1">
        <f t="array" aca="1" ref="S93" ca="1">_FV(B93,"Employees")</f>
        <v>34000</v>
      </c>
      <c r="T93" t="str" cm="1">
        <f t="array" aca="1" ref="T93" ca="1">_FV(B93,"Industry")</f>
        <v>Machinery, Equipment &amp; Components</v>
      </c>
      <c r="U93" s="7" cm="1">
        <f t="array" aca="1" ref="U93" ca="1">_FV(B93,"Market cap",TRUE)</f>
        <v>110869164032</v>
      </c>
      <c r="V93" s="7" cm="1">
        <f t="array" aca="1" ref="V93" ca="1">_FV(B93,"Shares outstanding",TRUE)</f>
        <v>384108800</v>
      </c>
    </row>
    <row r="94" spans="1:22">
      <c r="A94" t="s">
        <v>306</v>
      </c>
      <c r="B94" t="e" vm="99">
        <v>#VALUE!</v>
      </c>
      <c r="C94" s="2" cm="1">
        <f t="array" aca="1" ref="C94" ca="1">_FV(B94,"Last trade time",TRUE)</f>
        <v>46182.797925462502</v>
      </c>
      <c r="D94" t="str" cm="1">
        <f t="array" aca="1" ref="D94" ca="1">_FV(B94,"Currency")</f>
        <v>USD</v>
      </c>
      <c r="E94" s="3" cm="1">
        <f t="array" aca="1" ref="E94" ca="1">_FV(B94,"Price")</f>
        <v>139.12</v>
      </c>
      <c r="F94" s="4" cm="1">
        <f t="array" aca="1" ref="F94" ca="1">_FV(B94,"Change (%)",TRUE)</f>
        <v>-3.2275999999999999E-2</v>
      </c>
      <c r="G94" s="5" cm="1">
        <f t="array" aca="1" ref="G94" ca="1">_FV(B94,"Change")</f>
        <v>-4.6399999999999997</v>
      </c>
      <c r="H94" s="6" cm="1">
        <f t="array" aca="1" ref="H94" ca="1">_FV(B94,"P/E",TRUE)</f>
        <v>43.427500000000002</v>
      </c>
      <c r="I94" s="6" cm="1">
        <f t="array" aca="1" ref="I94" ca="1">_FV(B94,"Beta")</f>
        <v>1.0731999999999999</v>
      </c>
      <c r="J94" s="3" cm="1">
        <f t="array" aca="1" ref="J94" ca="1">_FV(B94,"52 week high",TRUE)</f>
        <v>257.08999999999997</v>
      </c>
      <c r="K94" s="3" cm="1">
        <f t="array" aca="1" ref="K94" ca="1">_FV(B94,"52 week low",TRUE)</f>
        <v>110.36</v>
      </c>
      <c r="L94" s="3" cm="1">
        <f t="array" aca="1" ref="L94" ca="1">_FV(B94,"High")</f>
        <v>140.58000000000001</v>
      </c>
      <c r="M94" s="3" cm="1">
        <f t="array" aca="1" ref="M94" ca="1">_FV(B94,"Low")</f>
        <v>134.86000000000001</v>
      </c>
      <c r="N94" s="3" cm="1">
        <f t="array" aca="1" ref="N94" ca="1">_FV(B94,"Open")</f>
        <v>139.80000000000001</v>
      </c>
      <c r="O94" s="3" cm="1">
        <f t="array" aca="1" ref="O94" ca="1">_FV(B94,"Previous close",TRUE)</f>
        <v>143.76</v>
      </c>
      <c r="P94" s="7" cm="1">
        <f t="array" aca="1" ref="P94" ca="1">_FV(B94,"Volume")</f>
        <v>3002545</v>
      </c>
      <c r="Q94" s="7" cm="1">
        <f t="array" aca="1" ref="Q94" ca="1">_FV(B94,"Volume average",TRUE)</f>
        <v>5342673</v>
      </c>
      <c r="R94" s="8" cm="1">
        <f t="array" aca="1" ref="R94" ca="1">_FV(B94,"Year incorporated",TRUE)</f>
        <v>2012</v>
      </c>
      <c r="S94" s="7" cm="1">
        <f t="array" aca="1" ref="S94" ca="1">_FV(B94,"Employees")</f>
        <v>20834</v>
      </c>
      <c r="T94" t="str" cm="1">
        <f t="array" aca="1" ref="T94" ca="1">_FV(B94,"Industry")</f>
        <v>Software &amp; IT Services</v>
      </c>
      <c r="U94" s="7" cm="1">
        <f t="array" aca="1" ref="U94" ca="1">_FV(B94,"Market cap",TRUE)</f>
        <v>34362640000</v>
      </c>
      <c r="V94" s="7" cm="1">
        <f t="array" aca="1" ref="V94" ca="1">_FV(B94,"Shares outstanding",TRUE)</f>
        <v>247000000</v>
      </c>
    </row>
    <row r="95" spans="1:22">
      <c r="A95" t="s">
        <v>143</v>
      </c>
      <c r="B95" t="e" vm="100">
        <v>#VALUE!</v>
      </c>
      <c r="C95" s="2" cm="1">
        <f t="array" aca="1" ref="C95" ca="1">_FV(B95,"Last trade time",TRUE)</f>
        <v>46182.797968251565</v>
      </c>
      <c r="D95" t="str" cm="1">
        <f t="array" aca="1" ref="D95" ca="1">_FV(B95,"Currency")</f>
        <v>USD</v>
      </c>
      <c r="E95" s="3" cm="1">
        <f t="array" aca="1" ref="E95" ca="1">_FV(B95,"Price")</f>
        <v>124.7</v>
      </c>
      <c r="F95" s="4" cm="1">
        <f t="array" aca="1" ref="F95" ca="1">_FV(B95,"Change (%)",TRUE)</f>
        <v>-3.5203000000000005E-2</v>
      </c>
      <c r="G95" s="5" cm="1">
        <f t="array" aca="1" ref="G95" ca="1">_FV(B95,"Change")</f>
        <v>-4.55</v>
      </c>
      <c r="H95" s="6" cm="1">
        <f t="array" aca="1" ref="H95" ca="1">_FV(B95,"P/E",TRUE)</f>
        <v>0</v>
      </c>
      <c r="I95" s="6" cm="1">
        <f t="array" aca="1" ref="I95" ca="1">_FV(B95,"Beta")</f>
        <v>0.97489999999999999</v>
      </c>
      <c r="J95" s="3" cm="1">
        <f t="array" aca="1" ref="J95" ca="1">_FV(B95,"52 week high",TRUE)</f>
        <v>336.99</v>
      </c>
      <c r="K95" s="3" cm="1">
        <f t="array" aca="1" ref="K95" ca="1">_FV(B95,"52 week low",TRUE)</f>
        <v>114.625</v>
      </c>
      <c r="L95" s="3" cm="1">
        <f t="array" aca="1" ref="L95" ca="1">_FV(B95,"High")</f>
        <v>130.14490000000001</v>
      </c>
      <c r="M95" s="3" cm="1">
        <f t="array" aca="1" ref="M95" ca="1">_FV(B95,"Low")</f>
        <v>120.851</v>
      </c>
      <c r="N95" s="3" cm="1">
        <f t="array" aca="1" ref="N95" ca="1">_FV(B95,"Open")</f>
        <v>128.11000000000001</v>
      </c>
      <c r="O95" s="3" cm="1">
        <f t="array" aca="1" ref="O95" ca="1">_FV(B95,"Previous close",TRUE)</f>
        <v>129.25</v>
      </c>
      <c r="P95" s="7" cm="1">
        <f t="array" aca="1" ref="P95" ca="1">_FV(B95,"Volume")</f>
        <v>3520353</v>
      </c>
      <c r="Q95" s="7" cm="1">
        <f t="array" aca="1" ref="Q95" ca="1">_FV(B95,"Volume average",TRUE)</f>
        <v>6397211</v>
      </c>
      <c r="R95" s="8" cm="1">
        <f t="array" aca="1" ref="R95" ca="1">_FV(B95,"Year incorporated",TRUE)</f>
        <v>2007</v>
      </c>
      <c r="S95" s="7" cm="1">
        <f t="array" aca="1" ref="S95" ca="1">_FV(B95,"Employees")</f>
        <v>7923</v>
      </c>
      <c r="T95" t="str" cm="1">
        <f t="array" aca="1" ref="T95" ca="1">_FV(B95,"Industry")</f>
        <v>Software &amp; IT Services</v>
      </c>
      <c r="U95" s="7" cm="1">
        <f t="array" aca="1" ref="U95" ca="1">_FV(B95,"Market cap",TRUE)</f>
        <v>20165174650</v>
      </c>
      <c r="V95" s="7" cm="1">
        <f t="array" aca="1" ref="V95" ca="1">_FV(B95,"Shares outstanding",TRUE)</f>
        <v>161709500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27A5-E4FB-4AA7-BEAE-7B9653141BA1}">
  <dimension ref="A1:N10"/>
  <sheetViews>
    <sheetView tabSelected="1" topLeftCell="B1" workbookViewId="0">
      <selection activeCell="L2" sqref="L2:L9"/>
    </sheetView>
  </sheetViews>
  <sheetFormatPr defaultColWidth="9.1328125" defaultRowHeight="15.4"/>
  <cols>
    <col min="1" max="1" width="9.86328125" style="14" bestFit="1" customWidth="1"/>
    <col min="2" max="2" width="42.33203125" style="14" customWidth="1"/>
    <col min="3" max="3" width="7.3984375" style="14" customWidth="1"/>
    <col min="4" max="4" width="6.53125" style="14" customWidth="1"/>
    <col min="5" max="5" width="9.46484375" style="14" customWidth="1"/>
    <col min="6" max="6" width="11.46484375" style="14" customWidth="1"/>
    <col min="7" max="7" width="12.3984375" style="14" bestFit="1" customWidth="1"/>
    <col min="8" max="8" width="17.6640625" style="14" bestFit="1" customWidth="1"/>
    <col min="9" max="9" width="10" style="14" customWidth="1"/>
    <col min="10" max="10" width="7.6640625" style="14" customWidth="1"/>
    <col min="11" max="11" width="21.6640625" style="37" bestFit="1" customWidth="1"/>
    <col min="12" max="12" width="18.46484375" style="14" bestFit="1" customWidth="1"/>
    <col min="13" max="13" width="14.46484375" style="14" bestFit="1" customWidth="1"/>
    <col min="14" max="14" width="12.73046875" style="14" bestFit="1" customWidth="1"/>
    <col min="15" max="16384" width="9.1328125" style="14"/>
  </cols>
  <sheetData>
    <row r="1" spans="1:14" ht="24">
      <c r="A1" s="13" t="s">
        <v>311</v>
      </c>
      <c r="B1" s="38" t="s">
        <v>92</v>
      </c>
      <c r="C1" s="39" t="s">
        <v>94</v>
      </c>
      <c r="D1" s="40" t="s">
        <v>312</v>
      </c>
      <c r="E1" s="40" t="s">
        <v>313</v>
      </c>
      <c r="F1" s="40" t="s">
        <v>314</v>
      </c>
      <c r="G1" s="40" t="s">
        <v>315</v>
      </c>
      <c r="H1" s="40" t="s">
        <v>316</v>
      </c>
      <c r="I1" s="40" t="s">
        <v>95</v>
      </c>
      <c r="J1" s="40" t="s">
        <v>317</v>
      </c>
      <c r="K1" s="41" t="s">
        <v>96</v>
      </c>
      <c r="L1" s="40" t="s">
        <v>318</v>
      </c>
      <c r="M1" s="40" t="s">
        <v>319</v>
      </c>
      <c r="N1" s="40" t="s">
        <v>320</v>
      </c>
    </row>
    <row r="2" spans="1:14" ht="24">
      <c r="A2" s="15" t="s">
        <v>41</v>
      </c>
      <c r="B2" s="42" t="e" vm="52">
        <v>#VALUE!</v>
      </c>
      <c r="C2" s="43" t="str">
        <f t="shared" ref="C2:C10" ca="1" si="0">_FV(B2,"Currency")</f>
        <v>USD</v>
      </c>
      <c r="D2" s="44">
        <v>6</v>
      </c>
      <c r="E2" s="44">
        <v>0</v>
      </c>
      <c r="F2" s="44">
        <v>6</v>
      </c>
      <c r="G2" s="45">
        <v>527.97666700000002</v>
      </c>
      <c r="H2" s="45">
        <f>F2*G2</f>
        <v>3167.8600020000003</v>
      </c>
      <c r="I2" s="46">
        <f t="shared" ref="I2:I10" ca="1" si="1">_FV(B2,"Price")</f>
        <v>591.13</v>
      </c>
      <c r="J2" s="47">
        <f ca="1">Config!$C$1</f>
        <v>0.74690000000000001</v>
      </c>
      <c r="K2" s="48" cm="1">
        <f t="array" aca="1" ref="K2" ca="1">_FV(B2,"Change (%)",TRUE)</f>
        <v>9.8050000000000012E-3</v>
      </c>
      <c r="L2" s="45">
        <f t="shared" ref="L2:L10" ca="1" si="2">F2*I2*J2</f>
        <v>2649.089982</v>
      </c>
      <c r="M2" s="45">
        <f t="shared" ref="M2:M10" ca="1" si="3">L2-H2</f>
        <v>-518.77002000000039</v>
      </c>
      <c r="N2" s="48">
        <f t="shared" ref="N2:N10" ca="1" si="4">IF(H2=0,"",M2/H2)</f>
        <v>-0.16376039966175257</v>
      </c>
    </row>
    <row r="3" spans="1:14" ht="24">
      <c r="A3" s="15" t="s">
        <v>60</v>
      </c>
      <c r="B3" s="42" t="e" vm="39">
        <v>#VALUE!</v>
      </c>
      <c r="C3" s="43" t="str">
        <f t="shared" ca="1" si="0"/>
        <v>USD</v>
      </c>
      <c r="D3" s="44">
        <v>75</v>
      </c>
      <c r="E3" s="44">
        <v>0</v>
      </c>
      <c r="F3" s="44">
        <v>75</v>
      </c>
      <c r="G3" s="45">
        <v>48.637323999999992</v>
      </c>
      <c r="H3" s="45">
        <f t="shared" ref="H3:H10" si="5">F3*G3</f>
        <v>3647.7992999999992</v>
      </c>
      <c r="I3" s="46">
        <f t="shared" ca="1" si="1"/>
        <v>83.89</v>
      </c>
      <c r="J3" s="47">
        <f ca="1">Config!$C$1</f>
        <v>0.74690000000000001</v>
      </c>
      <c r="K3" s="48" cm="1">
        <f t="array" aca="1" ref="K3" ca="1">_FV(B3,"Change (%)",TRUE)</f>
        <v>-1.3523E-2</v>
      </c>
      <c r="L3" s="45">
        <f t="shared" ca="1" si="2"/>
        <v>4699.3080749999999</v>
      </c>
      <c r="M3" s="45">
        <f t="shared" ca="1" si="3"/>
        <v>1051.5087750000007</v>
      </c>
      <c r="N3" s="48">
        <f t="shared" ca="1" si="4"/>
        <v>0.28825839595944902</v>
      </c>
    </row>
    <row r="4" spans="1:14" ht="24">
      <c r="A4" s="15" t="s">
        <v>199</v>
      </c>
      <c r="B4" s="42" t="e" vm="63">
        <v>#VALUE!</v>
      </c>
      <c r="C4" s="43" t="str">
        <f t="shared" ca="1" si="0"/>
        <v>USD</v>
      </c>
      <c r="D4" s="44">
        <v>18</v>
      </c>
      <c r="E4" s="44">
        <v>0</v>
      </c>
      <c r="F4" s="44">
        <v>18</v>
      </c>
      <c r="G4" s="45">
        <v>129.58000000000001</v>
      </c>
      <c r="H4" s="45">
        <f t="shared" si="5"/>
        <v>2332.44</v>
      </c>
      <c r="I4" s="46">
        <f t="shared" ca="1" si="1"/>
        <v>206.91</v>
      </c>
      <c r="J4" s="47">
        <f ca="1">Config!$C$1</f>
        <v>0.74690000000000001</v>
      </c>
      <c r="K4" s="48" cm="1">
        <f t="array" aca="1" ref="K4" ca="1">_FV(B4,"Change (%)",TRUE)</f>
        <v>-8.2920000000000008E-3</v>
      </c>
      <c r="L4" s="45">
        <f t="shared" ca="1" si="2"/>
        <v>2781.7394220000001</v>
      </c>
      <c r="M4" s="45">
        <f t="shared" ca="1" si="3"/>
        <v>449.29942200000005</v>
      </c>
      <c r="N4" s="48">
        <f t="shared" ca="1" si="4"/>
        <v>0.19263064516129033</v>
      </c>
    </row>
    <row r="5" spans="1:14" ht="24">
      <c r="A5" s="15" t="s">
        <v>63</v>
      </c>
      <c r="B5" s="42" t="e" vm="8">
        <v>#VALUE!</v>
      </c>
      <c r="C5" s="43" t="str">
        <f t="shared" ca="1" si="0"/>
        <v>USD</v>
      </c>
      <c r="D5" s="44">
        <v>12</v>
      </c>
      <c r="E5" s="44">
        <v>0</v>
      </c>
      <c r="F5" s="44">
        <v>12</v>
      </c>
      <c r="G5" s="45">
        <v>154.96</v>
      </c>
      <c r="H5" s="45">
        <f t="shared" si="5"/>
        <v>1859.52</v>
      </c>
      <c r="I5" s="46">
        <f t="shared" ca="1" si="1"/>
        <v>468.58449999999999</v>
      </c>
      <c r="J5" s="47">
        <f ca="1">Config!$C$1</f>
        <v>0.74690000000000001</v>
      </c>
      <c r="K5" s="48" cm="1">
        <f t="array" aca="1" ref="K5" ca="1">_FV(B5,"Change (%)",TRUE)</f>
        <v>-4.4349E-2</v>
      </c>
      <c r="L5" s="45">
        <f t="shared" ca="1" si="2"/>
        <v>4199.8291565999998</v>
      </c>
      <c r="M5" s="45">
        <f t="shared" ca="1" si="3"/>
        <v>2340.3091565999998</v>
      </c>
      <c r="N5" s="48">
        <f t="shared" ca="1" si="4"/>
        <v>1.2585555178755807</v>
      </c>
    </row>
    <row r="6" spans="1:14" ht="24">
      <c r="A6" s="15" t="s">
        <v>70</v>
      </c>
      <c r="B6" s="42" t="e" vm="28">
        <v>#VALUE!</v>
      </c>
      <c r="C6" s="43" t="str">
        <f t="shared" ca="1" si="0"/>
        <v>USD</v>
      </c>
      <c r="D6" s="44">
        <v>31</v>
      </c>
      <c r="E6" s="44">
        <v>0</v>
      </c>
      <c r="F6" s="44">
        <v>31</v>
      </c>
      <c r="G6" s="45">
        <v>66.906129000000007</v>
      </c>
      <c r="H6" s="45">
        <f t="shared" si="5"/>
        <v>2074.0899990000003</v>
      </c>
      <c r="I6" s="46">
        <f t="shared" ca="1" si="1"/>
        <v>98.02</v>
      </c>
      <c r="J6" s="47">
        <f ca="1">Config!$C$1</f>
        <v>0.74690000000000001</v>
      </c>
      <c r="K6" s="48" cm="1">
        <f t="array" aca="1" ref="K6" ca="1">_FV(B6,"Change (%)",TRUE)</f>
        <v>-4.2492999999999996E-2</v>
      </c>
      <c r="L6" s="45">
        <f t="shared" ca="1" si="2"/>
        <v>2269.5452780000001</v>
      </c>
      <c r="M6" s="45">
        <f t="shared" ca="1" si="3"/>
        <v>195.45527899999979</v>
      </c>
      <c r="N6" s="48">
        <f t="shared" ca="1" si="4"/>
        <v>9.4236643103354445E-2</v>
      </c>
    </row>
    <row r="7" spans="1:14" ht="24">
      <c r="A7" s="15" t="s">
        <v>64</v>
      </c>
      <c r="B7" s="42" t="e" vm="95">
        <v>#VALUE!</v>
      </c>
      <c r="C7" s="43" t="str">
        <f t="shared" ca="1" si="0"/>
        <v>USD</v>
      </c>
      <c r="D7" s="44">
        <v>18</v>
      </c>
      <c r="E7" s="44">
        <v>0</v>
      </c>
      <c r="F7" s="44">
        <v>18</v>
      </c>
      <c r="G7" s="45">
        <v>269.68166111111105</v>
      </c>
      <c r="H7" s="45">
        <f t="shared" si="5"/>
        <v>4854.2698999999993</v>
      </c>
      <c r="I7" s="46">
        <f t="shared" ca="1" si="1"/>
        <v>396.98</v>
      </c>
      <c r="J7" s="47">
        <f ca="1">Config!$C$1</f>
        <v>0.74690000000000001</v>
      </c>
      <c r="K7" s="48" cm="1">
        <f t="array" aca="1" ref="K7" ca="1">_FV(B7,"Change (%)",TRUE)</f>
        <v>-2.9270000000000001E-2</v>
      </c>
      <c r="L7" s="45">
        <f t="shared" ca="1" si="2"/>
        <v>5337.0785160000005</v>
      </c>
      <c r="M7" s="45">
        <f t="shared" ca="1" si="3"/>
        <v>482.80861600000117</v>
      </c>
      <c r="N7" s="48">
        <f t="shared" ca="1" si="4"/>
        <v>9.946060395199724E-2</v>
      </c>
    </row>
    <row r="8" spans="1:14" ht="24">
      <c r="A8" s="15" t="s">
        <v>76</v>
      </c>
      <c r="B8" s="42" t="e" vm="49">
        <v>#VALUE!</v>
      </c>
      <c r="C8" s="43" t="str">
        <f t="shared" ca="1" si="0"/>
        <v>USD</v>
      </c>
      <c r="D8" s="44">
        <v>124</v>
      </c>
      <c r="E8" s="44">
        <v>0</v>
      </c>
      <c r="F8" s="44">
        <v>124</v>
      </c>
      <c r="G8" s="45">
        <v>8.8163710000000002</v>
      </c>
      <c r="H8" s="45">
        <f t="shared" si="5"/>
        <v>1093.230004</v>
      </c>
      <c r="I8" s="46">
        <f t="shared" ca="1" si="1"/>
        <v>9.44</v>
      </c>
      <c r="J8" s="47">
        <f ca="1">Config!$C$1</f>
        <v>0.74690000000000001</v>
      </c>
      <c r="K8" s="48" cm="1">
        <f t="array" aca="1" ref="K8" ca="1">_FV(B8,"Change (%)",TRUE)</f>
        <v>-8.3495000000000014E-2</v>
      </c>
      <c r="L8" s="45">
        <f t="shared" ca="1" si="2"/>
        <v>874.29126399999996</v>
      </c>
      <c r="M8" s="45">
        <f t="shared" ca="1" si="3"/>
        <v>-218.93874000000005</v>
      </c>
      <c r="N8" s="48">
        <f t="shared" ca="1" si="4"/>
        <v>-0.20026777457527598</v>
      </c>
    </row>
    <row r="9" spans="1:14" ht="24">
      <c r="A9" s="15" t="s">
        <v>80</v>
      </c>
      <c r="B9" s="42" t="e" vm="71">
        <v>#VALUE!</v>
      </c>
      <c r="C9" s="43" t="str">
        <f t="shared" ca="1" si="0"/>
        <v>USD</v>
      </c>
      <c r="D9" s="44">
        <v>446</v>
      </c>
      <c r="E9" s="44">
        <v>0</v>
      </c>
      <c r="F9" s="44">
        <v>446</v>
      </c>
      <c r="G9" s="45">
        <v>5.6275115156950681</v>
      </c>
      <c r="H9" s="45">
        <f t="shared" si="5"/>
        <v>2509.8701360000005</v>
      </c>
      <c r="I9" s="46">
        <f t="shared" ca="1" si="1"/>
        <v>10.744999999999999</v>
      </c>
      <c r="J9" s="47">
        <f ca="1">Config!$C$1</f>
        <v>0.74690000000000001</v>
      </c>
      <c r="K9" s="48" cm="1">
        <f t="array" aca="1" ref="K9" ca="1">_FV(B9,"Change (%)",TRUE)</f>
        <v>-0.125</v>
      </c>
      <c r="L9" s="45">
        <f t="shared" ca="1" si="2"/>
        <v>3579.3464629999999</v>
      </c>
      <c r="M9" s="45">
        <f t="shared" ca="1" si="3"/>
        <v>1069.4763269999994</v>
      </c>
      <c r="N9" s="48">
        <f t="shared" ca="1" si="4"/>
        <v>0.42610823231851835</v>
      </c>
    </row>
    <row r="10" spans="1:14" hidden="1">
      <c r="A10" s="15" t="s">
        <v>32</v>
      </c>
      <c r="B10" s="15" t="e" vm="80">
        <v>#VALUE!</v>
      </c>
      <c r="C10" s="16" t="str">
        <f t="shared" ca="1" si="0"/>
        <v>GBp</v>
      </c>
      <c r="D10" s="17">
        <v>100</v>
      </c>
      <c r="E10" s="17">
        <v>50</v>
      </c>
      <c r="F10" s="17">
        <v>50</v>
      </c>
      <c r="G10" s="18">
        <v>100</v>
      </c>
      <c r="H10" s="18">
        <f t="shared" si="5"/>
        <v>5000</v>
      </c>
      <c r="I10" s="19">
        <f t="shared" ca="1" si="1"/>
        <v>851.4</v>
      </c>
      <c r="J10" s="20">
        <f ca="1">Config!$C$1</f>
        <v>0.74690000000000001</v>
      </c>
      <c r="K10" s="36" cm="1">
        <f t="array" aca="1" ref="K10" ca="1">_FV(B10,"Change (%)",TRUE)</f>
        <v>-1.2525999999999999E-2</v>
      </c>
      <c r="L10" s="18">
        <f t="shared" ca="1" si="2"/>
        <v>31795.532999999999</v>
      </c>
      <c r="M10" s="18">
        <f t="shared" ca="1" si="3"/>
        <v>26795.532999999999</v>
      </c>
      <c r="N10" s="21">
        <f t="shared" ca="1" si="4"/>
        <v>5.3591065999999996</v>
      </c>
    </row>
  </sheetData>
  <conditionalFormatting sqref="A2:A10">
    <cfRule type="expression" dxfId="8" priority="19" stopIfTrue="1">
      <formula>M2&gt;0</formula>
    </cfRule>
    <cfRule type="expression" dxfId="7" priority="20" stopIfTrue="1">
      <formula>M2&lt;0</formula>
    </cfRule>
    <cfRule type="expression" dxfId="6" priority="21" stopIfTrue="1">
      <formula>M2=0</formula>
    </cfRule>
  </conditionalFormatting>
  <conditionalFormatting sqref="G2:H10 L2:N10">
    <cfRule type="cellIs" dxfId="5" priority="4" stopIfTrue="1" operator="greaterThan">
      <formula>0</formula>
    </cfRule>
    <cfRule type="cellIs" dxfId="4" priority="5" stopIfTrue="1" operator="lessThan">
      <formula>0</formula>
    </cfRule>
    <cfRule type="cellIs" dxfId="3" priority="6" stopIfTrue="1" operator="equal">
      <formula>0</formula>
    </cfRule>
  </conditionalFormatting>
  <conditionalFormatting sqref="K2:K9">
    <cfRule type="cellIs" dxfId="2" priority="1" stopIfTrue="1" operator="greaterThan">
      <formula>0</formula>
    </cfRule>
    <cfRule type="cellIs" dxfId="1" priority="2" stopIfTrue="1" operator="lessThan">
      <formula>0</formula>
    </cfRule>
    <cfRule type="cellIs" dxfId="0" priority="3" stopIfTrue="1" operator="equal">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4125-30C0-4E5C-96A7-41F5431259DA}">
  <dimension ref="A1:C1"/>
  <sheetViews>
    <sheetView workbookViewId="0">
      <selection activeCell="C1" sqref="C1"/>
    </sheetView>
  </sheetViews>
  <sheetFormatPr defaultRowHeight="14.25"/>
  <sheetData>
    <row r="1" spans="1:3">
      <c r="A1" t="s">
        <v>394</v>
      </c>
      <c r="B1" t="e" vm="101">
        <v>#VALUE!</v>
      </c>
      <c r="C1" s="3" cm="1">
        <f t="array" aca="1" ref="C1" ca="1">_FV(B1,"Price")</f>
        <v>0.74690000000000001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2"/>
  <sheetViews>
    <sheetView topLeftCell="A10" workbookViewId="0">
      <selection activeCell="D10" sqref="D10"/>
    </sheetView>
  </sheetViews>
  <sheetFormatPr defaultRowHeight="14.25"/>
  <cols>
    <col min="1" max="1" width="19.53125" bestFit="1" customWidth="1"/>
    <col min="2" max="2" width="10.46484375" bestFit="1" customWidth="1"/>
  </cols>
  <sheetData>
    <row r="1" spans="1:10">
      <c r="A1" t="s">
        <v>0</v>
      </c>
      <c r="B1" t="s">
        <v>1</v>
      </c>
      <c r="C1" t="s">
        <v>2</v>
      </c>
      <c r="D1" t="s">
        <v>3</v>
      </c>
      <c r="E1" t="s">
        <v>4</v>
      </c>
      <c r="F1" t="s">
        <v>5</v>
      </c>
      <c r="G1" t="s">
        <v>6</v>
      </c>
      <c r="H1" t="s">
        <v>7</v>
      </c>
      <c r="I1" t="s">
        <v>8</v>
      </c>
      <c r="J1" t="s">
        <v>9</v>
      </c>
    </row>
    <row r="2" spans="1:10">
      <c r="A2" s="10"/>
      <c r="B2" s="11"/>
    </row>
    <row r="3" spans="1:10">
      <c r="A3" s="10"/>
      <c r="B3" s="11"/>
    </row>
    <row r="4" spans="1:10">
      <c r="A4" s="10"/>
      <c r="B4" s="11"/>
    </row>
    <row r="5" spans="1:10">
      <c r="A5" s="10"/>
      <c r="B5" s="11"/>
    </row>
    <row r="6" spans="1:10">
      <c r="A6" s="10"/>
      <c r="B6" s="11"/>
    </row>
    <row r="7" spans="1:10">
      <c r="A7" s="10"/>
      <c r="B7" s="11"/>
    </row>
    <row r="8" spans="1:10">
      <c r="A8" s="10"/>
      <c r="B8" s="11"/>
    </row>
    <row r="9" spans="1:10">
      <c r="A9" s="10"/>
      <c r="B9" s="11"/>
    </row>
    <row r="10" spans="1:10">
      <c r="A10" s="10"/>
      <c r="B10" s="11"/>
    </row>
    <row r="11" spans="1:10">
      <c r="A11" s="10"/>
      <c r="B11" s="11"/>
    </row>
    <row r="12" spans="1:10">
      <c r="A12" s="10"/>
      <c r="B12" s="11"/>
    </row>
    <row r="13" spans="1:10">
      <c r="A13" s="10"/>
      <c r="B13" s="11"/>
    </row>
    <row r="14" spans="1:10">
      <c r="A14" s="10"/>
      <c r="B14" s="11"/>
    </row>
    <row r="15" spans="1:10">
      <c r="A15" s="10"/>
      <c r="B15" s="11"/>
    </row>
    <row r="16" spans="1:10">
      <c r="A16" s="10"/>
      <c r="B16" s="11"/>
    </row>
    <row r="17" spans="1:2">
      <c r="A17" s="10"/>
      <c r="B17" s="11"/>
    </row>
    <row r="18" spans="1:2">
      <c r="A18" s="10"/>
      <c r="B18" s="11"/>
    </row>
    <row r="19" spans="1:2">
      <c r="A19" s="10"/>
      <c r="B19" s="11"/>
    </row>
    <row r="20" spans="1:2">
      <c r="A20" s="10"/>
      <c r="B20" s="11"/>
    </row>
    <row r="21" spans="1:2">
      <c r="A21" s="10"/>
      <c r="B21" s="11"/>
    </row>
    <row r="22" spans="1:2">
      <c r="A22" s="10"/>
      <c r="B22" s="11"/>
    </row>
    <row r="23" spans="1:2">
      <c r="A23" s="10"/>
      <c r="B23" s="11"/>
    </row>
    <row r="24" spans="1:2">
      <c r="A24" s="10"/>
      <c r="B24" s="11"/>
    </row>
    <row r="25" spans="1:2">
      <c r="A25" s="10"/>
      <c r="B25" s="11"/>
    </row>
    <row r="26" spans="1:2">
      <c r="A26" s="10"/>
      <c r="B26" s="11"/>
    </row>
    <row r="27" spans="1:2">
      <c r="A27" s="10"/>
      <c r="B27" s="11"/>
    </row>
    <row r="28" spans="1:2">
      <c r="A28" s="10"/>
      <c r="B28" s="11"/>
    </row>
    <row r="29" spans="1:2">
      <c r="A29" s="10"/>
      <c r="B29" s="11"/>
    </row>
    <row r="30" spans="1:2">
      <c r="A30" s="10"/>
      <c r="B30" s="11"/>
    </row>
    <row r="31" spans="1:2">
      <c r="A31" s="10"/>
      <c r="B31" s="11"/>
    </row>
    <row r="32" spans="1:2">
      <c r="A32" s="10"/>
      <c r="B32" s="11"/>
    </row>
    <row r="33" spans="1:2">
      <c r="A33" s="10"/>
      <c r="B33" s="11"/>
    </row>
    <row r="34" spans="1:2">
      <c r="A34" s="10"/>
      <c r="B34" s="11"/>
    </row>
    <row r="35" spans="1:2">
      <c r="A35" s="10"/>
      <c r="B35" s="11"/>
    </row>
    <row r="36" spans="1:2">
      <c r="A36" s="10"/>
      <c r="B36" s="11"/>
    </row>
    <row r="37" spans="1:2">
      <c r="A37" s="10"/>
      <c r="B37" s="11"/>
    </row>
    <row r="38" spans="1:2">
      <c r="A38" s="10"/>
      <c r="B38" s="11"/>
    </row>
    <row r="39" spans="1:2">
      <c r="A39" s="10"/>
      <c r="B39" s="11"/>
    </row>
    <row r="40" spans="1:2">
      <c r="A40" s="10"/>
      <c r="B40" s="11"/>
    </row>
    <row r="41" spans="1:2">
      <c r="A41" s="10"/>
      <c r="B41" s="11"/>
    </row>
    <row r="42" spans="1:2">
      <c r="A42" s="10"/>
      <c r="B42" s="11"/>
    </row>
    <row r="43" spans="1:2">
      <c r="A43" s="10"/>
      <c r="B43" s="11"/>
    </row>
    <row r="44" spans="1:2">
      <c r="A44" s="10"/>
      <c r="B44" s="11"/>
    </row>
    <row r="45" spans="1:2">
      <c r="A45" s="10"/>
      <c r="B45" s="11"/>
    </row>
    <row r="46" spans="1:2">
      <c r="A46" s="10"/>
      <c r="B46" s="11"/>
    </row>
    <row r="47" spans="1:2">
      <c r="A47" s="10"/>
      <c r="B47" s="11"/>
    </row>
    <row r="48" spans="1:2">
      <c r="A48" s="10"/>
      <c r="B48" s="11"/>
    </row>
    <row r="49" spans="1:2">
      <c r="A49" s="10"/>
      <c r="B49" s="11"/>
    </row>
    <row r="50" spans="1:2">
      <c r="A50" s="10"/>
      <c r="B50" s="11"/>
    </row>
    <row r="51" spans="1:2">
      <c r="A51" s="10"/>
      <c r="B51" s="11"/>
    </row>
    <row r="52" spans="1:2">
      <c r="A52" s="10"/>
      <c r="B52" s="11"/>
    </row>
    <row r="53" spans="1:2">
      <c r="A53" s="10"/>
      <c r="B53" s="11"/>
    </row>
    <row r="54" spans="1:2">
      <c r="A54" s="10"/>
      <c r="B54" s="11"/>
    </row>
    <row r="55" spans="1:2">
      <c r="A55" s="10"/>
      <c r="B55" s="11"/>
    </row>
    <row r="56" spans="1:2">
      <c r="A56" s="10"/>
      <c r="B56" s="11"/>
    </row>
    <row r="57" spans="1:2">
      <c r="A57" s="10"/>
      <c r="B57" s="11"/>
    </row>
    <row r="58" spans="1:2">
      <c r="A58" s="10"/>
      <c r="B58" s="11"/>
    </row>
    <row r="59" spans="1:2">
      <c r="A59" s="10"/>
      <c r="B59" s="11"/>
    </row>
    <row r="60" spans="1:2">
      <c r="A60" s="10"/>
      <c r="B60" s="11"/>
    </row>
    <row r="61" spans="1:2">
      <c r="A61" s="10"/>
      <c r="B61" s="11"/>
    </row>
    <row r="62" spans="1:2">
      <c r="A62" s="10"/>
      <c r="B62" s="11"/>
    </row>
    <row r="63" spans="1:2">
      <c r="A63" s="10"/>
      <c r="B63" s="11"/>
    </row>
    <row r="64" spans="1:2">
      <c r="A64" s="10"/>
      <c r="B64" s="11"/>
    </row>
    <row r="65" spans="1:2">
      <c r="A65" s="10"/>
      <c r="B65" s="11"/>
    </row>
    <row r="66" spans="1:2">
      <c r="A66" s="10"/>
      <c r="B66" s="11"/>
    </row>
    <row r="67" spans="1:2">
      <c r="A67" s="10"/>
      <c r="B67" s="11"/>
    </row>
    <row r="68" spans="1:2">
      <c r="A68" s="10"/>
      <c r="B68" s="11"/>
    </row>
    <row r="69" spans="1:2">
      <c r="A69" s="10"/>
      <c r="B69" s="11"/>
    </row>
    <row r="70" spans="1:2">
      <c r="A70" s="10"/>
      <c r="B70" s="11"/>
    </row>
    <row r="71" spans="1:2">
      <c r="A71" s="10"/>
      <c r="B71" s="11"/>
    </row>
    <row r="72" spans="1:2">
      <c r="A72" s="10"/>
      <c r="B72" s="11"/>
    </row>
    <row r="73" spans="1:2">
      <c r="A73" s="10"/>
      <c r="B73" s="11"/>
    </row>
    <row r="74" spans="1:2">
      <c r="A74" s="10"/>
      <c r="B74" s="11"/>
    </row>
    <row r="75" spans="1:2">
      <c r="A75" s="10"/>
      <c r="B75" s="11"/>
    </row>
    <row r="76" spans="1:2">
      <c r="A76" s="10"/>
      <c r="B76" s="11"/>
    </row>
    <row r="77" spans="1:2">
      <c r="A77" s="10"/>
      <c r="B77" s="11"/>
    </row>
    <row r="78" spans="1:2">
      <c r="A78" s="10"/>
      <c r="B78" s="11"/>
    </row>
    <row r="79" spans="1:2">
      <c r="A79" s="10"/>
      <c r="B79" s="11"/>
    </row>
    <row r="80" spans="1:2">
      <c r="A80" s="10"/>
      <c r="B80" s="11"/>
    </row>
    <row r="81" spans="1:2">
      <c r="A81" s="10"/>
      <c r="B81" s="11"/>
    </row>
    <row r="82" spans="1:2">
      <c r="A82" s="10"/>
      <c r="B82" s="11"/>
    </row>
    <row r="83" spans="1:2">
      <c r="A83" s="10"/>
      <c r="B83" s="11"/>
    </row>
    <row r="84" spans="1:2">
      <c r="A84" s="10"/>
      <c r="B84" s="11"/>
    </row>
    <row r="85" spans="1:2">
      <c r="A85" s="10"/>
      <c r="B85" s="11"/>
    </row>
    <row r="86" spans="1:2">
      <c r="A86" s="10"/>
      <c r="B86" s="11"/>
    </row>
    <row r="87" spans="1:2">
      <c r="A87" s="10"/>
      <c r="B87" s="11"/>
    </row>
    <row r="88" spans="1:2">
      <c r="A88" s="10"/>
      <c r="B88" s="11"/>
    </row>
    <row r="89" spans="1:2">
      <c r="A89" s="10"/>
      <c r="B89" s="11"/>
    </row>
    <row r="90" spans="1:2">
      <c r="A90" s="10"/>
      <c r="B90" s="11"/>
    </row>
    <row r="91" spans="1:2">
      <c r="A91" s="10"/>
      <c r="B91" s="11"/>
    </row>
    <row r="92" spans="1:2">
      <c r="A92" s="10"/>
      <c r="B92" s="11"/>
    </row>
    <row r="93" spans="1:2">
      <c r="A93" s="10"/>
      <c r="B93" s="11"/>
    </row>
    <row r="94" spans="1:2">
      <c r="A94" s="10"/>
      <c r="B94" s="11"/>
    </row>
    <row r="95" spans="1:2">
      <c r="A95" s="10"/>
      <c r="B95" s="11"/>
    </row>
    <row r="96" spans="1:2">
      <c r="A96" s="10"/>
      <c r="B96" s="11"/>
    </row>
    <row r="97" spans="1:10">
      <c r="A97" s="10"/>
      <c r="B97" s="11"/>
    </row>
    <row r="98" spans="1:10">
      <c r="A98" s="10"/>
      <c r="B98" s="11"/>
    </row>
    <row r="99" spans="1:10">
      <c r="A99" s="10"/>
      <c r="B99" s="11"/>
    </row>
    <row r="100" spans="1:10">
      <c r="A100" s="10"/>
      <c r="B100" s="11"/>
    </row>
    <row r="101" spans="1:10">
      <c r="A101" s="10"/>
      <c r="B101" s="11"/>
    </row>
    <row r="102" spans="1:10">
      <c r="A102" s="10">
        <v>46161.887965208327</v>
      </c>
      <c r="B102" s="11">
        <v>46161</v>
      </c>
      <c r="C102" t="s">
        <v>10</v>
      </c>
      <c r="D102" t="s">
        <v>11</v>
      </c>
      <c r="E102" t="s">
        <v>12</v>
      </c>
      <c r="F102">
        <v>10.55</v>
      </c>
      <c r="G102">
        <v>20.288464000000001</v>
      </c>
      <c r="H102">
        <v>0.90900000000000003</v>
      </c>
      <c r="I102">
        <v>5490677760</v>
      </c>
      <c r="J102" t="s">
        <v>13</v>
      </c>
    </row>
    <row r="103" spans="1:10">
      <c r="A103" s="10">
        <v>46161.887968900461</v>
      </c>
      <c r="B103" s="11">
        <v>46161</v>
      </c>
      <c r="C103" t="s">
        <v>10</v>
      </c>
      <c r="D103" t="s">
        <v>14</v>
      </c>
      <c r="E103" t="s">
        <v>12</v>
      </c>
      <c r="F103">
        <v>88.19</v>
      </c>
      <c r="G103">
        <v>78.741069999999993</v>
      </c>
      <c r="H103">
        <v>2.403</v>
      </c>
      <c r="I103">
        <v>2879876096</v>
      </c>
      <c r="J103" t="s">
        <v>15</v>
      </c>
    </row>
    <row r="104" spans="1:10">
      <c r="A104" s="10">
        <v>46161.887972372693</v>
      </c>
      <c r="B104" s="11">
        <v>46161</v>
      </c>
      <c r="C104" t="s">
        <v>10</v>
      </c>
      <c r="D104" t="s">
        <v>16</v>
      </c>
      <c r="E104" t="s">
        <v>12</v>
      </c>
      <c r="F104">
        <v>101.83</v>
      </c>
      <c r="G104">
        <v>60.613100000000003</v>
      </c>
      <c r="H104">
        <v>0.81899999999999995</v>
      </c>
      <c r="I104">
        <v>105018097664</v>
      </c>
      <c r="J104" t="s">
        <v>17</v>
      </c>
    </row>
    <row r="105" spans="1:10">
      <c r="A105" s="10">
        <v>46161.88797596065</v>
      </c>
      <c r="B105" s="11">
        <v>46161</v>
      </c>
      <c r="C105" t="s">
        <v>10</v>
      </c>
      <c r="D105" t="s">
        <v>18</v>
      </c>
      <c r="E105" t="s">
        <v>12</v>
      </c>
      <c r="F105">
        <v>22.52</v>
      </c>
      <c r="G105">
        <v>34.646155999999998</v>
      </c>
      <c r="H105">
        <v>1.325</v>
      </c>
      <c r="I105">
        <v>1724220928</v>
      </c>
      <c r="J105" t="s">
        <v>13</v>
      </c>
    </row>
    <row r="106" spans="1:10">
      <c r="A106" s="10">
        <v>46161.887979594911</v>
      </c>
      <c r="B106" s="11">
        <v>46161</v>
      </c>
      <c r="C106" t="s">
        <v>10</v>
      </c>
      <c r="D106" t="s">
        <v>19</v>
      </c>
      <c r="E106" t="s">
        <v>12</v>
      </c>
      <c r="F106">
        <v>254.99</v>
      </c>
      <c r="G106">
        <v>14.868221999999999</v>
      </c>
      <c r="H106">
        <v>1.417</v>
      </c>
      <c r="I106">
        <v>103066959872</v>
      </c>
      <c r="J106" t="s">
        <v>17</v>
      </c>
    </row>
    <row r="107" spans="1:10">
      <c r="A107" s="10">
        <v>46161.887985370369</v>
      </c>
      <c r="B107" s="11">
        <v>46161</v>
      </c>
      <c r="C107" t="s">
        <v>10</v>
      </c>
      <c r="D107" t="s">
        <v>20</v>
      </c>
      <c r="E107" t="s">
        <v>12</v>
      </c>
      <c r="F107">
        <v>100.09</v>
      </c>
      <c r="G107">
        <v>17.969479</v>
      </c>
      <c r="H107">
        <v>0.57899999999999996</v>
      </c>
      <c r="I107">
        <v>3524870144</v>
      </c>
      <c r="J107" t="s">
        <v>13</v>
      </c>
    </row>
    <row r="108" spans="1:10">
      <c r="A108" s="10">
        <v>46161.887988796298</v>
      </c>
      <c r="B108" s="11">
        <v>46161</v>
      </c>
      <c r="C108" t="s">
        <v>10</v>
      </c>
      <c r="D108" t="s">
        <v>21</v>
      </c>
      <c r="E108" t="s">
        <v>12</v>
      </c>
      <c r="F108">
        <v>70.349999999999994</v>
      </c>
      <c r="G108">
        <v>29.312498000000001</v>
      </c>
      <c r="H108">
        <v>1.476</v>
      </c>
      <c r="I108">
        <v>10581059584</v>
      </c>
      <c r="J108" t="s">
        <v>22</v>
      </c>
    </row>
    <row r="109" spans="1:10">
      <c r="A109" s="10">
        <v>46161.887992094897</v>
      </c>
      <c r="B109" s="11">
        <v>46161</v>
      </c>
      <c r="C109" t="s">
        <v>10</v>
      </c>
      <c r="D109" t="s">
        <v>23</v>
      </c>
      <c r="E109" t="s">
        <v>12</v>
      </c>
      <c r="F109">
        <v>417.42</v>
      </c>
      <c r="G109">
        <v>24.890877</v>
      </c>
      <c r="H109">
        <v>1.093</v>
      </c>
      <c r="I109">
        <v>3100777381888</v>
      </c>
      <c r="J109" t="s">
        <v>13</v>
      </c>
    </row>
    <row r="110" spans="1:10">
      <c r="A110" s="10">
        <v>46161.887995833327</v>
      </c>
      <c r="B110" s="11">
        <v>46161</v>
      </c>
      <c r="C110" t="s">
        <v>10</v>
      </c>
      <c r="D110" t="s">
        <v>24</v>
      </c>
      <c r="E110" t="s">
        <v>12</v>
      </c>
      <c r="F110">
        <v>476.9</v>
      </c>
      <c r="G110">
        <v>41.397568</v>
      </c>
      <c r="H110">
        <v>2.3660000000000001</v>
      </c>
      <c r="I110">
        <v>160209551360</v>
      </c>
      <c r="J110" t="s">
        <v>25</v>
      </c>
    </row>
    <row r="111" spans="1:10">
      <c r="A111" s="10">
        <v>46161.887999259263</v>
      </c>
      <c r="B111" s="11">
        <v>46161</v>
      </c>
      <c r="C111" t="s">
        <v>10</v>
      </c>
      <c r="D111" t="s">
        <v>26</v>
      </c>
      <c r="E111" t="s">
        <v>12</v>
      </c>
      <c r="F111">
        <v>215.15</v>
      </c>
      <c r="G111">
        <v>537.875</v>
      </c>
      <c r="H111">
        <v>1.2949999999999999</v>
      </c>
      <c r="I111">
        <v>76584837120</v>
      </c>
      <c r="J111" t="s">
        <v>17</v>
      </c>
    </row>
    <row r="112" spans="1:10">
      <c r="A112" s="10">
        <v>46161.888003182867</v>
      </c>
      <c r="B112" s="11">
        <v>46161</v>
      </c>
      <c r="C112" t="s">
        <v>10</v>
      </c>
      <c r="D112" t="s">
        <v>27</v>
      </c>
      <c r="E112" t="s">
        <v>12</v>
      </c>
      <c r="F112">
        <v>244.26</v>
      </c>
      <c r="G112">
        <v>163.93288000000001</v>
      </c>
      <c r="H112">
        <v>3.363</v>
      </c>
      <c r="I112">
        <v>41868099584</v>
      </c>
      <c r="J112" t="s">
        <v>22</v>
      </c>
    </row>
    <row r="113" spans="1:10">
      <c r="A113" s="10">
        <v>46161.888006770831</v>
      </c>
      <c r="B113" s="11">
        <v>46161</v>
      </c>
      <c r="C113" t="s">
        <v>10</v>
      </c>
      <c r="D113" t="s">
        <v>28</v>
      </c>
      <c r="E113" t="s">
        <v>12</v>
      </c>
      <c r="F113">
        <v>1383.29</v>
      </c>
      <c r="G113">
        <v>47.162975000000003</v>
      </c>
      <c r="I113">
        <v>204851085312</v>
      </c>
      <c r="J113" t="s">
        <v>29</v>
      </c>
    </row>
    <row r="114" spans="1:10">
      <c r="A114" s="10">
        <v>46161.888010277777</v>
      </c>
      <c r="B114" s="11">
        <v>46161</v>
      </c>
      <c r="C114" t="s">
        <v>10</v>
      </c>
      <c r="D114" t="s">
        <v>30</v>
      </c>
      <c r="E114" t="s">
        <v>12</v>
      </c>
      <c r="F114">
        <v>91.81</v>
      </c>
      <c r="G114">
        <v>18.252483000000002</v>
      </c>
      <c r="H114">
        <v>0.79700000000000004</v>
      </c>
      <c r="I114">
        <v>159670026240</v>
      </c>
      <c r="J114" t="s">
        <v>31</v>
      </c>
    </row>
    <row r="115" spans="1:10">
      <c r="A115" s="10">
        <v>46161.888013865741</v>
      </c>
      <c r="B115" s="11">
        <v>46161</v>
      </c>
      <c r="C115" t="s">
        <v>10</v>
      </c>
      <c r="D115" t="s">
        <v>32</v>
      </c>
      <c r="E115" t="s">
        <v>33</v>
      </c>
      <c r="F115">
        <v>908</v>
      </c>
      <c r="G115">
        <v>24.54054</v>
      </c>
      <c r="H115">
        <v>0.30399999999999999</v>
      </c>
      <c r="I115">
        <v>8206142464</v>
      </c>
      <c r="J115" t="s">
        <v>17</v>
      </c>
    </row>
    <row r="116" spans="1:10">
      <c r="A116" s="10">
        <v>46161.888020243059</v>
      </c>
      <c r="B116" s="11">
        <v>46161</v>
      </c>
      <c r="C116" t="s">
        <v>10</v>
      </c>
      <c r="D116" t="s">
        <v>34</v>
      </c>
      <c r="E116" t="s">
        <v>12</v>
      </c>
      <c r="F116">
        <v>222.33</v>
      </c>
      <c r="G116">
        <v>19.692647999999998</v>
      </c>
      <c r="H116">
        <v>0.58099999999999996</v>
      </c>
      <c r="I116">
        <v>208964698112</v>
      </c>
      <c r="J116" t="s">
        <v>15</v>
      </c>
    </row>
    <row r="117" spans="1:10">
      <c r="A117" s="10">
        <v>46161.888023738429</v>
      </c>
      <c r="B117" s="11">
        <v>46161</v>
      </c>
      <c r="C117" t="s">
        <v>10</v>
      </c>
      <c r="D117" t="s">
        <v>35</v>
      </c>
      <c r="E117" t="s">
        <v>12</v>
      </c>
      <c r="F117">
        <v>298.97000000000003</v>
      </c>
      <c r="G117">
        <v>36.238790000000002</v>
      </c>
      <c r="H117">
        <v>1.0649999999999999</v>
      </c>
      <c r="I117">
        <v>4391078723584</v>
      </c>
      <c r="J117" t="s">
        <v>36</v>
      </c>
    </row>
    <row r="118" spans="1:10">
      <c r="A118" s="10">
        <v>46161.888027627312</v>
      </c>
      <c r="B118" s="11">
        <v>46161</v>
      </c>
      <c r="C118" t="s">
        <v>10</v>
      </c>
      <c r="D118" t="s">
        <v>37</v>
      </c>
      <c r="E118" t="s">
        <v>12</v>
      </c>
      <c r="F118">
        <v>81.92</v>
      </c>
      <c r="G118">
        <v>25.761005000000001</v>
      </c>
      <c r="H118">
        <v>0.35599999999999998</v>
      </c>
      <c r="I118">
        <v>352459358208</v>
      </c>
      <c r="J118" t="s">
        <v>38</v>
      </c>
    </row>
    <row r="119" spans="1:10">
      <c r="A119" s="10">
        <v>46161.888033136573</v>
      </c>
      <c r="B119" s="11">
        <v>46161</v>
      </c>
      <c r="C119" t="s">
        <v>10</v>
      </c>
      <c r="D119" t="s">
        <v>39</v>
      </c>
      <c r="E119" t="s">
        <v>12</v>
      </c>
      <c r="F119">
        <v>76.69</v>
      </c>
      <c r="H119">
        <v>2.1640000000000001</v>
      </c>
      <c r="I119">
        <v>3363737344</v>
      </c>
      <c r="J119" t="s">
        <v>40</v>
      </c>
    </row>
    <row r="120" spans="1:10">
      <c r="A120" s="10">
        <v>46161.888036597222</v>
      </c>
      <c r="B120" s="11">
        <v>46161</v>
      </c>
      <c r="C120" t="s">
        <v>10</v>
      </c>
      <c r="D120" t="s">
        <v>41</v>
      </c>
      <c r="E120" t="s">
        <v>12</v>
      </c>
      <c r="F120">
        <v>602.61</v>
      </c>
      <c r="G120">
        <v>21.91309</v>
      </c>
      <c r="H120">
        <v>1.2430000000000001</v>
      </c>
      <c r="I120">
        <v>1529679183872</v>
      </c>
      <c r="J120" t="s">
        <v>42</v>
      </c>
    </row>
    <row r="121" spans="1:10">
      <c r="A121" s="10">
        <v>46161.888039953701</v>
      </c>
      <c r="B121" s="11">
        <v>46161</v>
      </c>
      <c r="C121" t="s">
        <v>10</v>
      </c>
      <c r="D121" t="s">
        <v>43</v>
      </c>
      <c r="E121" t="s">
        <v>12</v>
      </c>
      <c r="F121">
        <v>8.4499999999999993</v>
      </c>
      <c r="H121">
        <v>2.7629999999999999</v>
      </c>
      <c r="I121">
        <v>3656903424</v>
      </c>
      <c r="J121" t="s">
        <v>17</v>
      </c>
    </row>
    <row r="122" spans="1:10">
      <c r="A122" s="10">
        <v>46161.888043402767</v>
      </c>
      <c r="B122" s="11">
        <v>46161</v>
      </c>
      <c r="C122" t="s">
        <v>10</v>
      </c>
      <c r="D122" t="s">
        <v>44</v>
      </c>
      <c r="E122" t="s">
        <v>12</v>
      </c>
      <c r="F122">
        <v>181.46</v>
      </c>
      <c r="G122">
        <v>32.636691999999996</v>
      </c>
      <c r="H122">
        <v>1.544</v>
      </c>
      <c r="I122">
        <v>521887350784</v>
      </c>
      <c r="J122" t="s">
        <v>13</v>
      </c>
    </row>
    <row r="123" spans="1:10">
      <c r="A123" s="10">
        <v>46161.88804755787</v>
      </c>
      <c r="B123" s="11">
        <v>46161</v>
      </c>
      <c r="C123" t="s">
        <v>10</v>
      </c>
      <c r="D123" t="s">
        <v>45</v>
      </c>
      <c r="E123" t="s">
        <v>12</v>
      </c>
      <c r="F123">
        <v>384.9</v>
      </c>
      <c r="G123">
        <v>29.404125000000001</v>
      </c>
      <c r="H123">
        <v>1.2669999999999999</v>
      </c>
      <c r="I123">
        <v>4663234002944</v>
      </c>
      <c r="J123" t="s">
        <v>42</v>
      </c>
    </row>
    <row r="124" spans="1:10">
      <c r="A124" s="10">
        <v>46161.888052916664</v>
      </c>
      <c r="B124" s="11">
        <v>46161</v>
      </c>
      <c r="C124" t="s">
        <v>10</v>
      </c>
      <c r="D124" t="s">
        <v>46</v>
      </c>
      <c r="E124" t="s">
        <v>12</v>
      </c>
      <c r="F124">
        <v>259.33999999999997</v>
      </c>
      <c r="G124">
        <v>30.984468</v>
      </c>
      <c r="H124">
        <v>1.468</v>
      </c>
      <c r="I124">
        <v>2789748768768</v>
      </c>
      <c r="J124" t="s">
        <v>47</v>
      </c>
    </row>
    <row r="125" spans="1:10">
      <c r="A125" s="10">
        <v>46161.888056354168</v>
      </c>
      <c r="B125" s="11">
        <v>46161</v>
      </c>
      <c r="C125" t="s">
        <v>10</v>
      </c>
      <c r="D125" t="s">
        <v>48</v>
      </c>
      <c r="E125" t="s">
        <v>12</v>
      </c>
      <c r="F125">
        <v>176.27</v>
      </c>
      <c r="G125">
        <v>57.416943000000003</v>
      </c>
      <c r="H125">
        <v>2.2509999999999999</v>
      </c>
      <c r="I125">
        <v>154333757440</v>
      </c>
      <c r="J125" t="s">
        <v>22</v>
      </c>
    </row>
    <row r="126" spans="1:10">
      <c r="A126" s="10">
        <v>46161.888059930563</v>
      </c>
      <c r="B126" s="11">
        <v>46161</v>
      </c>
      <c r="C126" t="s">
        <v>10</v>
      </c>
      <c r="D126" t="s">
        <v>49</v>
      </c>
      <c r="E126" t="s">
        <v>12</v>
      </c>
      <c r="F126">
        <v>5.53</v>
      </c>
      <c r="H126">
        <v>2.2309999999999999</v>
      </c>
      <c r="I126">
        <v>1206388608</v>
      </c>
      <c r="J126" t="s">
        <v>50</v>
      </c>
    </row>
    <row r="127" spans="1:10">
      <c r="A127" s="10">
        <v>46161.888063483799</v>
      </c>
      <c r="B127" s="11">
        <v>46161</v>
      </c>
      <c r="C127" t="s">
        <v>10</v>
      </c>
      <c r="D127" t="s">
        <v>51</v>
      </c>
      <c r="E127" t="s">
        <v>12</v>
      </c>
      <c r="F127">
        <v>392.61</v>
      </c>
      <c r="G127">
        <v>33.729377999999997</v>
      </c>
      <c r="H127">
        <v>1.264</v>
      </c>
      <c r="I127">
        <v>2036232486912</v>
      </c>
      <c r="J127" t="s">
        <v>22</v>
      </c>
    </row>
    <row r="128" spans="1:10">
      <c r="A128" s="10">
        <v>46161.888067256943</v>
      </c>
      <c r="B128" s="11">
        <v>46161</v>
      </c>
      <c r="C128" t="s">
        <v>10</v>
      </c>
      <c r="D128" t="s">
        <v>52</v>
      </c>
      <c r="E128" t="s">
        <v>12</v>
      </c>
      <c r="F128">
        <v>45.53</v>
      </c>
      <c r="I128">
        <v>8175583744</v>
      </c>
      <c r="J128" t="s">
        <v>53</v>
      </c>
    </row>
    <row r="129" spans="1:10">
      <c r="A129" s="10">
        <v>46161.888070682871</v>
      </c>
      <c r="B129" s="11">
        <v>46161</v>
      </c>
      <c r="C129" t="s">
        <v>10</v>
      </c>
      <c r="D129" t="s">
        <v>54</v>
      </c>
      <c r="E129" t="s">
        <v>12</v>
      </c>
      <c r="F129">
        <v>411.07</v>
      </c>
      <c r="G129">
        <v>80.130610000000004</v>
      </c>
      <c r="H129">
        <v>1.44</v>
      </c>
      <c r="I129">
        <v>1946280132608</v>
      </c>
      <c r="J129" t="s">
        <v>22</v>
      </c>
    </row>
    <row r="130" spans="1:10">
      <c r="A130" s="10">
        <v>46161.888074062503</v>
      </c>
      <c r="B130" s="11">
        <v>46161</v>
      </c>
      <c r="C130" t="s">
        <v>10</v>
      </c>
      <c r="D130" t="s">
        <v>55</v>
      </c>
      <c r="E130" t="s">
        <v>12</v>
      </c>
      <c r="F130">
        <v>34.25</v>
      </c>
      <c r="G130">
        <v>14.636753000000001</v>
      </c>
      <c r="H130">
        <v>3.3039999999999998</v>
      </c>
      <c r="I130">
        <v>1685257600</v>
      </c>
      <c r="J130" t="s">
        <v>22</v>
      </c>
    </row>
    <row r="131" spans="1:10">
      <c r="A131" s="10">
        <v>46161.888077951393</v>
      </c>
      <c r="B131" s="11">
        <v>46161</v>
      </c>
      <c r="C131" t="s">
        <v>10</v>
      </c>
      <c r="D131" t="s">
        <v>56</v>
      </c>
      <c r="E131" t="s">
        <v>12</v>
      </c>
      <c r="F131">
        <v>8.83</v>
      </c>
      <c r="H131">
        <v>1.9870000000000001</v>
      </c>
      <c r="I131">
        <v>1282921472</v>
      </c>
      <c r="J131" t="s">
        <v>13</v>
      </c>
    </row>
    <row r="132" spans="1:10">
      <c r="A132" s="10">
        <v>46161.888081319441</v>
      </c>
      <c r="B132" s="11">
        <v>46161</v>
      </c>
      <c r="C132" t="s">
        <v>10</v>
      </c>
      <c r="D132" t="s">
        <v>57</v>
      </c>
      <c r="E132" t="s">
        <v>12</v>
      </c>
      <c r="F132">
        <v>141.58000000000001</v>
      </c>
      <c r="G132">
        <v>48.652920000000002</v>
      </c>
      <c r="H132">
        <v>1.673</v>
      </c>
      <c r="I132">
        <v>178273206272</v>
      </c>
      <c r="J132" t="s">
        <v>29</v>
      </c>
    </row>
    <row r="133" spans="1:10">
      <c r="A133" s="10">
        <v>46161.888084849539</v>
      </c>
      <c r="B133" s="11">
        <v>46161</v>
      </c>
      <c r="C133" t="s">
        <v>10</v>
      </c>
      <c r="D133" t="s">
        <v>58</v>
      </c>
      <c r="E133" t="s">
        <v>12</v>
      </c>
      <c r="F133">
        <v>45.77</v>
      </c>
      <c r="G133">
        <v>19.559830000000002</v>
      </c>
      <c r="H133">
        <v>1.5069999999999999</v>
      </c>
      <c r="I133">
        <v>2698891776</v>
      </c>
      <c r="J133" t="s">
        <v>40</v>
      </c>
    </row>
    <row r="134" spans="1:10">
      <c r="A134" s="10">
        <v>46161.888088611107</v>
      </c>
      <c r="B134" s="11">
        <v>46161</v>
      </c>
      <c r="C134" t="s">
        <v>10</v>
      </c>
      <c r="D134" t="s">
        <v>59</v>
      </c>
      <c r="E134" t="s">
        <v>12</v>
      </c>
      <c r="F134">
        <v>220.61</v>
      </c>
      <c r="G134">
        <v>45.114519999999999</v>
      </c>
      <c r="H134">
        <v>2.2440000000000002</v>
      </c>
      <c r="I134">
        <v>5343290064896</v>
      </c>
      <c r="J134" t="s">
        <v>22</v>
      </c>
    </row>
    <row r="135" spans="1:10">
      <c r="A135" s="10">
        <v>46161.888092152767</v>
      </c>
      <c r="B135" s="11">
        <v>46161</v>
      </c>
      <c r="C135" t="s">
        <v>10</v>
      </c>
      <c r="D135" t="s">
        <v>60</v>
      </c>
      <c r="E135" t="s">
        <v>12</v>
      </c>
      <c r="F135">
        <v>74.16</v>
      </c>
      <c r="G135">
        <v>36.000003999999997</v>
      </c>
      <c r="H135">
        <v>2.294</v>
      </c>
      <c r="I135">
        <v>66781462528</v>
      </c>
      <c r="J135" t="s">
        <v>31</v>
      </c>
    </row>
    <row r="136" spans="1:10">
      <c r="A136" s="10">
        <v>46161.888095682873</v>
      </c>
      <c r="B136" s="11">
        <v>46161</v>
      </c>
      <c r="C136" t="s">
        <v>10</v>
      </c>
      <c r="D136" t="s">
        <v>61</v>
      </c>
      <c r="E136" t="s">
        <v>12</v>
      </c>
      <c r="F136">
        <v>13.88</v>
      </c>
      <c r="I136">
        <v>871516992</v>
      </c>
      <c r="J136" t="s">
        <v>62</v>
      </c>
    </row>
    <row r="137" spans="1:10">
      <c r="A137" s="10">
        <v>46161.888099270836</v>
      </c>
      <c r="B137" s="11">
        <v>46161</v>
      </c>
      <c r="C137" t="s">
        <v>10</v>
      </c>
      <c r="D137" t="s">
        <v>63</v>
      </c>
      <c r="E137" t="s">
        <v>12</v>
      </c>
      <c r="F137">
        <v>414.05</v>
      </c>
      <c r="G137">
        <v>138.47826000000001</v>
      </c>
      <c r="H137">
        <v>2.399</v>
      </c>
      <c r="I137">
        <v>675150168064</v>
      </c>
      <c r="J137" t="s">
        <v>22</v>
      </c>
    </row>
    <row r="138" spans="1:10">
      <c r="A138" s="10">
        <v>46161.888102951387</v>
      </c>
      <c r="B138" s="11">
        <v>46161</v>
      </c>
      <c r="C138" t="s">
        <v>10</v>
      </c>
      <c r="D138" t="s">
        <v>64</v>
      </c>
      <c r="E138" t="s">
        <v>12</v>
      </c>
      <c r="F138">
        <v>404.11</v>
      </c>
      <c r="G138">
        <v>364.06304999999998</v>
      </c>
      <c r="H138">
        <v>1.7929999999999999</v>
      </c>
      <c r="I138">
        <v>1517725417472</v>
      </c>
      <c r="J138" t="s">
        <v>65</v>
      </c>
    </row>
    <row r="139" spans="1:10">
      <c r="A139" s="10">
        <v>46161.888106446757</v>
      </c>
      <c r="B139" s="11">
        <v>46161</v>
      </c>
      <c r="C139" t="s">
        <v>10</v>
      </c>
      <c r="D139" t="s">
        <v>66</v>
      </c>
      <c r="E139" t="s">
        <v>12</v>
      </c>
      <c r="F139">
        <v>1459.44</v>
      </c>
      <c r="G139">
        <v>48.583218000000002</v>
      </c>
      <c r="H139">
        <v>1.373</v>
      </c>
      <c r="I139">
        <v>562493915136</v>
      </c>
      <c r="J139" t="s">
        <v>40</v>
      </c>
    </row>
    <row r="140" spans="1:10">
      <c r="A140" s="10">
        <v>46161.888110138891</v>
      </c>
      <c r="B140" s="11">
        <v>46161</v>
      </c>
      <c r="C140" t="s">
        <v>10</v>
      </c>
      <c r="D140" t="s">
        <v>67</v>
      </c>
      <c r="E140" t="s">
        <v>12</v>
      </c>
      <c r="F140">
        <v>698.74</v>
      </c>
      <c r="G140">
        <v>32.959429999999998</v>
      </c>
      <c r="H140">
        <v>1.919</v>
      </c>
      <c r="I140">
        <v>787992870912</v>
      </c>
      <c r="J140" t="s">
        <v>22</v>
      </c>
    </row>
    <row r="141" spans="1:10">
      <c r="A141" s="10">
        <v>46161.888114143519</v>
      </c>
      <c r="B141" s="11">
        <v>46161</v>
      </c>
      <c r="C141" t="s">
        <v>10</v>
      </c>
      <c r="D141" t="s">
        <v>68</v>
      </c>
      <c r="E141" t="s">
        <v>12</v>
      </c>
      <c r="F141">
        <v>3.84</v>
      </c>
      <c r="H141">
        <v>3.0510000000000002</v>
      </c>
      <c r="I141">
        <v>1839165824</v>
      </c>
      <c r="J141" t="s">
        <v>15</v>
      </c>
    </row>
    <row r="142" spans="1:10">
      <c r="A142" s="10">
        <v>46161.888117939823</v>
      </c>
      <c r="B142" s="11">
        <v>46161</v>
      </c>
      <c r="C142" t="s">
        <v>10</v>
      </c>
      <c r="D142" t="s">
        <v>69</v>
      </c>
      <c r="E142" t="s">
        <v>12</v>
      </c>
      <c r="F142">
        <v>168.99</v>
      </c>
      <c r="G142">
        <v>93.364649999999997</v>
      </c>
      <c r="H142">
        <v>3.1760000000000002</v>
      </c>
      <c r="I142">
        <v>31170195456</v>
      </c>
      <c r="J142" t="s">
        <v>22</v>
      </c>
    </row>
    <row r="143" spans="1:10">
      <c r="A143" s="10">
        <v>46161.888121875003</v>
      </c>
      <c r="B143" s="11">
        <v>46161</v>
      </c>
      <c r="C143" t="s">
        <v>10</v>
      </c>
      <c r="D143" t="s">
        <v>70</v>
      </c>
      <c r="E143" t="s">
        <v>12</v>
      </c>
      <c r="F143">
        <v>99.81</v>
      </c>
      <c r="I143">
        <v>54453379072</v>
      </c>
      <c r="J143" t="s">
        <v>13</v>
      </c>
    </row>
    <row r="144" spans="1:10">
      <c r="A144" s="10">
        <v>46161.8881253125</v>
      </c>
      <c r="B144" s="11">
        <v>46161</v>
      </c>
      <c r="C144" t="s">
        <v>10</v>
      </c>
      <c r="D144" t="s">
        <v>71</v>
      </c>
      <c r="E144" t="s">
        <v>12</v>
      </c>
      <c r="F144">
        <v>110.8</v>
      </c>
      <c r="H144">
        <v>2.19</v>
      </c>
      <c r="I144">
        <v>556880822272</v>
      </c>
      <c r="J144" t="s">
        <v>22</v>
      </c>
    </row>
    <row r="145" spans="1:10">
      <c r="A145" s="10">
        <v>46161.888128854167</v>
      </c>
      <c r="B145" s="11">
        <v>46161</v>
      </c>
      <c r="C145" t="s">
        <v>10</v>
      </c>
      <c r="D145" t="s">
        <v>72</v>
      </c>
      <c r="E145" t="s">
        <v>12</v>
      </c>
      <c r="F145">
        <v>30.56</v>
      </c>
      <c r="G145">
        <v>16.084211</v>
      </c>
      <c r="H145">
        <v>1.6839999999999999</v>
      </c>
      <c r="I145">
        <v>18379347968</v>
      </c>
      <c r="J145" t="s">
        <v>29</v>
      </c>
    </row>
    <row r="146" spans="1:10">
      <c r="A146" s="10">
        <v>46161.888132523149</v>
      </c>
      <c r="B146" s="11">
        <v>46161</v>
      </c>
      <c r="C146" t="s">
        <v>10</v>
      </c>
      <c r="D146" t="s">
        <v>73</v>
      </c>
      <c r="E146" t="s">
        <v>12</v>
      </c>
      <c r="F146">
        <v>171.33</v>
      </c>
      <c r="H146">
        <v>3.7589999999999999</v>
      </c>
      <c r="I146">
        <v>13747993600</v>
      </c>
      <c r="J146" t="s">
        <v>74</v>
      </c>
    </row>
    <row r="147" spans="1:10">
      <c r="A147" s="10">
        <v>46161.888136666668</v>
      </c>
      <c r="B147" s="11">
        <v>46161</v>
      </c>
      <c r="C147" t="s">
        <v>10</v>
      </c>
      <c r="D147" t="s">
        <v>75</v>
      </c>
      <c r="E147" t="s">
        <v>12</v>
      </c>
      <c r="F147">
        <v>81.135000000000005</v>
      </c>
      <c r="H147">
        <v>3.2709999999999999</v>
      </c>
      <c r="I147">
        <v>2551959808</v>
      </c>
      <c r="J147" t="s">
        <v>40</v>
      </c>
    </row>
    <row r="148" spans="1:10">
      <c r="A148" s="10">
        <v>46161.888140208343</v>
      </c>
      <c r="B148" s="11">
        <v>46161</v>
      </c>
      <c r="C148" t="s">
        <v>10</v>
      </c>
      <c r="D148" t="s">
        <v>76</v>
      </c>
      <c r="E148" t="s">
        <v>12</v>
      </c>
      <c r="F148">
        <v>11.59</v>
      </c>
      <c r="I148">
        <v>1785782912</v>
      </c>
      <c r="J148" t="s">
        <v>77</v>
      </c>
    </row>
    <row r="149" spans="1:10">
      <c r="A149" s="10">
        <v>46161.888143645832</v>
      </c>
      <c r="B149" s="11">
        <v>46161</v>
      </c>
      <c r="C149" t="s">
        <v>10</v>
      </c>
      <c r="D149" t="s">
        <v>78</v>
      </c>
      <c r="E149" t="s">
        <v>12</v>
      </c>
      <c r="F149">
        <v>223.15</v>
      </c>
      <c r="G149">
        <v>259.47674999999998</v>
      </c>
      <c r="H149">
        <v>3.4060000000000001</v>
      </c>
      <c r="I149">
        <v>237431275520</v>
      </c>
      <c r="J149" t="s">
        <v>22</v>
      </c>
    </row>
    <row r="150" spans="1:10">
      <c r="A150" s="10">
        <v>46161.888147314807</v>
      </c>
      <c r="B150" s="11">
        <v>46161</v>
      </c>
      <c r="C150" t="s">
        <v>10</v>
      </c>
      <c r="D150" t="s">
        <v>79</v>
      </c>
      <c r="E150" t="s">
        <v>12</v>
      </c>
      <c r="F150">
        <v>48.44</v>
      </c>
      <c r="G150">
        <v>124.20513</v>
      </c>
      <c r="H150">
        <v>3.052</v>
      </c>
      <c r="I150">
        <v>18081196032</v>
      </c>
      <c r="J150" t="s">
        <v>29</v>
      </c>
    </row>
    <row r="151" spans="1:10">
      <c r="A151" s="10">
        <v>46161.888150868057</v>
      </c>
      <c r="B151" s="11">
        <v>46161</v>
      </c>
      <c r="C151" t="s">
        <v>10</v>
      </c>
      <c r="D151" t="s">
        <v>80</v>
      </c>
      <c r="E151" t="s">
        <v>12</v>
      </c>
      <c r="F151">
        <v>13.07</v>
      </c>
      <c r="H151">
        <v>0.54300000000000004</v>
      </c>
      <c r="I151">
        <v>1995935104</v>
      </c>
      <c r="J151" t="s">
        <v>22</v>
      </c>
    </row>
    <row r="152" spans="1:10">
      <c r="A152" s="10">
        <v>46161.888821666667</v>
      </c>
      <c r="B152" s="11">
        <v>46161</v>
      </c>
      <c r="C152" t="s">
        <v>10</v>
      </c>
      <c r="D152" t="s">
        <v>11</v>
      </c>
      <c r="E152" t="s">
        <v>12</v>
      </c>
      <c r="F152">
        <v>10.55</v>
      </c>
      <c r="G152">
        <v>20.288464000000001</v>
      </c>
      <c r="H152">
        <v>0.90900000000000003</v>
      </c>
      <c r="I152">
        <v>5490677760</v>
      </c>
      <c r="J152" t="s">
        <v>13</v>
      </c>
    </row>
    <row r="153" spans="1:10">
      <c r="A153" s="10">
        <v>46161.888825381953</v>
      </c>
      <c r="B153" s="11">
        <v>46161</v>
      </c>
      <c r="C153" t="s">
        <v>10</v>
      </c>
      <c r="D153" t="s">
        <v>14</v>
      </c>
      <c r="E153" t="s">
        <v>12</v>
      </c>
      <c r="F153">
        <v>88.19</v>
      </c>
      <c r="G153">
        <v>78.741069999999993</v>
      </c>
      <c r="H153">
        <v>2.403</v>
      </c>
      <c r="I153">
        <v>2879876096</v>
      </c>
      <c r="J153" t="s">
        <v>15</v>
      </c>
    </row>
    <row r="154" spans="1:10">
      <c r="A154" s="10">
        <v>46161.888828784722</v>
      </c>
      <c r="B154" s="11">
        <v>46161</v>
      </c>
      <c r="C154" t="s">
        <v>10</v>
      </c>
      <c r="D154" t="s">
        <v>16</v>
      </c>
      <c r="E154" t="s">
        <v>12</v>
      </c>
      <c r="F154">
        <v>101.83</v>
      </c>
      <c r="G154">
        <v>60.613100000000003</v>
      </c>
      <c r="H154">
        <v>0.81899999999999995</v>
      </c>
      <c r="I154">
        <v>105018097664</v>
      </c>
      <c r="J154" t="s">
        <v>17</v>
      </c>
    </row>
    <row r="155" spans="1:10">
      <c r="A155" s="10">
        <v>46161.888832256947</v>
      </c>
      <c r="B155" s="11">
        <v>46161</v>
      </c>
      <c r="C155" t="s">
        <v>10</v>
      </c>
      <c r="D155" t="s">
        <v>18</v>
      </c>
      <c r="E155" t="s">
        <v>12</v>
      </c>
      <c r="F155">
        <v>22.52</v>
      </c>
      <c r="G155">
        <v>34.646155999999998</v>
      </c>
      <c r="H155">
        <v>1.325</v>
      </c>
      <c r="I155">
        <v>1724220928</v>
      </c>
      <c r="J155" t="s">
        <v>13</v>
      </c>
    </row>
    <row r="156" spans="1:10">
      <c r="A156" s="10">
        <v>46161.888836296297</v>
      </c>
      <c r="B156" s="11">
        <v>46161</v>
      </c>
      <c r="C156" t="s">
        <v>10</v>
      </c>
      <c r="D156" t="s">
        <v>19</v>
      </c>
      <c r="E156" t="s">
        <v>12</v>
      </c>
      <c r="F156">
        <v>254.99</v>
      </c>
      <c r="G156">
        <v>14.868221999999999</v>
      </c>
      <c r="H156">
        <v>1.417</v>
      </c>
      <c r="I156">
        <v>103066959872</v>
      </c>
      <c r="J156" t="s">
        <v>17</v>
      </c>
    </row>
    <row r="157" spans="1:10">
      <c r="A157" s="10">
        <v>46161.888839699073</v>
      </c>
      <c r="B157" s="11">
        <v>46161</v>
      </c>
      <c r="C157" t="s">
        <v>10</v>
      </c>
      <c r="D157" t="s">
        <v>20</v>
      </c>
      <c r="E157" t="s">
        <v>12</v>
      </c>
      <c r="F157">
        <v>100.09</v>
      </c>
      <c r="G157">
        <v>17.969479</v>
      </c>
      <c r="H157">
        <v>0.57899999999999996</v>
      </c>
      <c r="I157">
        <v>3524870144</v>
      </c>
      <c r="J157" t="s">
        <v>13</v>
      </c>
    </row>
    <row r="158" spans="1:10">
      <c r="A158" s="10">
        <v>46161.888843368048</v>
      </c>
      <c r="B158" s="11">
        <v>46161</v>
      </c>
      <c r="C158" t="s">
        <v>10</v>
      </c>
      <c r="D158" t="s">
        <v>21</v>
      </c>
      <c r="E158" t="s">
        <v>12</v>
      </c>
      <c r="F158">
        <v>70.349999999999994</v>
      </c>
      <c r="G158">
        <v>29.312498000000001</v>
      </c>
      <c r="H158">
        <v>1.476</v>
      </c>
      <c r="I158">
        <v>10581059584</v>
      </c>
      <c r="J158" t="s">
        <v>22</v>
      </c>
    </row>
    <row r="159" spans="1:10">
      <c r="A159" s="10">
        <v>46161.888846979156</v>
      </c>
      <c r="B159" s="11">
        <v>46161</v>
      </c>
      <c r="C159" t="s">
        <v>10</v>
      </c>
      <c r="D159" t="s">
        <v>23</v>
      </c>
      <c r="E159" t="s">
        <v>12</v>
      </c>
      <c r="F159">
        <v>417.42</v>
      </c>
      <c r="G159">
        <v>24.890877</v>
      </c>
      <c r="H159">
        <v>1.093</v>
      </c>
      <c r="I159">
        <v>3100777381888</v>
      </c>
      <c r="J159" t="s">
        <v>13</v>
      </c>
    </row>
    <row r="160" spans="1:10">
      <c r="A160" s="10">
        <v>46161.888850543983</v>
      </c>
      <c r="B160" s="11">
        <v>46161</v>
      </c>
      <c r="C160" t="s">
        <v>10</v>
      </c>
      <c r="D160" t="s">
        <v>24</v>
      </c>
      <c r="E160" t="s">
        <v>12</v>
      </c>
      <c r="F160">
        <v>476.9</v>
      </c>
      <c r="G160">
        <v>41.397568</v>
      </c>
      <c r="H160">
        <v>2.3660000000000001</v>
      </c>
      <c r="I160">
        <v>160209551360</v>
      </c>
      <c r="J160" t="s">
        <v>25</v>
      </c>
    </row>
    <row r="161" spans="1:10">
      <c r="A161" s="10">
        <v>46161.888854641213</v>
      </c>
      <c r="B161" s="11">
        <v>46161</v>
      </c>
      <c r="C161" t="s">
        <v>10</v>
      </c>
      <c r="D161" t="s">
        <v>26</v>
      </c>
      <c r="E161" t="s">
        <v>12</v>
      </c>
      <c r="F161">
        <v>215.15</v>
      </c>
      <c r="G161">
        <v>537.875</v>
      </c>
      <c r="H161">
        <v>1.2949999999999999</v>
      </c>
      <c r="I161">
        <v>76584837120</v>
      </c>
      <c r="J161" t="s">
        <v>17</v>
      </c>
    </row>
    <row r="162" spans="1:10">
      <c r="A162" s="10">
        <v>46161.888858541657</v>
      </c>
      <c r="B162" s="11">
        <v>46161</v>
      </c>
      <c r="C162" t="s">
        <v>10</v>
      </c>
      <c r="D162" t="s">
        <v>27</v>
      </c>
      <c r="E162" t="s">
        <v>12</v>
      </c>
      <c r="F162">
        <v>244.26</v>
      </c>
      <c r="G162">
        <v>163.93288000000001</v>
      </c>
      <c r="H162">
        <v>3.363</v>
      </c>
      <c r="I162">
        <v>41868099584</v>
      </c>
      <c r="J162" t="s">
        <v>22</v>
      </c>
    </row>
    <row r="163" spans="1:10">
      <c r="A163" s="10">
        <v>46161.88886201389</v>
      </c>
      <c r="B163" s="11">
        <v>46161</v>
      </c>
      <c r="C163" t="s">
        <v>10</v>
      </c>
      <c r="D163" t="s">
        <v>28</v>
      </c>
      <c r="E163" t="s">
        <v>12</v>
      </c>
      <c r="F163">
        <v>1383.29</v>
      </c>
      <c r="G163">
        <v>47.162975000000003</v>
      </c>
      <c r="I163">
        <v>204851085312</v>
      </c>
      <c r="J163" t="s">
        <v>29</v>
      </c>
    </row>
    <row r="164" spans="1:10">
      <c r="A164" s="10">
        <v>46161.888865428242</v>
      </c>
      <c r="B164" s="11">
        <v>46161</v>
      </c>
      <c r="C164" t="s">
        <v>10</v>
      </c>
      <c r="D164" t="s">
        <v>30</v>
      </c>
      <c r="E164" t="s">
        <v>12</v>
      </c>
      <c r="F164">
        <v>91.81</v>
      </c>
      <c r="G164">
        <v>18.252483000000002</v>
      </c>
      <c r="H164">
        <v>0.79700000000000004</v>
      </c>
      <c r="I164">
        <v>159670026240</v>
      </c>
      <c r="J164" t="s">
        <v>31</v>
      </c>
    </row>
    <row r="165" spans="1:10">
      <c r="A165" s="10">
        <v>46161.888869085647</v>
      </c>
      <c r="B165" s="11">
        <v>46161</v>
      </c>
      <c r="C165" t="s">
        <v>10</v>
      </c>
      <c r="D165" t="s">
        <v>32</v>
      </c>
      <c r="E165" t="s">
        <v>33</v>
      </c>
      <c r="F165">
        <v>908</v>
      </c>
      <c r="G165">
        <v>24.54054</v>
      </c>
      <c r="H165">
        <v>0.30399999999999999</v>
      </c>
      <c r="I165">
        <v>8206142464</v>
      </c>
      <c r="J165" t="s">
        <v>17</v>
      </c>
    </row>
    <row r="166" spans="1:10">
      <c r="A166" s="10">
        <v>46161.888873483796</v>
      </c>
      <c r="B166" s="11">
        <v>46161</v>
      </c>
      <c r="C166" t="s">
        <v>10</v>
      </c>
      <c r="D166" t="s">
        <v>34</v>
      </c>
      <c r="E166" t="s">
        <v>12</v>
      </c>
      <c r="F166">
        <v>222.33</v>
      </c>
      <c r="G166">
        <v>19.692647999999998</v>
      </c>
      <c r="H166">
        <v>0.58099999999999996</v>
      </c>
      <c r="I166">
        <v>208964698112</v>
      </c>
      <c r="J166" t="s">
        <v>15</v>
      </c>
    </row>
    <row r="167" spans="1:10">
      <c r="A167" s="10">
        <v>46161.888876909718</v>
      </c>
      <c r="B167" s="11">
        <v>46161</v>
      </c>
      <c r="C167" t="s">
        <v>10</v>
      </c>
      <c r="D167" t="s">
        <v>35</v>
      </c>
      <c r="E167" t="s">
        <v>12</v>
      </c>
      <c r="F167">
        <v>298.97000000000003</v>
      </c>
      <c r="G167">
        <v>36.238790000000002</v>
      </c>
      <c r="H167">
        <v>1.0649999999999999</v>
      </c>
      <c r="I167">
        <v>4391078723584</v>
      </c>
      <c r="J167" t="s">
        <v>36</v>
      </c>
    </row>
    <row r="168" spans="1:10">
      <c r="A168" s="10">
        <v>46161.888880474537</v>
      </c>
      <c r="B168" s="11">
        <v>46161</v>
      </c>
      <c r="C168" t="s">
        <v>10</v>
      </c>
      <c r="D168" t="s">
        <v>37</v>
      </c>
      <c r="E168" t="s">
        <v>12</v>
      </c>
      <c r="F168">
        <v>81.92</v>
      </c>
      <c r="G168">
        <v>25.761005000000001</v>
      </c>
      <c r="H168">
        <v>0.35599999999999998</v>
      </c>
      <c r="I168">
        <v>352459358208</v>
      </c>
      <c r="J168" t="s">
        <v>38</v>
      </c>
    </row>
    <row r="169" spans="1:10">
      <c r="A169" s="10">
        <v>46161.888884247688</v>
      </c>
      <c r="B169" s="11">
        <v>46161</v>
      </c>
      <c r="C169" t="s">
        <v>10</v>
      </c>
      <c r="D169" t="s">
        <v>39</v>
      </c>
      <c r="E169" t="s">
        <v>12</v>
      </c>
      <c r="F169">
        <v>76.69</v>
      </c>
      <c r="H169">
        <v>2.1640000000000001</v>
      </c>
      <c r="I169">
        <v>3363737344</v>
      </c>
      <c r="J169" t="s">
        <v>40</v>
      </c>
    </row>
    <row r="170" spans="1:10">
      <c r="A170" s="10">
        <v>46161.888888402777</v>
      </c>
      <c r="B170" s="11">
        <v>46161</v>
      </c>
      <c r="C170" t="s">
        <v>10</v>
      </c>
      <c r="D170" t="s">
        <v>41</v>
      </c>
      <c r="E170" t="s">
        <v>12</v>
      </c>
      <c r="F170">
        <v>602.61</v>
      </c>
      <c r="G170">
        <v>21.91309</v>
      </c>
      <c r="H170">
        <v>1.2430000000000001</v>
      </c>
      <c r="I170">
        <v>1529679183872</v>
      </c>
      <c r="J170" t="s">
        <v>42</v>
      </c>
    </row>
    <row r="171" spans="1:10">
      <c r="A171" s="10">
        <v>46161.888891840281</v>
      </c>
      <c r="B171" s="11">
        <v>46161</v>
      </c>
      <c r="C171" t="s">
        <v>10</v>
      </c>
      <c r="D171" t="s">
        <v>43</v>
      </c>
      <c r="E171" t="s">
        <v>12</v>
      </c>
      <c r="F171">
        <v>8.4499999999999993</v>
      </c>
      <c r="H171">
        <v>2.7629999999999999</v>
      </c>
      <c r="I171">
        <v>3656903424</v>
      </c>
      <c r="J171" t="s">
        <v>17</v>
      </c>
    </row>
    <row r="172" spans="1:10">
      <c r="A172" s="10">
        <v>46161.888895462973</v>
      </c>
      <c r="B172" s="11">
        <v>46161</v>
      </c>
      <c r="C172" t="s">
        <v>10</v>
      </c>
      <c r="D172" t="s">
        <v>44</v>
      </c>
      <c r="E172" t="s">
        <v>12</v>
      </c>
      <c r="F172">
        <v>181.46</v>
      </c>
      <c r="G172">
        <v>32.636691999999996</v>
      </c>
      <c r="H172">
        <v>1.544</v>
      </c>
      <c r="I172">
        <v>521887350784</v>
      </c>
      <c r="J172" t="s">
        <v>13</v>
      </c>
    </row>
    <row r="173" spans="1:10">
      <c r="A173" s="10">
        <v>46161.88889934028</v>
      </c>
      <c r="B173" s="11">
        <v>46161</v>
      </c>
      <c r="C173" t="s">
        <v>10</v>
      </c>
      <c r="D173" t="s">
        <v>45</v>
      </c>
      <c r="E173" t="s">
        <v>12</v>
      </c>
      <c r="F173">
        <v>384.9</v>
      </c>
      <c r="G173">
        <v>29.404125000000001</v>
      </c>
      <c r="H173">
        <v>1.2669999999999999</v>
      </c>
      <c r="I173">
        <v>4663234002944</v>
      </c>
      <c r="J173" t="s">
        <v>42</v>
      </c>
    </row>
    <row r="174" spans="1:10">
      <c r="A174" s="10">
        <v>46161.888903090279</v>
      </c>
      <c r="B174" s="11">
        <v>46161</v>
      </c>
      <c r="C174" t="s">
        <v>10</v>
      </c>
      <c r="D174" t="s">
        <v>46</v>
      </c>
      <c r="E174" t="s">
        <v>12</v>
      </c>
      <c r="F174">
        <v>259.33999999999997</v>
      </c>
      <c r="G174">
        <v>30.984468</v>
      </c>
      <c r="H174">
        <v>1.468</v>
      </c>
      <c r="I174">
        <v>2789748768768</v>
      </c>
      <c r="J174" t="s">
        <v>47</v>
      </c>
    </row>
    <row r="175" spans="1:10">
      <c r="A175" s="10">
        <v>46161.888908090281</v>
      </c>
      <c r="B175" s="11">
        <v>46161</v>
      </c>
      <c r="C175" t="s">
        <v>10</v>
      </c>
      <c r="D175" t="s">
        <v>48</v>
      </c>
      <c r="E175" t="s">
        <v>12</v>
      </c>
      <c r="F175">
        <v>176.27</v>
      </c>
      <c r="G175">
        <v>57.416943000000003</v>
      </c>
      <c r="H175">
        <v>2.2509999999999999</v>
      </c>
      <c r="I175">
        <v>154333757440</v>
      </c>
      <c r="J175" t="s">
        <v>22</v>
      </c>
    </row>
    <row r="176" spans="1:10">
      <c r="A176" s="10">
        <v>46161.888912199072</v>
      </c>
      <c r="B176" s="11">
        <v>46161</v>
      </c>
      <c r="C176" t="s">
        <v>10</v>
      </c>
      <c r="D176" t="s">
        <v>49</v>
      </c>
      <c r="E176" t="s">
        <v>12</v>
      </c>
      <c r="F176">
        <v>5.53</v>
      </c>
      <c r="H176">
        <v>2.2309999999999999</v>
      </c>
      <c r="I176">
        <v>1206388608</v>
      </c>
      <c r="J176" t="s">
        <v>50</v>
      </c>
    </row>
    <row r="177" spans="1:10">
      <c r="A177" s="10">
        <v>46161.888916122683</v>
      </c>
      <c r="B177" s="11">
        <v>46161</v>
      </c>
      <c r="C177" t="s">
        <v>10</v>
      </c>
      <c r="D177" t="s">
        <v>51</v>
      </c>
      <c r="E177" t="s">
        <v>12</v>
      </c>
      <c r="F177">
        <v>392.61</v>
      </c>
      <c r="G177">
        <v>33.729377999999997</v>
      </c>
      <c r="H177">
        <v>1.264</v>
      </c>
      <c r="I177">
        <v>2036232486912</v>
      </c>
      <c r="J177" t="s">
        <v>22</v>
      </c>
    </row>
    <row r="178" spans="1:10">
      <c r="A178" s="10">
        <v>46161.8889227662</v>
      </c>
      <c r="B178" s="11">
        <v>46161</v>
      </c>
      <c r="C178" t="s">
        <v>10</v>
      </c>
      <c r="D178" t="s">
        <v>52</v>
      </c>
      <c r="E178" t="s">
        <v>12</v>
      </c>
      <c r="F178">
        <v>45.53</v>
      </c>
      <c r="I178">
        <v>8175583744</v>
      </c>
      <c r="J178" t="s">
        <v>53</v>
      </c>
    </row>
    <row r="179" spans="1:10">
      <c r="A179" s="10">
        <v>46161.888926585649</v>
      </c>
      <c r="B179" s="11">
        <v>46161</v>
      </c>
      <c r="C179" t="s">
        <v>10</v>
      </c>
      <c r="D179" t="s">
        <v>54</v>
      </c>
      <c r="E179" t="s">
        <v>12</v>
      </c>
      <c r="F179">
        <v>411.07</v>
      </c>
      <c r="G179">
        <v>80.130610000000004</v>
      </c>
      <c r="H179">
        <v>1.44</v>
      </c>
      <c r="I179">
        <v>1946280132608</v>
      </c>
      <c r="J179" t="s">
        <v>22</v>
      </c>
    </row>
    <row r="180" spans="1:10">
      <c r="A180" s="10">
        <v>46161.88893050926</v>
      </c>
      <c r="B180" s="11">
        <v>46161</v>
      </c>
      <c r="C180" t="s">
        <v>10</v>
      </c>
      <c r="D180" t="s">
        <v>55</v>
      </c>
      <c r="E180" t="s">
        <v>12</v>
      </c>
      <c r="F180">
        <v>34.25</v>
      </c>
      <c r="G180">
        <v>14.636753000000001</v>
      </c>
      <c r="H180">
        <v>3.3039999999999998</v>
      </c>
      <c r="I180">
        <v>1685257600</v>
      </c>
      <c r="J180" t="s">
        <v>22</v>
      </c>
    </row>
    <row r="181" spans="1:10">
      <c r="A181" s="10">
        <v>46161.88893429398</v>
      </c>
      <c r="B181" s="11">
        <v>46161</v>
      </c>
      <c r="C181" t="s">
        <v>10</v>
      </c>
      <c r="D181" t="s">
        <v>56</v>
      </c>
      <c r="E181" t="s">
        <v>12</v>
      </c>
      <c r="F181">
        <v>8.83</v>
      </c>
      <c r="H181">
        <v>1.9870000000000001</v>
      </c>
      <c r="I181">
        <v>1282921472</v>
      </c>
      <c r="J181" t="s">
        <v>13</v>
      </c>
    </row>
    <row r="182" spans="1:10">
      <c r="A182" s="10">
        <v>46161.888937824071</v>
      </c>
      <c r="B182" s="11">
        <v>46161</v>
      </c>
      <c r="C182" t="s">
        <v>10</v>
      </c>
      <c r="D182" t="s">
        <v>57</v>
      </c>
      <c r="E182" t="s">
        <v>12</v>
      </c>
      <c r="F182">
        <v>141.58000000000001</v>
      </c>
      <c r="G182">
        <v>48.652920000000002</v>
      </c>
      <c r="H182">
        <v>1.673</v>
      </c>
      <c r="I182">
        <v>178273206272</v>
      </c>
      <c r="J182" t="s">
        <v>29</v>
      </c>
    </row>
    <row r="183" spans="1:10">
      <c r="A183" s="10">
        <v>46161.888941712961</v>
      </c>
      <c r="B183" s="11">
        <v>46161</v>
      </c>
      <c r="C183" t="s">
        <v>10</v>
      </c>
      <c r="D183" t="s">
        <v>58</v>
      </c>
      <c r="E183" t="s">
        <v>12</v>
      </c>
      <c r="F183">
        <v>45.77</v>
      </c>
      <c r="G183">
        <v>19.559830000000002</v>
      </c>
      <c r="H183">
        <v>1.5069999999999999</v>
      </c>
      <c r="I183">
        <v>2698891776</v>
      </c>
      <c r="J183" t="s">
        <v>40</v>
      </c>
    </row>
    <row r="184" spans="1:10">
      <c r="A184" s="10">
        <v>46161.888945219907</v>
      </c>
      <c r="B184" s="11">
        <v>46161</v>
      </c>
      <c r="C184" t="s">
        <v>10</v>
      </c>
      <c r="D184" t="s">
        <v>59</v>
      </c>
      <c r="E184" t="s">
        <v>12</v>
      </c>
      <c r="F184">
        <v>220.61</v>
      </c>
      <c r="G184">
        <v>45.114519999999999</v>
      </c>
      <c r="H184">
        <v>2.2440000000000002</v>
      </c>
      <c r="I184">
        <v>5343290064896</v>
      </c>
      <c r="J184" t="s">
        <v>22</v>
      </c>
    </row>
    <row r="185" spans="1:10">
      <c r="A185" s="10">
        <v>46161.888948877313</v>
      </c>
      <c r="B185" s="11">
        <v>46161</v>
      </c>
      <c r="C185" t="s">
        <v>10</v>
      </c>
      <c r="D185" t="s">
        <v>60</v>
      </c>
      <c r="E185" t="s">
        <v>12</v>
      </c>
      <c r="F185">
        <v>74.16</v>
      </c>
      <c r="G185">
        <v>36.000003999999997</v>
      </c>
      <c r="H185">
        <v>2.294</v>
      </c>
      <c r="I185">
        <v>66781462528</v>
      </c>
      <c r="J185" t="s">
        <v>31</v>
      </c>
    </row>
    <row r="186" spans="1:10">
      <c r="A186" s="10">
        <v>46161.888952430563</v>
      </c>
      <c r="B186" s="11">
        <v>46161</v>
      </c>
      <c r="C186" t="s">
        <v>10</v>
      </c>
      <c r="D186" t="s">
        <v>61</v>
      </c>
      <c r="E186" t="s">
        <v>12</v>
      </c>
      <c r="F186">
        <v>13.88</v>
      </c>
      <c r="I186">
        <v>871516992</v>
      </c>
      <c r="J186" t="s">
        <v>62</v>
      </c>
    </row>
    <row r="187" spans="1:10">
      <c r="A187" s="10">
        <v>46161.888956168979</v>
      </c>
      <c r="B187" s="11">
        <v>46161</v>
      </c>
      <c r="C187" t="s">
        <v>10</v>
      </c>
      <c r="D187" t="s">
        <v>63</v>
      </c>
      <c r="E187" t="s">
        <v>12</v>
      </c>
      <c r="F187">
        <v>414.05</v>
      </c>
      <c r="G187">
        <v>138.47826000000001</v>
      </c>
      <c r="H187">
        <v>2.399</v>
      </c>
      <c r="I187">
        <v>675150168064</v>
      </c>
      <c r="J187" t="s">
        <v>22</v>
      </c>
    </row>
    <row r="188" spans="1:10">
      <c r="A188" s="10">
        <v>46161.888959664349</v>
      </c>
      <c r="B188" s="11">
        <v>46161</v>
      </c>
      <c r="C188" t="s">
        <v>10</v>
      </c>
      <c r="D188" t="s">
        <v>64</v>
      </c>
      <c r="E188" t="s">
        <v>12</v>
      </c>
      <c r="F188">
        <v>404.11</v>
      </c>
      <c r="G188">
        <v>364.06304999999998</v>
      </c>
      <c r="H188">
        <v>1.7929999999999999</v>
      </c>
      <c r="I188">
        <v>1517725417472</v>
      </c>
      <c r="J188" t="s">
        <v>65</v>
      </c>
    </row>
    <row r="189" spans="1:10">
      <c r="A189" s="10">
        <v>46161.888963159719</v>
      </c>
      <c r="B189" s="11">
        <v>46161</v>
      </c>
      <c r="C189" t="s">
        <v>10</v>
      </c>
      <c r="D189" t="s">
        <v>66</v>
      </c>
      <c r="E189" t="s">
        <v>12</v>
      </c>
      <c r="F189">
        <v>1459.44</v>
      </c>
      <c r="G189">
        <v>48.583218000000002</v>
      </c>
      <c r="H189">
        <v>1.373</v>
      </c>
      <c r="I189">
        <v>562493915136</v>
      </c>
      <c r="J189" t="s">
        <v>40</v>
      </c>
    </row>
    <row r="190" spans="1:10">
      <c r="A190" s="10">
        <v>46161.888966643521</v>
      </c>
      <c r="B190" s="11">
        <v>46161</v>
      </c>
      <c r="C190" t="s">
        <v>10</v>
      </c>
      <c r="D190" t="s">
        <v>67</v>
      </c>
      <c r="E190" t="s">
        <v>12</v>
      </c>
      <c r="F190">
        <v>698.74</v>
      </c>
      <c r="G190">
        <v>32.959429999999998</v>
      </c>
      <c r="H190">
        <v>1.919</v>
      </c>
      <c r="I190">
        <v>787992870912</v>
      </c>
      <c r="J190" t="s">
        <v>22</v>
      </c>
    </row>
    <row r="191" spans="1:10">
      <c r="A191" s="10">
        <v>46161.888970162043</v>
      </c>
      <c r="B191" s="11">
        <v>46161</v>
      </c>
      <c r="C191" t="s">
        <v>10</v>
      </c>
      <c r="D191" t="s">
        <v>68</v>
      </c>
      <c r="E191" t="s">
        <v>12</v>
      </c>
      <c r="F191">
        <v>3.84</v>
      </c>
      <c r="H191">
        <v>3.0510000000000002</v>
      </c>
      <c r="I191">
        <v>1839165824</v>
      </c>
      <c r="J191" t="s">
        <v>15</v>
      </c>
    </row>
    <row r="192" spans="1:10">
      <c r="A192" s="10">
        <v>46161.888973877307</v>
      </c>
      <c r="B192" s="11">
        <v>46161</v>
      </c>
      <c r="C192" t="s">
        <v>10</v>
      </c>
      <c r="D192" t="s">
        <v>69</v>
      </c>
      <c r="E192" t="s">
        <v>12</v>
      </c>
      <c r="F192">
        <v>168.99</v>
      </c>
      <c r="G192">
        <v>93.364649999999997</v>
      </c>
      <c r="H192">
        <v>3.1760000000000002</v>
      </c>
      <c r="I192">
        <v>31170195456</v>
      </c>
      <c r="J192" t="s">
        <v>22</v>
      </c>
    </row>
    <row r="193" spans="1:10">
      <c r="A193" s="10">
        <v>46161.888977546303</v>
      </c>
      <c r="B193" s="11">
        <v>46161</v>
      </c>
      <c r="C193" t="s">
        <v>10</v>
      </c>
      <c r="D193" t="s">
        <v>70</v>
      </c>
      <c r="E193" t="s">
        <v>12</v>
      </c>
      <c r="F193">
        <v>99.81</v>
      </c>
      <c r="I193">
        <v>54453379072</v>
      </c>
      <c r="J193" t="s">
        <v>13</v>
      </c>
    </row>
    <row r="194" spans="1:10">
      <c r="A194" s="10">
        <v>46161.888981689823</v>
      </c>
      <c r="B194" s="11">
        <v>46161</v>
      </c>
      <c r="C194" t="s">
        <v>10</v>
      </c>
      <c r="D194" t="s">
        <v>71</v>
      </c>
      <c r="E194" t="s">
        <v>12</v>
      </c>
      <c r="F194">
        <v>110.8</v>
      </c>
      <c r="H194">
        <v>2.19</v>
      </c>
      <c r="I194">
        <v>556880822272</v>
      </c>
      <c r="J194" t="s">
        <v>22</v>
      </c>
    </row>
    <row r="195" spans="1:10">
      <c r="A195" s="10">
        <v>46161.888985034719</v>
      </c>
      <c r="B195" s="11">
        <v>46161</v>
      </c>
      <c r="C195" t="s">
        <v>10</v>
      </c>
      <c r="D195" t="s">
        <v>72</v>
      </c>
      <c r="E195" t="s">
        <v>12</v>
      </c>
      <c r="F195">
        <v>30.56</v>
      </c>
      <c r="G195">
        <v>16.084211</v>
      </c>
      <c r="H195">
        <v>1.6839999999999999</v>
      </c>
      <c r="I195">
        <v>18379347968</v>
      </c>
      <c r="J195" t="s">
        <v>29</v>
      </c>
    </row>
    <row r="196" spans="1:10">
      <c r="A196" s="10">
        <v>46161.888988854167</v>
      </c>
      <c r="B196" s="11">
        <v>46161</v>
      </c>
      <c r="C196" t="s">
        <v>10</v>
      </c>
      <c r="D196" t="s">
        <v>73</v>
      </c>
      <c r="E196" t="s">
        <v>12</v>
      </c>
      <c r="F196">
        <v>171.33</v>
      </c>
      <c r="H196">
        <v>3.7589999999999999</v>
      </c>
      <c r="I196">
        <v>13747993600</v>
      </c>
      <c r="J196" t="s">
        <v>74</v>
      </c>
    </row>
    <row r="197" spans="1:10">
      <c r="A197" s="10">
        <v>46161.888992465283</v>
      </c>
      <c r="B197" s="11">
        <v>46161</v>
      </c>
      <c r="C197" t="s">
        <v>10</v>
      </c>
      <c r="D197" t="s">
        <v>75</v>
      </c>
      <c r="E197" t="s">
        <v>12</v>
      </c>
      <c r="F197">
        <v>81.135000000000005</v>
      </c>
      <c r="H197">
        <v>3.2709999999999999</v>
      </c>
      <c r="I197">
        <v>2551959808</v>
      </c>
      <c r="J197" t="s">
        <v>40</v>
      </c>
    </row>
    <row r="198" spans="1:10">
      <c r="A198" s="10">
        <v>46161.888996099537</v>
      </c>
      <c r="B198" s="11">
        <v>46161</v>
      </c>
      <c r="C198" t="s">
        <v>10</v>
      </c>
      <c r="D198" t="s">
        <v>76</v>
      </c>
      <c r="E198" t="s">
        <v>12</v>
      </c>
      <c r="F198">
        <v>11.59</v>
      </c>
      <c r="I198">
        <v>1785782912</v>
      </c>
      <c r="J198" t="s">
        <v>77</v>
      </c>
    </row>
    <row r="199" spans="1:10">
      <c r="A199" s="10">
        <v>46161.88899983796</v>
      </c>
      <c r="B199" s="11">
        <v>46161</v>
      </c>
      <c r="C199" t="s">
        <v>10</v>
      </c>
      <c r="D199" t="s">
        <v>78</v>
      </c>
      <c r="E199" t="s">
        <v>12</v>
      </c>
      <c r="F199">
        <v>223.15</v>
      </c>
      <c r="G199">
        <v>259.47674999999998</v>
      </c>
      <c r="H199">
        <v>3.4060000000000001</v>
      </c>
      <c r="I199">
        <v>237431275520</v>
      </c>
      <c r="J199" t="s">
        <v>22</v>
      </c>
    </row>
    <row r="200" spans="1:10">
      <c r="A200" s="10">
        <v>46161.889003310192</v>
      </c>
      <c r="B200" s="11">
        <v>46161</v>
      </c>
      <c r="C200" t="s">
        <v>10</v>
      </c>
      <c r="D200" t="s">
        <v>79</v>
      </c>
      <c r="E200" t="s">
        <v>12</v>
      </c>
      <c r="F200">
        <v>48.44</v>
      </c>
      <c r="G200">
        <v>124.20513</v>
      </c>
      <c r="H200">
        <v>3.052</v>
      </c>
      <c r="I200">
        <v>18081196032</v>
      </c>
      <c r="J200" t="s">
        <v>29</v>
      </c>
    </row>
    <row r="201" spans="1:10">
      <c r="A201" s="10">
        <v>46161.889006874997</v>
      </c>
      <c r="B201" s="11">
        <v>46161</v>
      </c>
      <c r="C201" t="s">
        <v>10</v>
      </c>
      <c r="D201" t="s">
        <v>80</v>
      </c>
      <c r="E201" t="s">
        <v>12</v>
      </c>
      <c r="F201">
        <v>13.07</v>
      </c>
      <c r="H201">
        <v>0.54300000000000004</v>
      </c>
      <c r="I201">
        <v>1995935104</v>
      </c>
      <c r="J201" t="s">
        <v>22</v>
      </c>
    </row>
    <row r="202" spans="1:10">
      <c r="A202" s="10">
        <v>46161.890524120368</v>
      </c>
      <c r="B202" s="11">
        <v>46161</v>
      </c>
      <c r="C202" t="s">
        <v>10</v>
      </c>
      <c r="D202" t="s">
        <v>11</v>
      </c>
      <c r="E202" t="s">
        <v>12</v>
      </c>
      <c r="F202">
        <v>10.55</v>
      </c>
      <c r="G202">
        <v>20.288464000000001</v>
      </c>
      <c r="H202">
        <v>0.90900000000000003</v>
      </c>
      <c r="I202">
        <v>5490677760</v>
      </c>
      <c r="J202" t="s">
        <v>13</v>
      </c>
    </row>
    <row r="203" spans="1:10">
      <c r="A203" s="10">
        <v>46161.890527615738</v>
      </c>
      <c r="B203" s="11">
        <v>46161</v>
      </c>
      <c r="C203" t="s">
        <v>10</v>
      </c>
      <c r="D203" t="s">
        <v>14</v>
      </c>
      <c r="E203" t="s">
        <v>12</v>
      </c>
      <c r="F203">
        <v>88.19</v>
      </c>
      <c r="G203">
        <v>78.741069999999993</v>
      </c>
      <c r="H203">
        <v>2.403</v>
      </c>
      <c r="I203">
        <v>2879876096</v>
      </c>
      <c r="J203" t="s">
        <v>15</v>
      </c>
    </row>
    <row r="204" spans="1:10">
      <c r="A204" s="10">
        <v>46161.890531145837</v>
      </c>
      <c r="B204" s="11">
        <v>46161</v>
      </c>
      <c r="C204" t="s">
        <v>10</v>
      </c>
      <c r="D204" t="s">
        <v>16</v>
      </c>
      <c r="E204" t="s">
        <v>12</v>
      </c>
      <c r="F204">
        <v>101.83</v>
      </c>
      <c r="G204">
        <v>60.613100000000003</v>
      </c>
      <c r="H204">
        <v>0.81899999999999995</v>
      </c>
      <c r="I204">
        <v>105018097664</v>
      </c>
      <c r="J204" t="s">
        <v>17</v>
      </c>
    </row>
    <row r="205" spans="1:10">
      <c r="A205" s="10">
        <v>46161.890534548613</v>
      </c>
      <c r="B205" s="11">
        <v>46161</v>
      </c>
      <c r="C205" t="s">
        <v>10</v>
      </c>
      <c r="D205" t="s">
        <v>18</v>
      </c>
      <c r="E205" t="s">
        <v>12</v>
      </c>
      <c r="F205">
        <v>22.52</v>
      </c>
      <c r="G205">
        <v>34.646155999999998</v>
      </c>
      <c r="H205">
        <v>1.325</v>
      </c>
      <c r="I205">
        <v>1724220928</v>
      </c>
      <c r="J205" t="s">
        <v>13</v>
      </c>
    </row>
    <row r="206" spans="1:10">
      <c r="A206" s="10">
        <v>46161.890537916668</v>
      </c>
      <c r="B206" s="11">
        <v>46161</v>
      </c>
      <c r="C206" t="s">
        <v>10</v>
      </c>
      <c r="D206" t="s">
        <v>19</v>
      </c>
      <c r="E206" t="s">
        <v>12</v>
      </c>
      <c r="F206">
        <v>254.99</v>
      </c>
      <c r="G206">
        <v>14.868221999999999</v>
      </c>
      <c r="H206">
        <v>1.417</v>
      </c>
      <c r="I206">
        <v>103066959872</v>
      </c>
      <c r="J206" t="s">
        <v>17</v>
      </c>
    </row>
    <row r="207" spans="1:10">
      <c r="A207" s="10">
        <v>46161.89054197917</v>
      </c>
      <c r="B207" s="11">
        <v>46161</v>
      </c>
      <c r="C207" t="s">
        <v>10</v>
      </c>
      <c r="D207" t="s">
        <v>20</v>
      </c>
      <c r="E207" t="s">
        <v>12</v>
      </c>
      <c r="F207">
        <v>100.09</v>
      </c>
      <c r="G207">
        <v>17.969479</v>
      </c>
      <c r="H207">
        <v>0.57899999999999996</v>
      </c>
      <c r="I207">
        <v>3524870144</v>
      </c>
      <c r="J207" t="s">
        <v>13</v>
      </c>
    </row>
    <row r="208" spans="1:10">
      <c r="A208" s="10">
        <v>46161.890545671296</v>
      </c>
      <c r="B208" s="11">
        <v>46161</v>
      </c>
      <c r="C208" t="s">
        <v>10</v>
      </c>
      <c r="D208" t="s">
        <v>21</v>
      </c>
      <c r="E208" t="s">
        <v>12</v>
      </c>
      <c r="F208">
        <v>70.349999999999994</v>
      </c>
      <c r="G208">
        <v>29.312498000000001</v>
      </c>
      <c r="H208">
        <v>1.476</v>
      </c>
      <c r="I208">
        <v>10581059584</v>
      </c>
      <c r="J208" t="s">
        <v>22</v>
      </c>
    </row>
    <row r="209" spans="1:10">
      <c r="A209" s="10">
        <v>46161.890549664349</v>
      </c>
      <c r="B209" s="11">
        <v>46161</v>
      </c>
      <c r="C209" t="s">
        <v>10</v>
      </c>
      <c r="D209" t="s">
        <v>23</v>
      </c>
      <c r="E209" t="s">
        <v>12</v>
      </c>
      <c r="F209">
        <v>417.42</v>
      </c>
      <c r="G209">
        <v>24.890877</v>
      </c>
      <c r="H209">
        <v>1.093</v>
      </c>
      <c r="I209">
        <v>3100777381888</v>
      </c>
      <c r="J209" t="s">
        <v>13</v>
      </c>
    </row>
    <row r="210" spans="1:10">
      <c r="A210" s="10">
        <v>46161.890553622688</v>
      </c>
      <c r="B210" s="11">
        <v>46161</v>
      </c>
      <c r="C210" t="s">
        <v>10</v>
      </c>
      <c r="D210" t="s">
        <v>24</v>
      </c>
      <c r="E210" t="s">
        <v>12</v>
      </c>
      <c r="F210">
        <v>476.9</v>
      </c>
      <c r="G210">
        <v>41.397568</v>
      </c>
      <c r="H210">
        <v>2.3660000000000001</v>
      </c>
      <c r="I210">
        <v>160209551360</v>
      </c>
      <c r="J210" t="s">
        <v>25</v>
      </c>
    </row>
    <row r="211" spans="1:10">
      <c r="A211" s="10">
        <v>46161.890557175917</v>
      </c>
      <c r="B211" s="11">
        <v>46161</v>
      </c>
      <c r="C211" t="s">
        <v>10</v>
      </c>
      <c r="D211" t="s">
        <v>26</v>
      </c>
      <c r="E211" t="s">
        <v>12</v>
      </c>
      <c r="F211">
        <v>215.15</v>
      </c>
      <c r="G211">
        <v>537.875</v>
      </c>
      <c r="H211">
        <v>1.2949999999999999</v>
      </c>
      <c r="I211">
        <v>76584837120</v>
      </c>
      <c r="J211" t="s">
        <v>17</v>
      </c>
    </row>
    <row r="212" spans="1:10">
      <c r="A212" s="10">
        <v>46161.890561168977</v>
      </c>
      <c r="B212" s="11">
        <v>46161</v>
      </c>
      <c r="C212" t="s">
        <v>10</v>
      </c>
      <c r="D212" t="s">
        <v>27</v>
      </c>
      <c r="E212" t="s">
        <v>12</v>
      </c>
      <c r="F212">
        <v>244.26</v>
      </c>
      <c r="G212">
        <v>163.93288000000001</v>
      </c>
      <c r="H212">
        <v>3.363</v>
      </c>
      <c r="I212">
        <v>41868099584</v>
      </c>
      <c r="J212" t="s">
        <v>22</v>
      </c>
    </row>
    <row r="213" spans="1:10">
      <c r="A213" s="10">
        <v>46161.890566793983</v>
      </c>
      <c r="B213" s="11">
        <v>46161</v>
      </c>
      <c r="C213" t="s">
        <v>10</v>
      </c>
      <c r="D213" t="s">
        <v>28</v>
      </c>
      <c r="E213" t="s">
        <v>12</v>
      </c>
      <c r="F213">
        <v>1383.29</v>
      </c>
      <c r="G213">
        <v>47.162975000000003</v>
      </c>
      <c r="I213">
        <v>204851085312</v>
      </c>
      <c r="J213" t="s">
        <v>29</v>
      </c>
    </row>
    <row r="214" spans="1:10">
      <c r="A214" s="10">
        <v>46161.890570601849</v>
      </c>
      <c r="B214" s="11">
        <v>46161</v>
      </c>
      <c r="C214" t="s">
        <v>10</v>
      </c>
      <c r="D214" t="s">
        <v>30</v>
      </c>
      <c r="E214" t="s">
        <v>12</v>
      </c>
      <c r="F214">
        <v>91.81</v>
      </c>
      <c r="G214">
        <v>18.252483000000002</v>
      </c>
      <c r="H214">
        <v>0.79700000000000004</v>
      </c>
      <c r="I214">
        <v>159670026240</v>
      </c>
      <c r="J214" t="s">
        <v>31</v>
      </c>
    </row>
    <row r="215" spans="1:10">
      <c r="A215" s="10">
        <v>46161.890574548612</v>
      </c>
      <c r="B215" s="11">
        <v>46161</v>
      </c>
      <c r="C215" t="s">
        <v>10</v>
      </c>
      <c r="D215" t="s">
        <v>32</v>
      </c>
      <c r="E215" t="s">
        <v>33</v>
      </c>
      <c r="F215">
        <v>908</v>
      </c>
      <c r="G215">
        <v>24.54054</v>
      </c>
      <c r="H215">
        <v>0.30399999999999999</v>
      </c>
      <c r="I215">
        <v>8206142464</v>
      </c>
      <c r="J215" t="s">
        <v>17</v>
      </c>
    </row>
    <row r="216" spans="1:10">
      <c r="A216" s="10">
        <v>46161.890578321763</v>
      </c>
      <c r="B216" s="11">
        <v>46161</v>
      </c>
      <c r="C216" t="s">
        <v>10</v>
      </c>
      <c r="D216" t="s">
        <v>34</v>
      </c>
      <c r="E216" t="s">
        <v>12</v>
      </c>
      <c r="F216">
        <v>222.33</v>
      </c>
      <c r="G216">
        <v>19.692647999999998</v>
      </c>
      <c r="H216">
        <v>0.58099999999999996</v>
      </c>
      <c r="I216">
        <v>208964698112</v>
      </c>
      <c r="J216" t="s">
        <v>15</v>
      </c>
    </row>
    <row r="217" spans="1:10">
      <c r="A217" s="10">
        <v>46161.890581990738</v>
      </c>
      <c r="B217" s="11">
        <v>46161</v>
      </c>
      <c r="C217" t="s">
        <v>10</v>
      </c>
      <c r="D217" t="s">
        <v>35</v>
      </c>
      <c r="E217" t="s">
        <v>12</v>
      </c>
      <c r="F217">
        <v>298.97000000000003</v>
      </c>
      <c r="G217">
        <v>36.238790000000002</v>
      </c>
      <c r="H217">
        <v>1.0649999999999999</v>
      </c>
      <c r="I217">
        <v>4391078723584</v>
      </c>
      <c r="J217" t="s">
        <v>36</v>
      </c>
    </row>
    <row r="218" spans="1:10">
      <c r="A218" s="10">
        <v>46161.890587592592</v>
      </c>
      <c r="B218" s="11">
        <v>46161</v>
      </c>
      <c r="C218" t="s">
        <v>10</v>
      </c>
      <c r="D218" t="s">
        <v>37</v>
      </c>
      <c r="E218" t="s">
        <v>12</v>
      </c>
      <c r="F218">
        <v>81.92</v>
      </c>
      <c r="G218">
        <v>25.761005000000001</v>
      </c>
      <c r="H218">
        <v>0.35599999999999998</v>
      </c>
      <c r="I218">
        <v>352459358208</v>
      </c>
      <c r="J218" t="s">
        <v>38</v>
      </c>
    </row>
    <row r="219" spans="1:10">
      <c r="A219" s="10">
        <v>46161.890591215277</v>
      </c>
      <c r="B219" s="11">
        <v>46161</v>
      </c>
      <c r="C219" t="s">
        <v>10</v>
      </c>
      <c r="D219" t="s">
        <v>39</v>
      </c>
      <c r="E219" t="s">
        <v>12</v>
      </c>
      <c r="F219">
        <v>76.69</v>
      </c>
      <c r="H219">
        <v>2.1640000000000001</v>
      </c>
      <c r="I219">
        <v>3363737344</v>
      </c>
      <c r="J219" t="s">
        <v>40</v>
      </c>
    </row>
    <row r="220" spans="1:10">
      <c r="A220" s="10">
        <v>46161.890595092591</v>
      </c>
      <c r="B220" s="11">
        <v>46161</v>
      </c>
      <c r="C220" t="s">
        <v>10</v>
      </c>
      <c r="D220" t="s">
        <v>41</v>
      </c>
      <c r="E220" t="s">
        <v>12</v>
      </c>
      <c r="F220">
        <v>602.61</v>
      </c>
      <c r="G220">
        <v>21.91309</v>
      </c>
      <c r="H220">
        <v>1.2430000000000001</v>
      </c>
      <c r="I220">
        <v>1529679183872</v>
      </c>
      <c r="J220" t="s">
        <v>42</v>
      </c>
    </row>
    <row r="221" spans="1:10">
      <c r="A221" s="10">
        <v>46161.890598715283</v>
      </c>
      <c r="B221" s="11">
        <v>46161</v>
      </c>
      <c r="C221" t="s">
        <v>10</v>
      </c>
      <c r="D221" t="s">
        <v>43</v>
      </c>
      <c r="E221" t="s">
        <v>12</v>
      </c>
      <c r="F221">
        <v>8.4499999999999993</v>
      </c>
      <c r="H221">
        <v>2.7629999999999999</v>
      </c>
      <c r="I221">
        <v>3656903424</v>
      </c>
      <c r="J221" t="s">
        <v>17</v>
      </c>
    </row>
    <row r="222" spans="1:10">
      <c r="A222" s="10">
        <v>46161.890602222222</v>
      </c>
      <c r="B222" s="11">
        <v>46161</v>
      </c>
      <c r="C222" t="s">
        <v>10</v>
      </c>
      <c r="D222" t="s">
        <v>44</v>
      </c>
      <c r="E222" t="s">
        <v>12</v>
      </c>
      <c r="F222">
        <v>181.46</v>
      </c>
      <c r="G222">
        <v>32.636691999999996</v>
      </c>
      <c r="H222">
        <v>1.544</v>
      </c>
      <c r="I222">
        <v>521887350784</v>
      </c>
      <c r="J222" t="s">
        <v>13</v>
      </c>
    </row>
    <row r="223" spans="1:10">
      <c r="A223" s="10">
        <v>46161.890605925917</v>
      </c>
      <c r="B223" s="11">
        <v>46161</v>
      </c>
      <c r="C223" t="s">
        <v>10</v>
      </c>
      <c r="D223" t="s">
        <v>45</v>
      </c>
      <c r="E223" t="s">
        <v>12</v>
      </c>
      <c r="F223">
        <v>384.9</v>
      </c>
      <c r="G223">
        <v>29.404125000000001</v>
      </c>
      <c r="H223">
        <v>1.2669999999999999</v>
      </c>
      <c r="I223">
        <v>4663234002944</v>
      </c>
      <c r="J223" t="s">
        <v>42</v>
      </c>
    </row>
    <row r="224" spans="1:10">
      <c r="A224" s="10">
        <v>46161.89060943287</v>
      </c>
      <c r="B224" s="11">
        <v>46161</v>
      </c>
      <c r="C224" t="s">
        <v>10</v>
      </c>
      <c r="D224" t="s">
        <v>46</v>
      </c>
      <c r="E224" t="s">
        <v>12</v>
      </c>
      <c r="F224">
        <v>259.33999999999997</v>
      </c>
      <c r="G224">
        <v>30.984468</v>
      </c>
      <c r="H224">
        <v>1.468</v>
      </c>
      <c r="I224">
        <v>2789748768768</v>
      </c>
      <c r="J224" t="s">
        <v>47</v>
      </c>
    </row>
    <row r="225" spans="1:10">
      <c r="A225" s="10">
        <v>46161.890613171287</v>
      </c>
      <c r="B225" s="11">
        <v>46161</v>
      </c>
      <c r="C225" t="s">
        <v>10</v>
      </c>
      <c r="D225" t="s">
        <v>48</v>
      </c>
      <c r="E225" t="s">
        <v>12</v>
      </c>
      <c r="F225">
        <v>176.27</v>
      </c>
      <c r="G225">
        <v>57.416943000000003</v>
      </c>
      <c r="H225">
        <v>2.2509999999999999</v>
      </c>
      <c r="I225">
        <v>154333757440</v>
      </c>
      <c r="J225" t="s">
        <v>22</v>
      </c>
    </row>
    <row r="226" spans="1:10">
      <c r="A226" s="10">
        <v>46161.890616712961</v>
      </c>
      <c r="B226" s="11">
        <v>46161</v>
      </c>
      <c r="C226" t="s">
        <v>10</v>
      </c>
      <c r="D226" t="s">
        <v>49</v>
      </c>
      <c r="E226" t="s">
        <v>12</v>
      </c>
      <c r="F226">
        <v>5.53</v>
      </c>
      <c r="H226">
        <v>2.2309999999999999</v>
      </c>
      <c r="I226">
        <v>1206388608</v>
      </c>
      <c r="J226" t="s">
        <v>50</v>
      </c>
    </row>
    <row r="227" spans="1:10">
      <c r="A227" s="10">
        <v>46161.890620254628</v>
      </c>
      <c r="B227" s="11">
        <v>46161</v>
      </c>
      <c r="C227" t="s">
        <v>10</v>
      </c>
      <c r="D227" t="s">
        <v>51</v>
      </c>
      <c r="E227" t="s">
        <v>12</v>
      </c>
      <c r="F227">
        <v>392.61</v>
      </c>
      <c r="G227">
        <v>33.729377999999997</v>
      </c>
      <c r="H227">
        <v>1.264</v>
      </c>
      <c r="I227">
        <v>2036232486912</v>
      </c>
      <c r="J227" t="s">
        <v>22</v>
      </c>
    </row>
    <row r="228" spans="1:10">
      <c r="A228" s="10">
        <v>46161.890623703701</v>
      </c>
      <c r="B228" s="11">
        <v>46161</v>
      </c>
      <c r="C228" t="s">
        <v>10</v>
      </c>
      <c r="D228" t="s">
        <v>52</v>
      </c>
      <c r="E228" t="s">
        <v>12</v>
      </c>
      <c r="F228">
        <v>45.53</v>
      </c>
      <c r="I228">
        <v>8175583744</v>
      </c>
      <c r="J228" t="s">
        <v>53</v>
      </c>
    </row>
    <row r="229" spans="1:10">
      <c r="A229" s="10">
        <v>46161.890627199071</v>
      </c>
      <c r="B229" s="11">
        <v>46161</v>
      </c>
      <c r="C229" t="s">
        <v>10</v>
      </c>
      <c r="D229" t="s">
        <v>54</v>
      </c>
      <c r="E229" t="s">
        <v>12</v>
      </c>
      <c r="F229">
        <v>411.07</v>
      </c>
      <c r="G229">
        <v>80.130610000000004</v>
      </c>
      <c r="H229">
        <v>1.44</v>
      </c>
      <c r="I229">
        <v>1946280132608</v>
      </c>
      <c r="J229" t="s">
        <v>22</v>
      </c>
    </row>
    <row r="230" spans="1:10">
      <c r="A230" s="10">
        <v>46161.890630752307</v>
      </c>
      <c r="B230" s="11">
        <v>46161</v>
      </c>
      <c r="C230" t="s">
        <v>10</v>
      </c>
      <c r="D230" t="s">
        <v>55</v>
      </c>
      <c r="E230" t="s">
        <v>12</v>
      </c>
      <c r="F230">
        <v>34.25</v>
      </c>
      <c r="G230">
        <v>14.636753000000001</v>
      </c>
      <c r="H230">
        <v>3.3039999999999998</v>
      </c>
      <c r="I230">
        <v>1685257600</v>
      </c>
      <c r="J230" t="s">
        <v>22</v>
      </c>
    </row>
    <row r="231" spans="1:10">
      <c r="A231" s="10">
        <v>46161.890634212963</v>
      </c>
      <c r="B231" s="11">
        <v>46161</v>
      </c>
      <c r="C231" t="s">
        <v>10</v>
      </c>
      <c r="D231" t="s">
        <v>56</v>
      </c>
      <c r="E231" t="s">
        <v>12</v>
      </c>
      <c r="F231">
        <v>8.83</v>
      </c>
      <c r="H231">
        <v>1.9870000000000001</v>
      </c>
      <c r="I231">
        <v>1282921472</v>
      </c>
      <c r="J231" t="s">
        <v>13</v>
      </c>
    </row>
    <row r="232" spans="1:10">
      <c r="A232" s="10">
        <v>46161.890637615739</v>
      </c>
      <c r="B232" s="11">
        <v>46161</v>
      </c>
      <c r="C232" t="s">
        <v>10</v>
      </c>
      <c r="D232" t="s">
        <v>57</v>
      </c>
      <c r="E232" t="s">
        <v>12</v>
      </c>
      <c r="F232">
        <v>141.58000000000001</v>
      </c>
      <c r="G232">
        <v>48.652920000000002</v>
      </c>
      <c r="H232">
        <v>1.673</v>
      </c>
      <c r="I232">
        <v>178273206272</v>
      </c>
      <c r="J232" t="s">
        <v>29</v>
      </c>
    </row>
    <row r="233" spans="1:10">
      <c r="A233" s="10">
        <v>46161.89064125</v>
      </c>
      <c r="B233" s="11">
        <v>46161</v>
      </c>
      <c r="C233" t="s">
        <v>10</v>
      </c>
      <c r="D233" t="s">
        <v>58</v>
      </c>
      <c r="E233" t="s">
        <v>12</v>
      </c>
      <c r="F233">
        <v>45.77</v>
      </c>
      <c r="G233">
        <v>19.559830000000002</v>
      </c>
      <c r="H233">
        <v>1.5069999999999999</v>
      </c>
      <c r="I233">
        <v>2698891776</v>
      </c>
      <c r="J233" t="s">
        <v>40</v>
      </c>
    </row>
    <row r="234" spans="1:10">
      <c r="A234" s="10">
        <v>46161.890644594911</v>
      </c>
      <c r="B234" s="11">
        <v>46161</v>
      </c>
      <c r="C234" t="s">
        <v>10</v>
      </c>
      <c r="D234" t="s">
        <v>59</v>
      </c>
      <c r="E234" t="s">
        <v>12</v>
      </c>
      <c r="F234">
        <v>220.61</v>
      </c>
      <c r="G234">
        <v>45.114519999999999</v>
      </c>
      <c r="H234">
        <v>2.2440000000000002</v>
      </c>
      <c r="I234">
        <v>5343290064896</v>
      </c>
      <c r="J234" t="s">
        <v>22</v>
      </c>
    </row>
    <row r="235" spans="1:10">
      <c r="A235" s="10">
        <v>46161.890648263892</v>
      </c>
      <c r="B235" s="11">
        <v>46161</v>
      </c>
      <c r="C235" t="s">
        <v>10</v>
      </c>
      <c r="D235" t="s">
        <v>60</v>
      </c>
      <c r="E235" t="s">
        <v>12</v>
      </c>
      <c r="F235">
        <v>74.16</v>
      </c>
      <c r="G235">
        <v>36.000003999999997</v>
      </c>
      <c r="H235">
        <v>2.294</v>
      </c>
      <c r="I235">
        <v>66781462528</v>
      </c>
      <c r="J235" t="s">
        <v>31</v>
      </c>
    </row>
    <row r="236" spans="1:10">
      <c r="A236" s="10">
        <v>46161.890651793983</v>
      </c>
      <c r="B236" s="11">
        <v>46161</v>
      </c>
      <c r="C236" t="s">
        <v>10</v>
      </c>
      <c r="D236" t="s">
        <v>61</v>
      </c>
      <c r="E236" t="s">
        <v>12</v>
      </c>
      <c r="F236">
        <v>13.88</v>
      </c>
      <c r="I236">
        <v>871516992</v>
      </c>
      <c r="J236" t="s">
        <v>62</v>
      </c>
    </row>
    <row r="237" spans="1:10">
      <c r="A237" s="10">
        <v>46161.890655370371</v>
      </c>
      <c r="B237" s="11">
        <v>46161</v>
      </c>
      <c r="C237" t="s">
        <v>10</v>
      </c>
      <c r="D237" t="s">
        <v>63</v>
      </c>
      <c r="E237" t="s">
        <v>12</v>
      </c>
      <c r="F237">
        <v>414.05</v>
      </c>
      <c r="G237">
        <v>138.47826000000001</v>
      </c>
      <c r="H237">
        <v>2.399</v>
      </c>
      <c r="I237">
        <v>675150168064</v>
      </c>
      <c r="J237" t="s">
        <v>22</v>
      </c>
    </row>
    <row r="238" spans="1:10">
      <c r="A238" s="10">
        <v>46161.890658854158</v>
      </c>
      <c r="B238" s="11">
        <v>46161</v>
      </c>
      <c r="C238" t="s">
        <v>10</v>
      </c>
      <c r="D238" t="s">
        <v>64</v>
      </c>
      <c r="E238" t="s">
        <v>12</v>
      </c>
      <c r="F238">
        <v>404.11</v>
      </c>
      <c r="G238">
        <v>364.06304999999998</v>
      </c>
      <c r="H238">
        <v>1.7929999999999999</v>
      </c>
      <c r="I238">
        <v>1517725417472</v>
      </c>
      <c r="J238" t="s">
        <v>65</v>
      </c>
    </row>
    <row r="239" spans="1:10">
      <c r="A239" s="10">
        <v>46161.890662488433</v>
      </c>
      <c r="B239" s="11">
        <v>46161</v>
      </c>
      <c r="C239" t="s">
        <v>10</v>
      </c>
      <c r="D239" t="s">
        <v>66</v>
      </c>
      <c r="E239" t="s">
        <v>12</v>
      </c>
      <c r="F239">
        <v>1459.44</v>
      </c>
      <c r="G239">
        <v>48.583218000000002</v>
      </c>
      <c r="H239">
        <v>1.373</v>
      </c>
      <c r="I239">
        <v>562493915136</v>
      </c>
      <c r="J239" t="s">
        <v>40</v>
      </c>
    </row>
    <row r="240" spans="1:10">
      <c r="A240" s="10">
        <v>46161.890666099527</v>
      </c>
      <c r="B240" s="11">
        <v>46161</v>
      </c>
      <c r="C240" t="s">
        <v>10</v>
      </c>
      <c r="D240" t="s">
        <v>67</v>
      </c>
      <c r="E240" t="s">
        <v>12</v>
      </c>
      <c r="F240">
        <v>698.74</v>
      </c>
      <c r="G240">
        <v>32.959429999999998</v>
      </c>
      <c r="H240">
        <v>1.919</v>
      </c>
      <c r="I240">
        <v>787992870912</v>
      </c>
      <c r="J240" t="s">
        <v>22</v>
      </c>
    </row>
    <row r="241" spans="1:10">
      <c r="A241" s="10">
        <v>46161.890669618057</v>
      </c>
      <c r="B241" s="11">
        <v>46161</v>
      </c>
      <c r="C241" t="s">
        <v>10</v>
      </c>
      <c r="D241" t="s">
        <v>68</v>
      </c>
      <c r="E241" t="s">
        <v>12</v>
      </c>
      <c r="F241">
        <v>3.84</v>
      </c>
      <c r="H241">
        <v>3.0510000000000002</v>
      </c>
      <c r="I241">
        <v>1839165824</v>
      </c>
      <c r="J241" t="s">
        <v>15</v>
      </c>
    </row>
    <row r="242" spans="1:10">
      <c r="A242" s="10">
        <v>46161.89067320602</v>
      </c>
      <c r="B242" s="11">
        <v>46161</v>
      </c>
      <c r="C242" t="s">
        <v>10</v>
      </c>
      <c r="D242" t="s">
        <v>69</v>
      </c>
      <c r="E242" t="s">
        <v>12</v>
      </c>
      <c r="F242">
        <v>168.99</v>
      </c>
      <c r="G242">
        <v>93.364649999999997</v>
      </c>
      <c r="H242">
        <v>3.1760000000000002</v>
      </c>
      <c r="I242">
        <v>31170195456</v>
      </c>
      <c r="J242" t="s">
        <v>22</v>
      </c>
    </row>
    <row r="243" spans="1:10">
      <c r="A243" s="10">
        <v>46161.890677291667</v>
      </c>
      <c r="B243" s="11">
        <v>46161</v>
      </c>
      <c r="C243" t="s">
        <v>10</v>
      </c>
      <c r="D243" t="s">
        <v>70</v>
      </c>
      <c r="E243" t="s">
        <v>12</v>
      </c>
      <c r="F243">
        <v>99.81</v>
      </c>
      <c r="I243">
        <v>54453379072</v>
      </c>
      <c r="J243" t="s">
        <v>13</v>
      </c>
    </row>
    <row r="244" spans="1:10">
      <c r="A244" s="10">
        <v>46161.890681238423</v>
      </c>
      <c r="B244" s="11">
        <v>46161</v>
      </c>
      <c r="C244" t="s">
        <v>10</v>
      </c>
      <c r="D244" t="s">
        <v>71</v>
      </c>
      <c r="E244" t="s">
        <v>12</v>
      </c>
      <c r="F244">
        <v>110.8</v>
      </c>
      <c r="H244">
        <v>2.19</v>
      </c>
      <c r="I244">
        <v>556880822272</v>
      </c>
      <c r="J244" t="s">
        <v>22</v>
      </c>
    </row>
    <row r="245" spans="1:10">
      <c r="A245" s="10">
        <v>46161.890684791673</v>
      </c>
      <c r="B245" s="11">
        <v>46161</v>
      </c>
      <c r="C245" t="s">
        <v>10</v>
      </c>
      <c r="D245" t="s">
        <v>72</v>
      </c>
      <c r="E245" t="s">
        <v>12</v>
      </c>
      <c r="F245">
        <v>30.56</v>
      </c>
      <c r="G245">
        <v>16.084211</v>
      </c>
      <c r="H245">
        <v>1.6839999999999999</v>
      </c>
      <c r="I245">
        <v>18379347968</v>
      </c>
      <c r="J245" t="s">
        <v>29</v>
      </c>
    </row>
    <row r="246" spans="1:10">
      <c r="A246" s="10">
        <v>46161.890688495369</v>
      </c>
      <c r="B246" s="11">
        <v>46161</v>
      </c>
      <c r="C246" t="s">
        <v>10</v>
      </c>
      <c r="D246" t="s">
        <v>73</v>
      </c>
      <c r="E246" t="s">
        <v>12</v>
      </c>
      <c r="F246">
        <v>171.33</v>
      </c>
      <c r="H246">
        <v>3.7589999999999999</v>
      </c>
      <c r="I246">
        <v>13747993600</v>
      </c>
      <c r="J246" t="s">
        <v>74</v>
      </c>
    </row>
    <row r="247" spans="1:10">
      <c r="A247" s="10">
        <v>46161.890692106477</v>
      </c>
      <c r="B247" s="11">
        <v>46161</v>
      </c>
      <c r="C247" t="s">
        <v>10</v>
      </c>
      <c r="D247" t="s">
        <v>75</v>
      </c>
      <c r="E247" t="s">
        <v>12</v>
      </c>
      <c r="F247">
        <v>81.135000000000005</v>
      </c>
      <c r="H247">
        <v>3.2709999999999999</v>
      </c>
      <c r="I247">
        <v>2551959808</v>
      </c>
      <c r="J247" t="s">
        <v>40</v>
      </c>
    </row>
    <row r="248" spans="1:10">
      <c r="A248" s="10">
        <v>46161.890695671304</v>
      </c>
      <c r="B248" s="11">
        <v>46161</v>
      </c>
      <c r="C248" t="s">
        <v>10</v>
      </c>
      <c r="D248" t="s">
        <v>76</v>
      </c>
      <c r="E248" t="s">
        <v>12</v>
      </c>
      <c r="F248">
        <v>11.59</v>
      </c>
      <c r="I248">
        <v>1785782912</v>
      </c>
      <c r="J248" t="s">
        <v>77</v>
      </c>
    </row>
    <row r="249" spans="1:10">
      <c r="A249" s="10">
        <v>46161.89069954861</v>
      </c>
      <c r="B249" s="11">
        <v>46161</v>
      </c>
      <c r="C249" t="s">
        <v>10</v>
      </c>
      <c r="D249" t="s">
        <v>78</v>
      </c>
      <c r="E249" t="s">
        <v>12</v>
      </c>
      <c r="F249">
        <v>223.15</v>
      </c>
      <c r="G249">
        <v>259.47674999999998</v>
      </c>
      <c r="H249">
        <v>3.4060000000000001</v>
      </c>
      <c r="I249">
        <v>237431275520</v>
      </c>
      <c r="J249" t="s">
        <v>22</v>
      </c>
    </row>
    <row r="250" spans="1:10">
      <c r="A250" s="10">
        <v>46161.890703159719</v>
      </c>
      <c r="B250" s="11">
        <v>46161</v>
      </c>
      <c r="C250" t="s">
        <v>10</v>
      </c>
      <c r="D250" t="s">
        <v>79</v>
      </c>
      <c r="E250" t="s">
        <v>12</v>
      </c>
      <c r="F250">
        <v>48.44</v>
      </c>
      <c r="G250">
        <v>124.20513</v>
      </c>
      <c r="H250">
        <v>3.052</v>
      </c>
      <c r="I250">
        <v>18081196032</v>
      </c>
      <c r="J250" t="s">
        <v>29</v>
      </c>
    </row>
    <row r="251" spans="1:10">
      <c r="A251" s="10">
        <v>46161.890706817132</v>
      </c>
      <c r="B251" s="11">
        <v>46161</v>
      </c>
      <c r="C251" t="s">
        <v>10</v>
      </c>
      <c r="D251" t="s">
        <v>80</v>
      </c>
      <c r="E251" t="s">
        <v>12</v>
      </c>
      <c r="F251">
        <v>13.07</v>
      </c>
      <c r="H251">
        <v>0.54300000000000004</v>
      </c>
      <c r="I251">
        <v>1995935104</v>
      </c>
      <c r="J251" t="s">
        <v>22</v>
      </c>
    </row>
    <row r="252" spans="1:10">
      <c r="A252" s="10">
        <v>46161.909429039362</v>
      </c>
      <c r="B252" s="11">
        <v>46161</v>
      </c>
      <c r="C252" t="s">
        <v>10</v>
      </c>
      <c r="D252" t="s">
        <v>11</v>
      </c>
      <c r="E252" t="s">
        <v>12</v>
      </c>
      <c r="F252">
        <v>10.55</v>
      </c>
      <c r="G252">
        <v>20.288464000000001</v>
      </c>
      <c r="H252">
        <v>0.90900000000000003</v>
      </c>
      <c r="I252">
        <v>5490677760</v>
      </c>
      <c r="J252" t="s">
        <v>13</v>
      </c>
    </row>
    <row r="253" spans="1:10">
      <c r="A253" s="10">
        <v>46161.909432812499</v>
      </c>
      <c r="B253" s="11">
        <v>46161</v>
      </c>
      <c r="C253" t="s">
        <v>10</v>
      </c>
      <c r="D253" t="s">
        <v>14</v>
      </c>
      <c r="E253" t="s">
        <v>12</v>
      </c>
      <c r="F253">
        <v>88.19</v>
      </c>
      <c r="G253">
        <v>78.741069999999993</v>
      </c>
      <c r="H253">
        <v>2.403</v>
      </c>
      <c r="I253">
        <v>2879876096</v>
      </c>
      <c r="J253" t="s">
        <v>15</v>
      </c>
    </row>
    <row r="254" spans="1:10">
      <c r="A254" s="10">
        <v>46161.909436331021</v>
      </c>
      <c r="B254" s="11">
        <v>46161</v>
      </c>
      <c r="C254" t="s">
        <v>10</v>
      </c>
      <c r="D254" t="s">
        <v>16</v>
      </c>
      <c r="E254" t="s">
        <v>12</v>
      </c>
      <c r="F254">
        <v>101.83</v>
      </c>
      <c r="G254">
        <v>60.613100000000003</v>
      </c>
      <c r="H254">
        <v>0.81899999999999995</v>
      </c>
      <c r="I254">
        <v>105018097664</v>
      </c>
      <c r="J254" t="s">
        <v>17</v>
      </c>
    </row>
    <row r="255" spans="1:10">
      <c r="A255" s="10">
        <v>46161.909441805547</v>
      </c>
      <c r="B255" s="11">
        <v>46161</v>
      </c>
      <c r="C255" t="s">
        <v>10</v>
      </c>
      <c r="D255" t="s">
        <v>18</v>
      </c>
      <c r="E255" t="s">
        <v>12</v>
      </c>
      <c r="F255">
        <v>22.52</v>
      </c>
      <c r="G255">
        <v>34.646155999999998</v>
      </c>
      <c r="H255">
        <v>1.325</v>
      </c>
      <c r="I255">
        <v>1724220928</v>
      </c>
      <c r="J255" t="s">
        <v>13</v>
      </c>
    </row>
    <row r="256" spans="1:10">
      <c r="A256" s="10">
        <v>46161.909445219913</v>
      </c>
      <c r="B256" s="11">
        <v>46161</v>
      </c>
      <c r="C256" t="s">
        <v>10</v>
      </c>
      <c r="D256" t="s">
        <v>19</v>
      </c>
      <c r="E256" t="s">
        <v>12</v>
      </c>
      <c r="F256">
        <v>254.99</v>
      </c>
      <c r="G256">
        <v>14.868221999999999</v>
      </c>
      <c r="H256">
        <v>1.417</v>
      </c>
      <c r="I256">
        <v>103066959872</v>
      </c>
      <c r="J256" t="s">
        <v>17</v>
      </c>
    </row>
    <row r="257" spans="1:10">
      <c r="A257" s="10">
        <v>46161.909448726852</v>
      </c>
      <c r="B257" s="11">
        <v>46161</v>
      </c>
      <c r="C257" t="s">
        <v>10</v>
      </c>
      <c r="D257" t="s">
        <v>20</v>
      </c>
      <c r="E257" t="s">
        <v>12</v>
      </c>
      <c r="F257">
        <v>100.09</v>
      </c>
      <c r="G257">
        <v>17.969479</v>
      </c>
      <c r="H257">
        <v>0.57899999999999996</v>
      </c>
      <c r="I257">
        <v>3524870144</v>
      </c>
      <c r="J257" t="s">
        <v>13</v>
      </c>
    </row>
    <row r="258" spans="1:10">
      <c r="A258" s="10">
        <v>46161.909454375003</v>
      </c>
      <c r="B258" s="11">
        <v>46161</v>
      </c>
      <c r="C258" t="s">
        <v>10</v>
      </c>
      <c r="D258" t="s">
        <v>21</v>
      </c>
      <c r="E258" t="s">
        <v>12</v>
      </c>
      <c r="F258">
        <v>70.349999999999994</v>
      </c>
      <c r="G258">
        <v>29.312498000000001</v>
      </c>
      <c r="H258">
        <v>1.476</v>
      </c>
      <c r="I258">
        <v>10581059584</v>
      </c>
      <c r="J258" t="s">
        <v>22</v>
      </c>
    </row>
    <row r="259" spans="1:10">
      <c r="A259" s="10">
        <v>46161.909458263894</v>
      </c>
      <c r="B259" s="11">
        <v>46161</v>
      </c>
      <c r="C259" t="s">
        <v>10</v>
      </c>
      <c r="D259" t="s">
        <v>23</v>
      </c>
      <c r="E259" t="s">
        <v>12</v>
      </c>
      <c r="F259">
        <v>417.42</v>
      </c>
      <c r="G259">
        <v>24.890877</v>
      </c>
      <c r="H259">
        <v>1.093</v>
      </c>
      <c r="I259">
        <v>3100777381888</v>
      </c>
      <c r="J259" t="s">
        <v>13</v>
      </c>
    </row>
    <row r="260" spans="1:10">
      <c r="A260" s="10">
        <v>46161.909461805553</v>
      </c>
      <c r="B260" s="11">
        <v>46161</v>
      </c>
      <c r="C260" t="s">
        <v>10</v>
      </c>
      <c r="D260" t="s">
        <v>24</v>
      </c>
      <c r="E260" t="s">
        <v>12</v>
      </c>
      <c r="F260">
        <v>476.9</v>
      </c>
      <c r="G260">
        <v>41.397568</v>
      </c>
      <c r="H260">
        <v>2.3660000000000001</v>
      </c>
      <c r="I260">
        <v>160209551360</v>
      </c>
      <c r="J260" t="s">
        <v>25</v>
      </c>
    </row>
    <row r="261" spans="1:10">
      <c r="A261" s="10">
        <v>46161.909465266202</v>
      </c>
      <c r="B261" s="11">
        <v>46161</v>
      </c>
      <c r="C261" t="s">
        <v>10</v>
      </c>
      <c r="D261" t="s">
        <v>26</v>
      </c>
      <c r="E261" t="s">
        <v>12</v>
      </c>
      <c r="F261">
        <v>215.15</v>
      </c>
      <c r="G261">
        <v>537.875</v>
      </c>
      <c r="H261">
        <v>1.2949999999999999</v>
      </c>
      <c r="I261">
        <v>76584837120</v>
      </c>
      <c r="J261" t="s">
        <v>17</v>
      </c>
    </row>
    <row r="262" spans="1:10">
      <c r="A262" s="10">
        <v>46161.909468622682</v>
      </c>
      <c r="B262" s="11">
        <v>46161</v>
      </c>
      <c r="C262" t="s">
        <v>10</v>
      </c>
      <c r="D262" t="s">
        <v>27</v>
      </c>
      <c r="E262" t="s">
        <v>12</v>
      </c>
      <c r="F262">
        <v>244.26</v>
      </c>
      <c r="G262">
        <v>163.93288000000001</v>
      </c>
      <c r="H262">
        <v>3.363</v>
      </c>
      <c r="I262">
        <v>41868099584</v>
      </c>
      <c r="J262" t="s">
        <v>22</v>
      </c>
    </row>
    <row r="263" spans="1:10">
      <c r="A263" s="10">
        <v>46161.909472141197</v>
      </c>
      <c r="B263" s="11">
        <v>46161</v>
      </c>
      <c r="C263" t="s">
        <v>10</v>
      </c>
      <c r="D263" t="s">
        <v>28</v>
      </c>
      <c r="E263" t="s">
        <v>12</v>
      </c>
      <c r="F263">
        <v>1383.29</v>
      </c>
      <c r="G263">
        <v>47.162975000000003</v>
      </c>
      <c r="I263">
        <v>204851085312</v>
      </c>
      <c r="J263" t="s">
        <v>29</v>
      </c>
    </row>
    <row r="264" spans="1:10">
      <c r="A264" s="10">
        <v>46161.909475497683</v>
      </c>
      <c r="B264" s="11">
        <v>46161</v>
      </c>
      <c r="C264" t="s">
        <v>10</v>
      </c>
      <c r="D264" t="s">
        <v>30</v>
      </c>
      <c r="E264" t="s">
        <v>12</v>
      </c>
      <c r="F264">
        <v>91.81</v>
      </c>
      <c r="G264">
        <v>18.252483000000002</v>
      </c>
      <c r="H264">
        <v>0.79700000000000004</v>
      </c>
      <c r="I264">
        <v>159670026240</v>
      </c>
      <c r="J264" t="s">
        <v>31</v>
      </c>
    </row>
    <row r="265" spans="1:10">
      <c r="A265" s="10">
        <v>46161.909479004629</v>
      </c>
      <c r="B265" s="11">
        <v>46161</v>
      </c>
      <c r="C265" t="s">
        <v>10</v>
      </c>
      <c r="D265" t="s">
        <v>32</v>
      </c>
      <c r="E265" t="s">
        <v>33</v>
      </c>
      <c r="F265">
        <v>908</v>
      </c>
      <c r="G265">
        <v>24.54054</v>
      </c>
      <c r="H265">
        <v>0.30399999999999999</v>
      </c>
      <c r="I265">
        <v>8206142464</v>
      </c>
      <c r="J265" t="s">
        <v>17</v>
      </c>
    </row>
    <row r="266" spans="1:10">
      <c r="A266" s="10">
        <v>46161.909482847223</v>
      </c>
      <c r="B266" s="11">
        <v>46161</v>
      </c>
      <c r="C266" t="s">
        <v>10</v>
      </c>
      <c r="D266" t="s">
        <v>34</v>
      </c>
      <c r="E266" t="s">
        <v>12</v>
      </c>
      <c r="F266">
        <v>222.33</v>
      </c>
      <c r="G266">
        <v>19.692647999999998</v>
      </c>
      <c r="H266">
        <v>0.58099999999999996</v>
      </c>
      <c r="I266">
        <v>208964698112</v>
      </c>
      <c r="J266" t="s">
        <v>15</v>
      </c>
    </row>
    <row r="267" spans="1:10">
      <c r="A267" s="10">
        <v>46161.909486689823</v>
      </c>
      <c r="B267" s="11">
        <v>46161</v>
      </c>
      <c r="C267" t="s">
        <v>10</v>
      </c>
      <c r="D267" t="s">
        <v>35</v>
      </c>
      <c r="E267" t="s">
        <v>12</v>
      </c>
      <c r="F267">
        <v>298.97000000000003</v>
      </c>
      <c r="G267">
        <v>36.238790000000002</v>
      </c>
      <c r="H267">
        <v>1.0649999999999999</v>
      </c>
      <c r="I267">
        <v>4391078723584</v>
      </c>
      <c r="J267" t="s">
        <v>36</v>
      </c>
    </row>
    <row r="268" spans="1:10">
      <c r="A268" s="10">
        <v>46161.9094916088</v>
      </c>
      <c r="B268" s="11">
        <v>46161</v>
      </c>
      <c r="C268" t="s">
        <v>10</v>
      </c>
      <c r="D268" t="s">
        <v>37</v>
      </c>
      <c r="E268" t="s">
        <v>12</v>
      </c>
      <c r="F268">
        <v>81.92</v>
      </c>
      <c r="G268">
        <v>25.761005000000001</v>
      </c>
      <c r="H268">
        <v>0.35599999999999998</v>
      </c>
      <c r="I268">
        <v>352459358208</v>
      </c>
      <c r="J268" t="s">
        <v>38</v>
      </c>
    </row>
    <row r="269" spans="1:10">
      <c r="A269" s="10">
        <v>46161.909495069442</v>
      </c>
      <c r="B269" s="11">
        <v>46161</v>
      </c>
      <c r="C269" t="s">
        <v>10</v>
      </c>
      <c r="D269" t="s">
        <v>39</v>
      </c>
      <c r="E269" t="s">
        <v>12</v>
      </c>
      <c r="F269">
        <v>76.69</v>
      </c>
      <c r="H269">
        <v>2.1640000000000001</v>
      </c>
      <c r="I269">
        <v>3363737344</v>
      </c>
      <c r="J269" t="s">
        <v>40</v>
      </c>
    </row>
    <row r="270" spans="1:10">
      <c r="A270" s="10">
        <v>46161.909499409718</v>
      </c>
      <c r="B270" s="11">
        <v>46161</v>
      </c>
      <c r="C270" t="s">
        <v>10</v>
      </c>
      <c r="D270" t="s">
        <v>41</v>
      </c>
      <c r="E270" t="s">
        <v>12</v>
      </c>
      <c r="F270">
        <v>602.61</v>
      </c>
      <c r="G270">
        <v>21.91309</v>
      </c>
      <c r="H270">
        <v>1.2430000000000001</v>
      </c>
      <c r="I270">
        <v>1529679183872</v>
      </c>
      <c r="J270" t="s">
        <v>42</v>
      </c>
    </row>
    <row r="271" spans="1:10">
      <c r="A271" s="10">
        <v>46161.90950292824</v>
      </c>
      <c r="B271" s="11">
        <v>46161</v>
      </c>
      <c r="C271" t="s">
        <v>10</v>
      </c>
      <c r="D271" t="s">
        <v>43</v>
      </c>
      <c r="E271" t="s">
        <v>12</v>
      </c>
      <c r="F271">
        <v>8.4499999999999993</v>
      </c>
      <c r="H271">
        <v>2.7629999999999999</v>
      </c>
      <c r="I271">
        <v>3656903424</v>
      </c>
      <c r="J271" t="s">
        <v>17</v>
      </c>
    </row>
    <row r="272" spans="1:10">
      <c r="A272" s="10">
        <v>46161.909507118064</v>
      </c>
      <c r="B272" s="11">
        <v>46161</v>
      </c>
      <c r="C272" t="s">
        <v>10</v>
      </c>
      <c r="D272" t="s">
        <v>44</v>
      </c>
      <c r="E272" t="s">
        <v>12</v>
      </c>
      <c r="F272">
        <v>181.46</v>
      </c>
      <c r="G272">
        <v>32.636691999999996</v>
      </c>
      <c r="H272">
        <v>1.544</v>
      </c>
      <c r="I272">
        <v>521887350784</v>
      </c>
      <c r="J272" t="s">
        <v>13</v>
      </c>
    </row>
    <row r="273" spans="1:10">
      <c r="A273" s="10">
        <v>46161.90951070602</v>
      </c>
      <c r="B273" s="11">
        <v>46161</v>
      </c>
      <c r="C273" t="s">
        <v>10</v>
      </c>
      <c r="D273" t="s">
        <v>45</v>
      </c>
      <c r="E273" t="s">
        <v>12</v>
      </c>
      <c r="F273">
        <v>384.9</v>
      </c>
      <c r="G273">
        <v>29.404125000000001</v>
      </c>
      <c r="H273">
        <v>1.2669999999999999</v>
      </c>
      <c r="I273">
        <v>4663234002944</v>
      </c>
      <c r="J273" t="s">
        <v>42</v>
      </c>
    </row>
    <row r="274" spans="1:10">
      <c r="A274" s="10">
        <v>46161.909514386571</v>
      </c>
      <c r="B274" s="11">
        <v>46161</v>
      </c>
      <c r="C274" t="s">
        <v>10</v>
      </c>
      <c r="D274" t="s">
        <v>46</v>
      </c>
      <c r="E274" t="s">
        <v>12</v>
      </c>
      <c r="F274">
        <v>259.33999999999997</v>
      </c>
      <c r="G274">
        <v>30.984468</v>
      </c>
      <c r="H274">
        <v>1.468</v>
      </c>
      <c r="I274">
        <v>2789748768768</v>
      </c>
      <c r="J274" t="s">
        <v>47</v>
      </c>
    </row>
    <row r="275" spans="1:10">
      <c r="A275" s="10">
        <v>46161.909517893517</v>
      </c>
      <c r="B275" s="11">
        <v>46161</v>
      </c>
      <c r="C275" t="s">
        <v>10</v>
      </c>
      <c r="D275" t="s">
        <v>48</v>
      </c>
      <c r="E275" t="s">
        <v>12</v>
      </c>
      <c r="F275">
        <v>176.27</v>
      </c>
      <c r="G275">
        <v>57.416943000000003</v>
      </c>
      <c r="H275">
        <v>2.2509999999999999</v>
      </c>
      <c r="I275">
        <v>154333757440</v>
      </c>
      <c r="J275" t="s">
        <v>22</v>
      </c>
    </row>
    <row r="276" spans="1:10">
      <c r="A276" s="10">
        <v>46161.90952228009</v>
      </c>
      <c r="B276" s="11">
        <v>46161</v>
      </c>
      <c r="C276" t="s">
        <v>10</v>
      </c>
      <c r="D276" t="s">
        <v>49</v>
      </c>
      <c r="E276" t="s">
        <v>12</v>
      </c>
      <c r="F276">
        <v>5.53</v>
      </c>
      <c r="H276">
        <v>2.2309999999999999</v>
      </c>
      <c r="I276">
        <v>1206388608</v>
      </c>
      <c r="J276" t="s">
        <v>50</v>
      </c>
    </row>
    <row r="277" spans="1:10">
      <c r="A277" s="10">
        <v>46161.909526435193</v>
      </c>
      <c r="B277" s="11">
        <v>46161</v>
      </c>
      <c r="C277" t="s">
        <v>10</v>
      </c>
      <c r="D277" t="s">
        <v>51</v>
      </c>
      <c r="E277" t="s">
        <v>12</v>
      </c>
      <c r="F277">
        <v>392.61</v>
      </c>
      <c r="G277">
        <v>33.729377999999997</v>
      </c>
      <c r="H277">
        <v>1.264</v>
      </c>
      <c r="I277">
        <v>2036232486912</v>
      </c>
      <c r="J277" t="s">
        <v>22</v>
      </c>
    </row>
    <row r="278" spans="1:10">
      <c r="A278" s="10">
        <v>46161.909530081008</v>
      </c>
      <c r="B278" s="11">
        <v>46161</v>
      </c>
      <c r="C278" t="s">
        <v>10</v>
      </c>
      <c r="D278" t="s">
        <v>52</v>
      </c>
      <c r="E278" t="s">
        <v>12</v>
      </c>
      <c r="F278">
        <v>45.53</v>
      </c>
      <c r="I278">
        <v>8175583744</v>
      </c>
      <c r="J278" t="s">
        <v>53</v>
      </c>
    </row>
    <row r="279" spans="1:10">
      <c r="A279" s="10">
        <v>46161.909533495367</v>
      </c>
      <c r="B279" s="11">
        <v>46161</v>
      </c>
      <c r="C279" t="s">
        <v>10</v>
      </c>
      <c r="D279" t="s">
        <v>54</v>
      </c>
      <c r="E279" t="s">
        <v>12</v>
      </c>
      <c r="F279">
        <v>411.07</v>
      </c>
      <c r="G279">
        <v>80.130610000000004</v>
      </c>
      <c r="H279">
        <v>1.44</v>
      </c>
      <c r="I279">
        <v>1946280132608</v>
      </c>
      <c r="J279" t="s">
        <v>22</v>
      </c>
    </row>
    <row r="280" spans="1:10">
      <c r="A280" s="10">
        <v>46161.909537025473</v>
      </c>
      <c r="B280" s="11">
        <v>46161</v>
      </c>
      <c r="C280" t="s">
        <v>10</v>
      </c>
      <c r="D280" t="s">
        <v>55</v>
      </c>
      <c r="E280" t="s">
        <v>12</v>
      </c>
      <c r="F280">
        <v>34.25</v>
      </c>
      <c r="G280">
        <v>14.636753000000001</v>
      </c>
      <c r="H280">
        <v>3.3039999999999998</v>
      </c>
      <c r="I280">
        <v>1685257600</v>
      </c>
      <c r="J280" t="s">
        <v>22</v>
      </c>
    </row>
    <row r="281" spans="1:10">
      <c r="A281" s="10">
        <v>46161.909540497683</v>
      </c>
      <c r="B281" s="11">
        <v>46161</v>
      </c>
      <c r="C281" t="s">
        <v>10</v>
      </c>
      <c r="D281" t="s">
        <v>56</v>
      </c>
      <c r="E281" t="s">
        <v>12</v>
      </c>
      <c r="F281">
        <v>8.83</v>
      </c>
      <c r="H281">
        <v>1.9870000000000001</v>
      </c>
      <c r="I281">
        <v>1282921472</v>
      </c>
      <c r="J281" t="s">
        <v>13</v>
      </c>
    </row>
    <row r="282" spans="1:10">
      <c r="A282" s="10">
        <v>46161.90954390046</v>
      </c>
      <c r="B282" s="11">
        <v>46161</v>
      </c>
      <c r="C282" t="s">
        <v>10</v>
      </c>
      <c r="D282" t="s">
        <v>57</v>
      </c>
      <c r="E282" t="s">
        <v>12</v>
      </c>
      <c r="F282">
        <v>141.58000000000001</v>
      </c>
      <c r="G282">
        <v>48.652920000000002</v>
      </c>
      <c r="H282">
        <v>1.673</v>
      </c>
      <c r="I282">
        <v>178273206272</v>
      </c>
      <c r="J282" t="s">
        <v>29</v>
      </c>
    </row>
    <row r="283" spans="1:10">
      <c r="A283" s="10">
        <v>46161.909547361109</v>
      </c>
      <c r="B283" s="11">
        <v>46161</v>
      </c>
      <c r="C283" t="s">
        <v>10</v>
      </c>
      <c r="D283" t="s">
        <v>58</v>
      </c>
      <c r="E283" t="s">
        <v>12</v>
      </c>
      <c r="F283">
        <v>45.77</v>
      </c>
      <c r="G283">
        <v>19.559830000000002</v>
      </c>
      <c r="H283">
        <v>1.5069999999999999</v>
      </c>
      <c r="I283">
        <v>2698891776</v>
      </c>
      <c r="J283" t="s">
        <v>40</v>
      </c>
    </row>
    <row r="284" spans="1:10">
      <c r="A284" s="10">
        <v>46161.909550810182</v>
      </c>
      <c r="B284" s="11">
        <v>46161</v>
      </c>
      <c r="C284" t="s">
        <v>10</v>
      </c>
      <c r="D284" t="s">
        <v>59</v>
      </c>
      <c r="E284" t="s">
        <v>12</v>
      </c>
      <c r="F284">
        <v>220.61</v>
      </c>
      <c r="G284">
        <v>45.114519999999999</v>
      </c>
      <c r="H284">
        <v>2.2440000000000002</v>
      </c>
      <c r="I284">
        <v>5343290064896</v>
      </c>
      <c r="J284" t="s">
        <v>22</v>
      </c>
    </row>
    <row r="285" spans="1:10">
      <c r="A285" s="10">
        <v>46161.909554305559</v>
      </c>
      <c r="B285" s="11">
        <v>46161</v>
      </c>
      <c r="C285" t="s">
        <v>10</v>
      </c>
      <c r="D285" t="s">
        <v>60</v>
      </c>
      <c r="E285" t="s">
        <v>12</v>
      </c>
      <c r="F285">
        <v>74.16</v>
      </c>
      <c r="G285">
        <v>36.000003999999997</v>
      </c>
      <c r="H285">
        <v>2.294</v>
      </c>
      <c r="I285">
        <v>66781462528</v>
      </c>
      <c r="J285" t="s">
        <v>31</v>
      </c>
    </row>
    <row r="286" spans="1:10">
      <c r="A286" s="10">
        <v>46161.909557916668</v>
      </c>
      <c r="B286" s="11">
        <v>46161</v>
      </c>
      <c r="C286" t="s">
        <v>10</v>
      </c>
      <c r="D286" t="s">
        <v>61</v>
      </c>
      <c r="E286" t="s">
        <v>12</v>
      </c>
      <c r="F286">
        <v>13.88</v>
      </c>
      <c r="I286">
        <v>871516992</v>
      </c>
      <c r="J286" t="s">
        <v>62</v>
      </c>
    </row>
    <row r="287" spans="1:10">
      <c r="A287" s="10">
        <v>46161.909561342603</v>
      </c>
      <c r="B287" s="11">
        <v>46161</v>
      </c>
      <c r="C287" t="s">
        <v>10</v>
      </c>
      <c r="D287" t="s">
        <v>63</v>
      </c>
      <c r="E287" t="s">
        <v>12</v>
      </c>
      <c r="F287">
        <v>414.05</v>
      </c>
      <c r="G287">
        <v>138.47826000000001</v>
      </c>
      <c r="H287">
        <v>2.399</v>
      </c>
      <c r="I287">
        <v>675150168064</v>
      </c>
      <c r="J287" t="s">
        <v>22</v>
      </c>
    </row>
    <row r="288" spans="1:10">
      <c r="A288" s="10">
        <v>46161.909564953698</v>
      </c>
      <c r="B288" s="11">
        <v>46161</v>
      </c>
      <c r="C288" t="s">
        <v>10</v>
      </c>
      <c r="D288" t="s">
        <v>64</v>
      </c>
      <c r="E288" t="s">
        <v>12</v>
      </c>
      <c r="F288">
        <v>404.11</v>
      </c>
      <c r="G288">
        <v>364.06304999999998</v>
      </c>
      <c r="H288">
        <v>1.7929999999999999</v>
      </c>
      <c r="I288">
        <v>1517725417472</v>
      </c>
      <c r="J288" t="s">
        <v>65</v>
      </c>
    </row>
    <row r="289" spans="1:10">
      <c r="A289" s="10">
        <v>46161.909569004631</v>
      </c>
      <c r="B289" s="11">
        <v>46161</v>
      </c>
      <c r="C289" t="s">
        <v>10</v>
      </c>
      <c r="D289" t="s">
        <v>66</v>
      </c>
      <c r="E289" t="s">
        <v>12</v>
      </c>
      <c r="F289">
        <v>1459.44</v>
      </c>
      <c r="G289">
        <v>48.583218000000002</v>
      </c>
      <c r="H289">
        <v>1.373</v>
      </c>
      <c r="I289">
        <v>562493915136</v>
      </c>
      <c r="J289" t="s">
        <v>40</v>
      </c>
    </row>
    <row r="290" spans="1:10">
      <c r="A290" s="10">
        <v>46161.909572476849</v>
      </c>
      <c r="B290" s="11">
        <v>46161</v>
      </c>
      <c r="C290" t="s">
        <v>10</v>
      </c>
      <c r="D290" t="s">
        <v>67</v>
      </c>
      <c r="E290" t="s">
        <v>12</v>
      </c>
      <c r="F290">
        <v>698.74</v>
      </c>
      <c r="G290">
        <v>32.959429999999998</v>
      </c>
      <c r="H290">
        <v>1.919</v>
      </c>
      <c r="I290">
        <v>787992870912</v>
      </c>
      <c r="J290" t="s">
        <v>22</v>
      </c>
    </row>
    <row r="291" spans="1:10">
      <c r="A291" s="10">
        <v>46161.909576053236</v>
      </c>
      <c r="B291" s="11">
        <v>46161</v>
      </c>
      <c r="C291" t="s">
        <v>10</v>
      </c>
      <c r="D291" t="s">
        <v>68</v>
      </c>
      <c r="E291" t="s">
        <v>12</v>
      </c>
      <c r="F291">
        <v>3.84</v>
      </c>
      <c r="H291">
        <v>3.0510000000000002</v>
      </c>
      <c r="I291">
        <v>1839165824</v>
      </c>
      <c r="J291" t="s">
        <v>15</v>
      </c>
    </row>
    <row r="292" spans="1:10">
      <c r="A292" s="10">
        <v>46161.909579710649</v>
      </c>
      <c r="B292" s="11">
        <v>46161</v>
      </c>
      <c r="C292" t="s">
        <v>10</v>
      </c>
      <c r="D292" t="s">
        <v>69</v>
      </c>
      <c r="E292" t="s">
        <v>12</v>
      </c>
      <c r="F292">
        <v>168.99</v>
      </c>
      <c r="G292">
        <v>93.364649999999997</v>
      </c>
      <c r="H292">
        <v>3.1760000000000002</v>
      </c>
      <c r="I292">
        <v>31170195456</v>
      </c>
      <c r="J292" t="s">
        <v>22</v>
      </c>
    </row>
    <row r="293" spans="1:10">
      <c r="A293" s="10">
        <v>46161.909583136578</v>
      </c>
      <c r="B293" s="11">
        <v>46161</v>
      </c>
      <c r="C293" t="s">
        <v>10</v>
      </c>
      <c r="D293" t="s">
        <v>70</v>
      </c>
      <c r="E293" t="s">
        <v>12</v>
      </c>
      <c r="F293">
        <v>99.81</v>
      </c>
      <c r="I293">
        <v>54453379072</v>
      </c>
      <c r="J293" t="s">
        <v>13</v>
      </c>
    </row>
    <row r="294" spans="1:10">
      <c r="A294" s="10">
        <v>46161.909586655092</v>
      </c>
      <c r="B294" s="11">
        <v>46161</v>
      </c>
      <c r="C294" t="s">
        <v>10</v>
      </c>
      <c r="D294" t="s">
        <v>71</v>
      </c>
      <c r="E294" t="s">
        <v>12</v>
      </c>
      <c r="F294">
        <v>110.8</v>
      </c>
      <c r="H294">
        <v>2.19</v>
      </c>
      <c r="I294">
        <v>556880822272</v>
      </c>
      <c r="J294" t="s">
        <v>22</v>
      </c>
    </row>
    <row r="295" spans="1:10">
      <c r="A295" s="10">
        <v>46161.909590138886</v>
      </c>
      <c r="B295" s="11">
        <v>46161</v>
      </c>
      <c r="C295" t="s">
        <v>10</v>
      </c>
      <c r="D295" t="s">
        <v>72</v>
      </c>
      <c r="E295" t="s">
        <v>12</v>
      </c>
      <c r="F295">
        <v>30.56</v>
      </c>
      <c r="G295">
        <v>16.084211</v>
      </c>
      <c r="H295">
        <v>1.6839999999999999</v>
      </c>
      <c r="I295">
        <v>18379347968</v>
      </c>
      <c r="J295" t="s">
        <v>29</v>
      </c>
    </row>
    <row r="296" spans="1:10">
      <c r="A296" s="10">
        <v>46161.90959354167</v>
      </c>
      <c r="B296" s="11">
        <v>46161</v>
      </c>
      <c r="C296" t="s">
        <v>10</v>
      </c>
      <c r="D296" t="s">
        <v>73</v>
      </c>
      <c r="E296" t="s">
        <v>12</v>
      </c>
      <c r="F296">
        <v>171.33</v>
      </c>
      <c r="H296">
        <v>3.7589999999999999</v>
      </c>
      <c r="I296">
        <v>13747993600</v>
      </c>
      <c r="J296" t="s">
        <v>74</v>
      </c>
    </row>
    <row r="297" spans="1:10">
      <c r="A297" s="10">
        <v>46161.909597071761</v>
      </c>
      <c r="B297" s="11">
        <v>46161</v>
      </c>
      <c r="C297" t="s">
        <v>10</v>
      </c>
      <c r="D297" t="s">
        <v>75</v>
      </c>
      <c r="E297" t="s">
        <v>12</v>
      </c>
      <c r="F297">
        <v>81.135000000000005</v>
      </c>
      <c r="H297">
        <v>3.2709999999999999</v>
      </c>
      <c r="I297">
        <v>2551959808</v>
      </c>
      <c r="J297" t="s">
        <v>40</v>
      </c>
    </row>
    <row r="298" spans="1:10">
      <c r="A298" s="10">
        <v>46161.909601388892</v>
      </c>
      <c r="B298" s="11">
        <v>46161</v>
      </c>
      <c r="C298" t="s">
        <v>10</v>
      </c>
      <c r="D298" t="s">
        <v>76</v>
      </c>
      <c r="E298" t="s">
        <v>12</v>
      </c>
      <c r="F298">
        <v>11.59</v>
      </c>
      <c r="I298">
        <v>1785782912</v>
      </c>
      <c r="J298" t="s">
        <v>77</v>
      </c>
    </row>
    <row r="299" spans="1:10">
      <c r="A299" s="10">
        <v>46161.909605104163</v>
      </c>
      <c r="B299" s="11">
        <v>46161</v>
      </c>
      <c r="C299" t="s">
        <v>10</v>
      </c>
      <c r="D299" t="s">
        <v>78</v>
      </c>
      <c r="E299" t="s">
        <v>12</v>
      </c>
      <c r="F299">
        <v>223.15</v>
      </c>
      <c r="G299">
        <v>259.47674999999998</v>
      </c>
      <c r="H299">
        <v>3.4060000000000001</v>
      </c>
      <c r="I299">
        <v>237431275520</v>
      </c>
      <c r="J299" t="s">
        <v>22</v>
      </c>
    </row>
    <row r="300" spans="1:10">
      <c r="A300" s="10">
        <v>46161.909608668982</v>
      </c>
      <c r="B300" s="11">
        <v>46161</v>
      </c>
      <c r="C300" t="s">
        <v>10</v>
      </c>
      <c r="D300" t="s">
        <v>79</v>
      </c>
      <c r="E300" t="s">
        <v>12</v>
      </c>
      <c r="F300">
        <v>48.44</v>
      </c>
      <c r="G300">
        <v>124.20513</v>
      </c>
      <c r="H300">
        <v>3.052</v>
      </c>
      <c r="I300">
        <v>18081196032</v>
      </c>
      <c r="J300" t="s">
        <v>29</v>
      </c>
    </row>
    <row r="301" spans="1:10">
      <c r="A301" s="10">
        <v>46161.909612291667</v>
      </c>
      <c r="B301" s="11">
        <v>46161</v>
      </c>
      <c r="C301" t="s">
        <v>10</v>
      </c>
      <c r="D301" t="s">
        <v>80</v>
      </c>
      <c r="E301" t="s">
        <v>12</v>
      </c>
      <c r="F301">
        <v>13.07</v>
      </c>
      <c r="H301">
        <v>0.54300000000000004</v>
      </c>
      <c r="I301">
        <v>1995935104</v>
      </c>
      <c r="J301" t="s">
        <v>22</v>
      </c>
    </row>
    <row r="302" spans="1:10">
      <c r="A302" s="10">
        <v>46161.911885729169</v>
      </c>
      <c r="B302" s="11">
        <v>46161</v>
      </c>
      <c r="C302" t="s">
        <v>10</v>
      </c>
      <c r="D302" t="s">
        <v>11</v>
      </c>
      <c r="E302" t="s">
        <v>12</v>
      </c>
      <c r="F302">
        <v>10.55</v>
      </c>
      <c r="G302">
        <v>20.288464000000001</v>
      </c>
      <c r="H302">
        <v>0.90900000000000003</v>
      </c>
      <c r="I302">
        <v>5490677760</v>
      </c>
      <c r="J302" t="s">
        <v>13</v>
      </c>
    </row>
    <row r="303" spans="1:10">
      <c r="A303" s="10">
        <v>46161.911889212963</v>
      </c>
      <c r="B303" s="11">
        <v>46161</v>
      </c>
      <c r="C303" t="s">
        <v>10</v>
      </c>
      <c r="D303" t="s">
        <v>14</v>
      </c>
      <c r="E303" t="s">
        <v>12</v>
      </c>
      <c r="F303">
        <v>88.19</v>
      </c>
      <c r="G303">
        <v>78.741069999999993</v>
      </c>
      <c r="H303">
        <v>2.403</v>
      </c>
      <c r="I303">
        <v>2879876096</v>
      </c>
      <c r="J303" t="s">
        <v>15</v>
      </c>
    </row>
    <row r="304" spans="1:10">
      <c r="A304" s="10">
        <v>46161.911892546297</v>
      </c>
      <c r="B304" s="11">
        <v>46161</v>
      </c>
      <c r="C304" t="s">
        <v>10</v>
      </c>
      <c r="D304" t="s">
        <v>16</v>
      </c>
      <c r="E304" t="s">
        <v>12</v>
      </c>
      <c r="F304">
        <v>101.83</v>
      </c>
      <c r="G304">
        <v>60.613100000000003</v>
      </c>
      <c r="H304">
        <v>0.81899999999999995</v>
      </c>
      <c r="I304">
        <v>105018097664</v>
      </c>
      <c r="J304" t="s">
        <v>17</v>
      </c>
    </row>
    <row r="305" spans="1:10">
      <c r="A305" s="10">
        <v>46161.91189599537</v>
      </c>
      <c r="B305" s="11">
        <v>46161</v>
      </c>
      <c r="C305" t="s">
        <v>10</v>
      </c>
      <c r="D305" t="s">
        <v>18</v>
      </c>
      <c r="E305" t="s">
        <v>12</v>
      </c>
      <c r="F305">
        <v>22.52</v>
      </c>
      <c r="G305">
        <v>34.646155999999998</v>
      </c>
      <c r="H305">
        <v>1.325</v>
      </c>
      <c r="I305">
        <v>1724220928</v>
      </c>
      <c r="J305" t="s">
        <v>13</v>
      </c>
    </row>
    <row r="306" spans="1:10">
      <c r="A306" s="10">
        <v>46161.911901724539</v>
      </c>
      <c r="B306" s="11">
        <v>46161</v>
      </c>
      <c r="C306" t="s">
        <v>10</v>
      </c>
      <c r="D306" t="s">
        <v>19</v>
      </c>
      <c r="E306" t="s">
        <v>12</v>
      </c>
      <c r="F306">
        <v>254.99</v>
      </c>
      <c r="G306">
        <v>14.868221999999999</v>
      </c>
      <c r="H306">
        <v>1.417</v>
      </c>
      <c r="I306">
        <v>103066959872</v>
      </c>
      <c r="J306" t="s">
        <v>17</v>
      </c>
    </row>
    <row r="307" spans="1:10">
      <c r="A307" s="10">
        <v>46161.911905960653</v>
      </c>
      <c r="B307" s="11">
        <v>46161</v>
      </c>
      <c r="C307" t="s">
        <v>10</v>
      </c>
      <c r="D307" t="s">
        <v>20</v>
      </c>
      <c r="E307" t="s">
        <v>12</v>
      </c>
      <c r="F307">
        <v>100.09</v>
      </c>
      <c r="G307">
        <v>17.969479</v>
      </c>
      <c r="H307">
        <v>0.57899999999999996</v>
      </c>
      <c r="I307">
        <v>3524870144</v>
      </c>
      <c r="J307" t="s">
        <v>13</v>
      </c>
    </row>
    <row r="308" spans="1:10">
      <c r="A308" s="10">
        <v>46161.911909421287</v>
      </c>
      <c r="B308" s="11">
        <v>46161</v>
      </c>
      <c r="C308" t="s">
        <v>10</v>
      </c>
      <c r="D308" t="s">
        <v>21</v>
      </c>
      <c r="E308" t="s">
        <v>12</v>
      </c>
      <c r="F308">
        <v>70.349999999999994</v>
      </c>
      <c r="G308">
        <v>29.312498000000001</v>
      </c>
      <c r="H308">
        <v>1.476</v>
      </c>
      <c r="I308">
        <v>10581059584</v>
      </c>
      <c r="J308" t="s">
        <v>22</v>
      </c>
    </row>
    <row r="309" spans="1:10">
      <c r="A309" s="10">
        <v>46161.9119130787</v>
      </c>
      <c r="B309" s="11">
        <v>46161</v>
      </c>
      <c r="C309" t="s">
        <v>10</v>
      </c>
      <c r="D309" t="s">
        <v>23</v>
      </c>
      <c r="E309" t="s">
        <v>12</v>
      </c>
      <c r="F309">
        <v>417.42</v>
      </c>
      <c r="G309">
        <v>24.890877</v>
      </c>
      <c r="H309">
        <v>1.093</v>
      </c>
      <c r="I309">
        <v>3100777381888</v>
      </c>
      <c r="J309" t="s">
        <v>13</v>
      </c>
    </row>
    <row r="310" spans="1:10">
      <c r="A310" s="10">
        <v>46161.911916759258</v>
      </c>
      <c r="B310" s="11">
        <v>46161</v>
      </c>
      <c r="C310" t="s">
        <v>10</v>
      </c>
      <c r="D310" t="s">
        <v>24</v>
      </c>
      <c r="E310" t="s">
        <v>12</v>
      </c>
      <c r="F310">
        <v>476.9</v>
      </c>
      <c r="G310">
        <v>41.397568</v>
      </c>
      <c r="H310">
        <v>2.3660000000000001</v>
      </c>
      <c r="I310">
        <v>160209551360</v>
      </c>
      <c r="J310" t="s">
        <v>25</v>
      </c>
    </row>
    <row r="311" spans="1:10">
      <c r="A311" s="10">
        <v>46161.911922476851</v>
      </c>
      <c r="B311" s="11">
        <v>46161</v>
      </c>
      <c r="C311" t="s">
        <v>10</v>
      </c>
      <c r="D311" t="s">
        <v>26</v>
      </c>
      <c r="E311" t="s">
        <v>12</v>
      </c>
      <c r="F311">
        <v>215.15</v>
      </c>
      <c r="G311">
        <v>537.875</v>
      </c>
      <c r="H311">
        <v>1.2949999999999999</v>
      </c>
      <c r="I311">
        <v>76584837120</v>
      </c>
      <c r="J311" t="s">
        <v>17</v>
      </c>
    </row>
    <row r="312" spans="1:10">
      <c r="A312" s="10">
        <v>46161.911926203713</v>
      </c>
      <c r="B312" s="11">
        <v>46161</v>
      </c>
      <c r="C312" t="s">
        <v>10</v>
      </c>
      <c r="D312" t="s">
        <v>27</v>
      </c>
      <c r="E312" t="s">
        <v>12</v>
      </c>
      <c r="F312">
        <v>244.26</v>
      </c>
      <c r="G312">
        <v>163.93288000000001</v>
      </c>
      <c r="H312">
        <v>3.363</v>
      </c>
      <c r="I312">
        <v>41868099584</v>
      </c>
      <c r="J312" t="s">
        <v>22</v>
      </c>
    </row>
    <row r="313" spans="1:10">
      <c r="A313" s="10">
        <v>46161.911929745373</v>
      </c>
      <c r="B313" s="11">
        <v>46161</v>
      </c>
      <c r="C313" t="s">
        <v>10</v>
      </c>
      <c r="D313" t="s">
        <v>28</v>
      </c>
      <c r="E313" t="s">
        <v>12</v>
      </c>
      <c r="F313">
        <v>1383.29</v>
      </c>
      <c r="G313">
        <v>47.162975000000003</v>
      </c>
      <c r="I313">
        <v>204851085312</v>
      </c>
      <c r="J313" t="s">
        <v>29</v>
      </c>
    </row>
    <row r="314" spans="1:10">
      <c r="A314" s="10">
        <v>46161.911933541669</v>
      </c>
      <c r="B314" s="11">
        <v>46161</v>
      </c>
      <c r="C314" t="s">
        <v>10</v>
      </c>
      <c r="D314" t="s">
        <v>30</v>
      </c>
      <c r="E314" t="s">
        <v>12</v>
      </c>
      <c r="F314">
        <v>91.81</v>
      </c>
      <c r="G314">
        <v>18.252483000000002</v>
      </c>
      <c r="H314">
        <v>0.79700000000000004</v>
      </c>
      <c r="I314">
        <v>159670026240</v>
      </c>
      <c r="J314" t="s">
        <v>31</v>
      </c>
    </row>
    <row r="315" spans="1:10">
      <c r="A315" s="10">
        <v>46161.91193707176</v>
      </c>
      <c r="B315" s="11">
        <v>46161</v>
      </c>
      <c r="C315" t="s">
        <v>10</v>
      </c>
      <c r="D315" t="s">
        <v>32</v>
      </c>
      <c r="E315" t="s">
        <v>33</v>
      </c>
      <c r="F315">
        <v>908</v>
      </c>
      <c r="G315">
        <v>24.54054</v>
      </c>
      <c r="H315">
        <v>0.30399999999999999</v>
      </c>
      <c r="I315">
        <v>8206142464</v>
      </c>
      <c r="J315" t="s">
        <v>17</v>
      </c>
    </row>
    <row r="316" spans="1:10">
      <c r="A316" s="10">
        <v>46161.911940543992</v>
      </c>
      <c r="B316" s="11">
        <v>46161</v>
      </c>
      <c r="C316" t="s">
        <v>10</v>
      </c>
      <c r="D316" t="s">
        <v>34</v>
      </c>
      <c r="E316" t="s">
        <v>12</v>
      </c>
      <c r="F316">
        <v>222.33</v>
      </c>
      <c r="G316">
        <v>19.692647999999998</v>
      </c>
      <c r="H316">
        <v>0.58099999999999996</v>
      </c>
      <c r="I316">
        <v>208964698112</v>
      </c>
      <c r="J316" t="s">
        <v>15</v>
      </c>
    </row>
    <row r="317" spans="1:10">
      <c r="A317" s="10">
        <v>46161.911944050917</v>
      </c>
      <c r="B317" s="11">
        <v>46161</v>
      </c>
      <c r="C317" t="s">
        <v>10</v>
      </c>
      <c r="D317" t="s">
        <v>35</v>
      </c>
      <c r="E317" t="s">
        <v>12</v>
      </c>
      <c r="F317">
        <v>298.97000000000003</v>
      </c>
      <c r="G317">
        <v>36.238790000000002</v>
      </c>
      <c r="H317">
        <v>1.0649999999999999</v>
      </c>
      <c r="I317">
        <v>4391078723584</v>
      </c>
      <c r="J317" t="s">
        <v>36</v>
      </c>
    </row>
    <row r="318" spans="1:10">
      <c r="A318" s="10">
        <v>46161.911947615743</v>
      </c>
      <c r="B318" s="11">
        <v>46161</v>
      </c>
      <c r="C318" t="s">
        <v>10</v>
      </c>
      <c r="D318" t="s">
        <v>37</v>
      </c>
      <c r="E318" t="s">
        <v>12</v>
      </c>
      <c r="F318">
        <v>81.92</v>
      </c>
      <c r="G318">
        <v>25.761005000000001</v>
      </c>
      <c r="H318">
        <v>0.35599999999999998</v>
      </c>
      <c r="I318">
        <v>352459358208</v>
      </c>
      <c r="J318" t="s">
        <v>38</v>
      </c>
    </row>
    <row r="319" spans="1:10">
      <c r="A319" s="10">
        <v>46161.911951388887</v>
      </c>
      <c r="B319" s="11">
        <v>46161</v>
      </c>
      <c r="C319" t="s">
        <v>10</v>
      </c>
      <c r="D319" t="s">
        <v>39</v>
      </c>
      <c r="E319" t="s">
        <v>12</v>
      </c>
      <c r="F319">
        <v>76.69</v>
      </c>
      <c r="H319">
        <v>2.1640000000000001</v>
      </c>
      <c r="I319">
        <v>3363737344</v>
      </c>
      <c r="J319" t="s">
        <v>40</v>
      </c>
    </row>
    <row r="320" spans="1:10">
      <c r="A320" s="10">
        <v>46161.911954884257</v>
      </c>
      <c r="B320" s="11">
        <v>46161</v>
      </c>
      <c r="C320" t="s">
        <v>10</v>
      </c>
      <c r="D320" t="s">
        <v>41</v>
      </c>
      <c r="E320" t="s">
        <v>12</v>
      </c>
      <c r="F320">
        <v>602.61</v>
      </c>
      <c r="G320">
        <v>21.91309</v>
      </c>
      <c r="H320">
        <v>1.2430000000000001</v>
      </c>
      <c r="I320">
        <v>1529679183872</v>
      </c>
      <c r="J320" t="s">
        <v>42</v>
      </c>
    </row>
    <row r="321" spans="1:10">
      <c r="A321" s="10">
        <v>46161.911958344906</v>
      </c>
      <c r="B321" s="11">
        <v>46161</v>
      </c>
      <c r="C321" t="s">
        <v>10</v>
      </c>
      <c r="D321" t="s">
        <v>43</v>
      </c>
      <c r="E321" t="s">
        <v>12</v>
      </c>
      <c r="F321">
        <v>8.4499999999999993</v>
      </c>
      <c r="H321">
        <v>2.7629999999999999</v>
      </c>
      <c r="I321">
        <v>3656903424</v>
      </c>
      <c r="J321" t="s">
        <v>17</v>
      </c>
    </row>
    <row r="322" spans="1:10">
      <c r="A322" s="10">
        <v>46161.911961840276</v>
      </c>
      <c r="B322" s="11">
        <v>46161</v>
      </c>
      <c r="C322" t="s">
        <v>10</v>
      </c>
      <c r="D322" t="s">
        <v>44</v>
      </c>
      <c r="E322" t="s">
        <v>12</v>
      </c>
      <c r="F322">
        <v>181.46</v>
      </c>
      <c r="G322">
        <v>32.636691999999996</v>
      </c>
      <c r="H322">
        <v>1.544</v>
      </c>
      <c r="I322">
        <v>521887350784</v>
      </c>
      <c r="J322" t="s">
        <v>13</v>
      </c>
    </row>
    <row r="323" spans="1:10">
      <c r="A323" s="10">
        <v>46161.911965335647</v>
      </c>
      <c r="B323" s="11">
        <v>46161</v>
      </c>
      <c r="C323" t="s">
        <v>10</v>
      </c>
      <c r="D323" t="s">
        <v>45</v>
      </c>
      <c r="E323" t="s">
        <v>12</v>
      </c>
      <c r="F323">
        <v>384.9</v>
      </c>
      <c r="G323">
        <v>29.404125000000001</v>
      </c>
      <c r="H323">
        <v>1.2669999999999999</v>
      </c>
      <c r="I323">
        <v>4663234002944</v>
      </c>
      <c r="J323" t="s">
        <v>42</v>
      </c>
    </row>
    <row r="324" spans="1:10">
      <c r="A324" s="10">
        <v>46161.911968773151</v>
      </c>
      <c r="B324" s="11">
        <v>46161</v>
      </c>
      <c r="C324" t="s">
        <v>10</v>
      </c>
      <c r="D324" t="s">
        <v>46</v>
      </c>
      <c r="E324" t="s">
        <v>12</v>
      </c>
      <c r="F324">
        <v>259.33999999999997</v>
      </c>
      <c r="G324">
        <v>30.984468</v>
      </c>
      <c r="H324">
        <v>1.468</v>
      </c>
      <c r="I324">
        <v>2789748768768</v>
      </c>
      <c r="J324" t="s">
        <v>47</v>
      </c>
    </row>
    <row r="325" spans="1:10">
      <c r="A325" s="10">
        <v>46161.911972187503</v>
      </c>
      <c r="B325" s="11">
        <v>46161</v>
      </c>
      <c r="C325" t="s">
        <v>10</v>
      </c>
      <c r="D325" t="s">
        <v>48</v>
      </c>
      <c r="E325" t="s">
        <v>12</v>
      </c>
      <c r="F325">
        <v>176.27</v>
      </c>
      <c r="G325">
        <v>57.416943000000003</v>
      </c>
      <c r="H325">
        <v>2.2509999999999999</v>
      </c>
      <c r="I325">
        <v>154333757440</v>
      </c>
      <c r="J325" t="s">
        <v>22</v>
      </c>
    </row>
    <row r="326" spans="1:10">
      <c r="A326" s="10">
        <v>46161.911975567127</v>
      </c>
      <c r="B326" s="11">
        <v>46161</v>
      </c>
      <c r="C326" t="s">
        <v>10</v>
      </c>
      <c r="D326" t="s">
        <v>49</v>
      </c>
      <c r="E326" t="s">
        <v>12</v>
      </c>
      <c r="F326">
        <v>5.53</v>
      </c>
      <c r="H326">
        <v>2.2309999999999999</v>
      </c>
      <c r="I326">
        <v>1206388608</v>
      </c>
      <c r="J326" t="s">
        <v>50</v>
      </c>
    </row>
    <row r="327" spans="1:10">
      <c r="A327" s="10">
        <v>46161.911979259261</v>
      </c>
      <c r="B327" s="11">
        <v>46161</v>
      </c>
      <c r="C327" t="s">
        <v>10</v>
      </c>
      <c r="D327" t="s">
        <v>51</v>
      </c>
      <c r="E327" t="s">
        <v>12</v>
      </c>
      <c r="F327">
        <v>392.61</v>
      </c>
      <c r="G327">
        <v>33.729377999999997</v>
      </c>
      <c r="H327">
        <v>1.264</v>
      </c>
      <c r="I327">
        <v>2036232486912</v>
      </c>
      <c r="J327" t="s">
        <v>22</v>
      </c>
    </row>
    <row r="328" spans="1:10">
      <c r="A328" s="10">
        <v>46161.911982696758</v>
      </c>
      <c r="B328" s="11">
        <v>46161</v>
      </c>
      <c r="C328" t="s">
        <v>10</v>
      </c>
      <c r="D328" t="s">
        <v>52</v>
      </c>
      <c r="E328" t="s">
        <v>12</v>
      </c>
      <c r="F328">
        <v>45.53</v>
      </c>
      <c r="I328">
        <v>8175583744</v>
      </c>
      <c r="J328" t="s">
        <v>53</v>
      </c>
    </row>
    <row r="329" spans="1:10">
      <c r="A329" s="10">
        <v>46161.91198665509</v>
      </c>
      <c r="B329" s="11">
        <v>46161</v>
      </c>
      <c r="C329" t="s">
        <v>10</v>
      </c>
      <c r="D329" t="s">
        <v>54</v>
      </c>
      <c r="E329" t="s">
        <v>12</v>
      </c>
      <c r="F329">
        <v>411.07</v>
      </c>
      <c r="G329">
        <v>80.130610000000004</v>
      </c>
      <c r="H329">
        <v>1.44</v>
      </c>
      <c r="I329">
        <v>1946280132608</v>
      </c>
      <c r="J329" t="s">
        <v>22</v>
      </c>
    </row>
    <row r="330" spans="1:10">
      <c r="A330" s="10">
        <v>46161.91199108796</v>
      </c>
      <c r="B330" s="11">
        <v>46161</v>
      </c>
      <c r="C330" t="s">
        <v>10</v>
      </c>
      <c r="D330" t="s">
        <v>55</v>
      </c>
      <c r="E330" t="s">
        <v>12</v>
      </c>
      <c r="F330">
        <v>34.25</v>
      </c>
      <c r="G330">
        <v>14.636753000000001</v>
      </c>
      <c r="H330">
        <v>3.3039999999999998</v>
      </c>
      <c r="I330">
        <v>1685257600</v>
      </c>
      <c r="J330" t="s">
        <v>22</v>
      </c>
    </row>
    <row r="331" spans="1:10">
      <c r="A331" s="10">
        <v>46161.91199537037</v>
      </c>
      <c r="B331" s="11">
        <v>46161</v>
      </c>
      <c r="C331" t="s">
        <v>10</v>
      </c>
      <c r="D331" t="s">
        <v>56</v>
      </c>
      <c r="E331" t="s">
        <v>12</v>
      </c>
      <c r="F331">
        <v>8.83</v>
      </c>
      <c r="H331">
        <v>1.9870000000000001</v>
      </c>
      <c r="I331">
        <v>1282921472</v>
      </c>
      <c r="J331" t="s">
        <v>13</v>
      </c>
    </row>
    <row r="332" spans="1:10">
      <c r="A332" s="10">
        <v>46161.911999317133</v>
      </c>
      <c r="B332" s="11">
        <v>46161</v>
      </c>
      <c r="C332" t="s">
        <v>10</v>
      </c>
      <c r="D332" t="s">
        <v>57</v>
      </c>
      <c r="E332" t="s">
        <v>12</v>
      </c>
      <c r="F332">
        <v>141.58000000000001</v>
      </c>
      <c r="G332">
        <v>48.652920000000002</v>
      </c>
      <c r="H332">
        <v>1.673</v>
      </c>
      <c r="I332">
        <v>178273206272</v>
      </c>
      <c r="J332" t="s">
        <v>29</v>
      </c>
    </row>
    <row r="333" spans="1:10">
      <c r="A333" s="10">
        <v>46161.912002766207</v>
      </c>
      <c r="B333" s="11">
        <v>46161</v>
      </c>
      <c r="C333" t="s">
        <v>10</v>
      </c>
      <c r="D333" t="s">
        <v>58</v>
      </c>
      <c r="E333" t="s">
        <v>12</v>
      </c>
      <c r="F333">
        <v>45.77</v>
      </c>
      <c r="G333">
        <v>19.559830000000002</v>
      </c>
      <c r="H333">
        <v>1.5069999999999999</v>
      </c>
      <c r="I333">
        <v>2698891776</v>
      </c>
      <c r="J333" t="s">
        <v>40</v>
      </c>
    </row>
    <row r="334" spans="1:10">
      <c r="A334" s="10">
        <v>46161.912006539351</v>
      </c>
      <c r="B334" s="11">
        <v>46161</v>
      </c>
      <c r="C334" t="s">
        <v>10</v>
      </c>
      <c r="D334" t="s">
        <v>59</v>
      </c>
      <c r="E334" t="s">
        <v>12</v>
      </c>
      <c r="F334">
        <v>220.61</v>
      </c>
      <c r="G334">
        <v>45.114519999999999</v>
      </c>
      <c r="H334">
        <v>2.2440000000000002</v>
      </c>
      <c r="I334">
        <v>5343290064896</v>
      </c>
      <c r="J334" t="s">
        <v>22</v>
      </c>
    </row>
    <row r="335" spans="1:10">
      <c r="A335" s="10">
        <v>46161.912010069442</v>
      </c>
      <c r="B335" s="11">
        <v>46161</v>
      </c>
      <c r="C335" t="s">
        <v>10</v>
      </c>
      <c r="D335" t="s">
        <v>60</v>
      </c>
      <c r="E335" t="s">
        <v>12</v>
      </c>
      <c r="F335">
        <v>74.16</v>
      </c>
      <c r="G335">
        <v>36.000003999999997</v>
      </c>
      <c r="H335">
        <v>2.294</v>
      </c>
      <c r="I335">
        <v>66781462528</v>
      </c>
      <c r="J335" t="s">
        <v>31</v>
      </c>
    </row>
    <row r="336" spans="1:10">
      <c r="A336" s="10">
        <v>46161.912013912042</v>
      </c>
      <c r="B336" s="11">
        <v>46161</v>
      </c>
      <c r="C336" t="s">
        <v>10</v>
      </c>
      <c r="D336" t="s">
        <v>61</v>
      </c>
      <c r="E336" t="s">
        <v>12</v>
      </c>
      <c r="F336">
        <v>13.88</v>
      </c>
      <c r="I336">
        <v>871516992</v>
      </c>
      <c r="J336" t="s">
        <v>62</v>
      </c>
    </row>
    <row r="337" spans="1:10">
      <c r="A337" s="10">
        <v>46161.912017557872</v>
      </c>
      <c r="B337" s="11">
        <v>46161</v>
      </c>
      <c r="C337" t="s">
        <v>10</v>
      </c>
      <c r="D337" t="s">
        <v>63</v>
      </c>
      <c r="E337" t="s">
        <v>12</v>
      </c>
      <c r="F337">
        <v>414.05</v>
      </c>
      <c r="G337">
        <v>138.47826000000001</v>
      </c>
      <c r="H337">
        <v>2.399</v>
      </c>
      <c r="I337">
        <v>675150168064</v>
      </c>
      <c r="J337" t="s">
        <v>22</v>
      </c>
    </row>
    <row r="338" spans="1:10">
      <c r="A338" s="10">
        <v>46161.912020914351</v>
      </c>
      <c r="B338" s="11">
        <v>46161</v>
      </c>
      <c r="C338" t="s">
        <v>10</v>
      </c>
      <c r="D338" t="s">
        <v>64</v>
      </c>
      <c r="E338" t="s">
        <v>12</v>
      </c>
      <c r="F338">
        <v>404.11</v>
      </c>
      <c r="G338">
        <v>364.06304999999998</v>
      </c>
      <c r="H338">
        <v>1.7929999999999999</v>
      </c>
      <c r="I338">
        <v>1517725417472</v>
      </c>
      <c r="J338" t="s">
        <v>65</v>
      </c>
    </row>
    <row r="339" spans="1:10">
      <c r="A339" s="10">
        <v>46161.912024282406</v>
      </c>
      <c r="B339" s="11">
        <v>46161</v>
      </c>
      <c r="C339" t="s">
        <v>10</v>
      </c>
      <c r="D339" t="s">
        <v>66</v>
      </c>
      <c r="E339" t="s">
        <v>12</v>
      </c>
      <c r="F339">
        <v>1459.44</v>
      </c>
      <c r="G339">
        <v>48.583218000000002</v>
      </c>
      <c r="H339">
        <v>1.373</v>
      </c>
      <c r="I339">
        <v>562493915136</v>
      </c>
      <c r="J339" t="s">
        <v>40</v>
      </c>
    </row>
    <row r="340" spans="1:10">
      <c r="A340" s="10">
        <v>46161.912028055558</v>
      </c>
      <c r="B340" s="11">
        <v>46161</v>
      </c>
      <c r="C340" t="s">
        <v>10</v>
      </c>
      <c r="D340" t="s">
        <v>67</v>
      </c>
      <c r="E340" t="s">
        <v>12</v>
      </c>
      <c r="F340">
        <v>698.74</v>
      </c>
      <c r="G340">
        <v>32.959429999999998</v>
      </c>
      <c r="H340">
        <v>1.919</v>
      </c>
      <c r="I340">
        <v>787992870912</v>
      </c>
      <c r="J340" t="s">
        <v>22</v>
      </c>
    </row>
    <row r="341" spans="1:10">
      <c r="A341" s="10">
        <v>46161.912031701388</v>
      </c>
      <c r="B341" s="11">
        <v>46161</v>
      </c>
      <c r="C341" t="s">
        <v>10</v>
      </c>
      <c r="D341" t="s">
        <v>68</v>
      </c>
      <c r="E341" t="s">
        <v>12</v>
      </c>
      <c r="F341">
        <v>3.84</v>
      </c>
      <c r="H341">
        <v>3.0510000000000002</v>
      </c>
      <c r="I341">
        <v>1839165824</v>
      </c>
      <c r="J341" t="s">
        <v>15</v>
      </c>
    </row>
    <row r="342" spans="1:10">
      <c r="A342" s="10">
        <v>46161.912035127323</v>
      </c>
      <c r="B342" s="11">
        <v>46161</v>
      </c>
      <c r="C342" t="s">
        <v>10</v>
      </c>
      <c r="D342" t="s">
        <v>69</v>
      </c>
      <c r="E342" t="s">
        <v>12</v>
      </c>
      <c r="F342">
        <v>168.99</v>
      </c>
      <c r="G342">
        <v>93.364649999999997</v>
      </c>
      <c r="H342">
        <v>3.1760000000000002</v>
      </c>
      <c r="I342">
        <v>31170195456</v>
      </c>
      <c r="J342" t="s">
        <v>22</v>
      </c>
    </row>
    <row r="343" spans="1:10">
      <c r="A343" s="10">
        <v>46161.912038553237</v>
      </c>
      <c r="B343" s="11">
        <v>46161</v>
      </c>
      <c r="C343" t="s">
        <v>10</v>
      </c>
      <c r="D343" t="s">
        <v>70</v>
      </c>
      <c r="E343" t="s">
        <v>12</v>
      </c>
      <c r="F343">
        <v>99.81</v>
      </c>
      <c r="I343">
        <v>54453379072</v>
      </c>
      <c r="J343" t="s">
        <v>13</v>
      </c>
    </row>
    <row r="344" spans="1:10">
      <c r="A344" s="10">
        <v>46161.912041979172</v>
      </c>
      <c r="B344" s="11">
        <v>46161</v>
      </c>
      <c r="C344" t="s">
        <v>10</v>
      </c>
      <c r="D344" t="s">
        <v>71</v>
      </c>
      <c r="E344" t="s">
        <v>12</v>
      </c>
      <c r="F344">
        <v>110.8</v>
      </c>
      <c r="H344">
        <v>2.19</v>
      </c>
      <c r="I344">
        <v>556880822272</v>
      </c>
      <c r="J344" t="s">
        <v>22</v>
      </c>
    </row>
    <row r="345" spans="1:10">
      <c r="A345" s="10">
        <v>46161.912045636571</v>
      </c>
      <c r="B345" s="11">
        <v>46161</v>
      </c>
      <c r="C345" t="s">
        <v>10</v>
      </c>
      <c r="D345" t="s">
        <v>72</v>
      </c>
      <c r="E345" t="s">
        <v>12</v>
      </c>
      <c r="F345">
        <v>30.56</v>
      </c>
      <c r="G345">
        <v>16.084211</v>
      </c>
      <c r="H345">
        <v>1.6839999999999999</v>
      </c>
      <c r="I345">
        <v>18379347968</v>
      </c>
      <c r="J345" t="s">
        <v>29</v>
      </c>
    </row>
    <row r="346" spans="1:10">
      <c r="A346" s="10">
        <v>46161.912049212973</v>
      </c>
      <c r="B346" s="11">
        <v>46161</v>
      </c>
      <c r="C346" t="s">
        <v>10</v>
      </c>
      <c r="D346" t="s">
        <v>73</v>
      </c>
      <c r="E346" t="s">
        <v>12</v>
      </c>
      <c r="F346">
        <v>171.33</v>
      </c>
      <c r="H346">
        <v>3.7589999999999999</v>
      </c>
      <c r="I346">
        <v>13747993600</v>
      </c>
      <c r="J346" t="s">
        <v>74</v>
      </c>
    </row>
    <row r="347" spans="1:10">
      <c r="A347" s="10">
        <v>46161.91205269676</v>
      </c>
      <c r="B347" s="11">
        <v>46161</v>
      </c>
      <c r="C347" t="s">
        <v>10</v>
      </c>
      <c r="D347" t="s">
        <v>75</v>
      </c>
      <c r="E347" t="s">
        <v>12</v>
      </c>
      <c r="F347">
        <v>81.135000000000005</v>
      </c>
      <c r="H347">
        <v>3.2709999999999999</v>
      </c>
      <c r="I347">
        <v>2551959808</v>
      </c>
      <c r="J347" t="s">
        <v>40</v>
      </c>
    </row>
    <row r="348" spans="1:10">
      <c r="A348" s="10">
        <v>46161.912055995374</v>
      </c>
      <c r="B348" s="11">
        <v>46161</v>
      </c>
      <c r="C348" t="s">
        <v>10</v>
      </c>
      <c r="D348" t="s">
        <v>76</v>
      </c>
      <c r="E348" t="s">
        <v>12</v>
      </c>
      <c r="F348">
        <v>11.59</v>
      </c>
      <c r="I348">
        <v>1785782912</v>
      </c>
      <c r="J348" t="s">
        <v>77</v>
      </c>
    </row>
    <row r="349" spans="1:10">
      <c r="A349" s="10">
        <v>46161.912059548609</v>
      </c>
      <c r="B349" s="11">
        <v>46161</v>
      </c>
      <c r="C349" t="s">
        <v>10</v>
      </c>
      <c r="D349" t="s">
        <v>78</v>
      </c>
      <c r="E349" t="s">
        <v>12</v>
      </c>
      <c r="F349">
        <v>223.15</v>
      </c>
      <c r="G349">
        <v>259.47674999999998</v>
      </c>
      <c r="H349">
        <v>3.4060000000000001</v>
      </c>
      <c r="I349">
        <v>237431275520</v>
      </c>
      <c r="J349" t="s">
        <v>22</v>
      </c>
    </row>
    <row r="350" spans="1:10">
      <c r="A350" s="10">
        <v>46161.912063229167</v>
      </c>
      <c r="B350" s="11">
        <v>46161</v>
      </c>
      <c r="C350" t="s">
        <v>10</v>
      </c>
      <c r="D350" t="s">
        <v>79</v>
      </c>
      <c r="E350" t="s">
        <v>12</v>
      </c>
      <c r="F350">
        <v>48.44</v>
      </c>
      <c r="G350">
        <v>124.20513</v>
      </c>
      <c r="H350">
        <v>3.052</v>
      </c>
      <c r="I350">
        <v>18081196032</v>
      </c>
      <c r="J350" t="s">
        <v>29</v>
      </c>
    </row>
    <row r="351" spans="1:10">
      <c r="A351" s="10">
        <v>46161.912066666657</v>
      </c>
      <c r="B351" s="11">
        <v>46161</v>
      </c>
      <c r="C351" t="s">
        <v>10</v>
      </c>
      <c r="D351" t="s">
        <v>80</v>
      </c>
      <c r="E351" t="s">
        <v>12</v>
      </c>
      <c r="F351">
        <v>13.07</v>
      </c>
      <c r="H351">
        <v>0.54300000000000004</v>
      </c>
      <c r="I351">
        <v>1995935104</v>
      </c>
      <c r="J351" t="s">
        <v>22</v>
      </c>
    </row>
    <row r="352" spans="1:10">
      <c r="A352" s="10">
        <v>46161.915294511753</v>
      </c>
      <c r="B352" s="11">
        <v>46161</v>
      </c>
      <c r="C352" t="s">
        <v>10</v>
      </c>
      <c r="D352" t="s">
        <v>11</v>
      </c>
      <c r="E352" t="s">
        <v>12</v>
      </c>
      <c r="F352">
        <v>10.55</v>
      </c>
      <c r="G352">
        <v>20.288464000000001</v>
      </c>
      <c r="H352">
        <v>0.90900000000000003</v>
      </c>
      <c r="I352">
        <v>5490677760</v>
      </c>
      <c r="J352" t="s">
        <v>13</v>
      </c>
    </row>
    <row r="353" spans="1:10">
      <c r="A353" s="10">
        <v>46161.915298102191</v>
      </c>
      <c r="B353" s="11">
        <v>46161</v>
      </c>
      <c r="C353" t="s">
        <v>10</v>
      </c>
      <c r="D353" t="s">
        <v>14</v>
      </c>
      <c r="E353" t="s">
        <v>12</v>
      </c>
      <c r="F353">
        <v>88.19</v>
      </c>
      <c r="G353">
        <v>78.741069999999993</v>
      </c>
      <c r="H353">
        <v>2.403</v>
      </c>
      <c r="I353">
        <v>2879876096</v>
      </c>
      <c r="J353" t="s">
        <v>15</v>
      </c>
    </row>
    <row r="354" spans="1:10">
      <c r="A354" s="10">
        <v>46161.915301671957</v>
      </c>
      <c r="B354" s="11">
        <v>46161</v>
      </c>
      <c r="C354" t="s">
        <v>10</v>
      </c>
      <c r="D354" t="s">
        <v>16</v>
      </c>
      <c r="E354" t="s">
        <v>12</v>
      </c>
      <c r="F354">
        <v>101.83</v>
      </c>
      <c r="G354">
        <v>60.613100000000003</v>
      </c>
      <c r="H354">
        <v>0.81899999999999995</v>
      </c>
      <c r="I354">
        <v>105018097664</v>
      </c>
      <c r="J354" t="s">
        <v>17</v>
      </c>
    </row>
    <row r="355" spans="1:10">
      <c r="A355" s="10">
        <v>46161.915305125091</v>
      </c>
      <c r="B355" s="11">
        <v>46161</v>
      </c>
      <c r="C355" t="s">
        <v>10</v>
      </c>
      <c r="D355" t="s">
        <v>18</v>
      </c>
      <c r="E355" t="s">
        <v>12</v>
      </c>
      <c r="F355">
        <v>22.52</v>
      </c>
      <c r="G355">
        <v>34.646155999999998</v>
      </c>
      <c r="H355">
        <v>1.325</v>
      </c>
      <c r="I355">
        <v>1724220928</v>
      </c>
      <c r="J355" t="s">
        <v>13</v>
      </c>
    </row>
    <row r="356" spans="1:10">
      <c r="A356" s="10">
        <v>46161.915309131851</v>
      </c>
      <c r="B356" s="11">
        <v>46161</v>
      </c>
      <c r="C356" t="s">
        <v>10</v>
      </c>
      <c r="D356" t="s">
        <v>19</v>
      </c>
      <c r="E356" t="s">
        <v>12</v>
      </c>
      <c r="F356">
        <v>254.99</v>
      </c>
      <c r="G356">
        <v>14.868221999999999</v>
      </c>
      <c r="H356">
        <v>1.417</v>
      </c>
      <c r="I356">
        <v>103066959872</v>
      </c>
      <c r="J356" t="s">
        <v>17</v>
      </c>
    </row>
    <row r="357" spans="1:10">
      <c r="A357" s="10">
        <v>46161.91531453302</v>
      </c>
      <c r="B357" s="11">
        <v>46161</v>
      </c>
      <c r="C357" t="s">
        <v>10</v>
      </c>
      <c r="D357" t="s">
        <v>20</v>
      </c>
      <c r="E357" t="s">
        <v>12</v>
      </c>
      <c r="F357">
        <v>100.09</v>
      </c>
      <c r="G357">
        <v>17.969479</v>
      </c>
      <c r="H357">
        <v>0.57899999999999996</v>
      </c>
      <c r="I357">
        <v>3524870144</v>
      </c>
      <c r="J357" t="s">
        <v>13</v>
      </c>
    </row>
    <row r="358" spans="1:10">
      <c r="A358" s="10">
        <v>46161.915317986794</v>
      </c>
      <c r="B358" s="11">
        <v>46161</v>
      </c>
      <c r="C358" t="s">
        <v>10</v>
      </c>
      <c r="D358" t="s">
        <v>21</v>
      </c>
      <c r="E358" t="s">
        <v>12</v>
      </c>
      <c r="F358">
        <v>70.349999999999994</v>
      </c>
      <c r="G358">
        <v>29.312498000000001</v>
      </c>
      <c r="H358">
        <v>1.476</v>
      </c>
      <c r="I358">
        <v>10581059584</v>
      </c>
      <c r="J358" t="s">
        <v>22</v>
      </c>
    </row>
    <row r="359" spans="1:10">
      <c r="A359" s="10">
        <v>46161.915321900713</v>
      </c>
      <c r="B359" s="11">
        <v>46161</v>
      </c>
      <c r="C359" t="s">
        <v>10</v>
      </c>
      <c r="D359" t="s">
        <v>23</v>
      </c>
      <c r="E359" t="s">
        <v>12</v>
      </c>
      <c r="F359">
        <v>417.42</v>
      </c>
      <c r="G359">
        <v>24.890877</v>
      </c>
      <c r="H359">
        <v>1.093</v>
      </c>
      <c r="I359">
        <v>3100777381888</v>
      </c>
      <c r="J359" t="s">
        <v>13</v>
      </c>
    </row>
    <row r="360" spans="1:10">
      <c r="A360" s="10">
        <v>46161.915325263668</v>
      </c>
      <c r="B360" s="11">
        <v>46161</v>
      </c>
      <c r="C360" t="s">
        <v>10</v>
      </c>
      <c r="D360" t="s">
        <v>24</v>
      </c>
      <c r="E360" t="s">
        <v>12</v>
      </c>
      <c r="F360">
        <v>476.9</v>
      </c>
      <c r="G360">
        <v>41.397568</v>
      </c>
      <c r="H360">
        <v>2.3660000000000001</v>
      </c>
      <c r="I360">
        <v>160209551360</v>
      </c>
      <c r="J360" t="s">
        <v>25</v>
      </c>
    </row>
    <row r="361" spans="1:10">
      <c r="A361" s="10">
        <v>46161.915328900483</v>
      </c>
      <c r="B361" s="11">
        <v>46161</v>
      </c>
      <c r="C361" t="s">
        <v>10</v>
      </c>
      <c r="D361" t="s">
        <v>26</v>
      </c>
      <c r="E361" t="s">
        <v>12</v>
      </c>
      <c r="F361">
        <v>215.15</v>
      </c>
      <c r="G361">
        <v>537.875</v>
      </c>
      <c r="H361">
        <v>1.2949999999999999</v>
      </c>
      <c r="I361">
        <v>76584837120</v>
      </c>
      <c r="J361" t="s">
        <v>17</v>
      </c>
    </row>
    <row r="362" spans="1:10">
      <c r="A362" s="10">
        <v>46161.915332499033</v>
      </c>
      <c r="B362" s="11">
        <v>46161</v>
      </c>
      <c r="C362" t="s">
        <v>10</v>
      </c>
      <c r="D362" t="s">
        <v>27</v>
      </c>
      <c r="E362" t="s">
        <v>12</v>
      </c>
      <c r="F362">
        <v>244.26</v>
      </c>
      <c r="G362">
        <v>163.93288000000001</v>
      </c>
      <c r="H362">
        <v>3.363</v>
      </c>
      <c r="I362">
        <v>41868099584</v>
      </c>
      <c r="J362" t="s">
        <v>22</v>
      </c>
    </row>
    <row r="363" spans="1:10">
      <c r="A363" s="10">
        <v>46161.915335916703</v>
      </c>
      <c r="B363" s="11">
        <v>46161</v>
      </c>
      <c r="C363" t="s">
        <v>10</v>
      </c>
      <c r="D363" t="s">
        <v>28</v>
      </c>
      <c r="E363" t="s">
        <v>12</v>
      </c>
      <c r="F363">
        <v>1383.29</v>
      </c>
      <c r="G363">
        <v>47.162975000000003</v>
      </c>
      <c r="I363">
        <v>204851085312</v>
      </c>
      <c r="J363" t="s">
        <v>29</v>
      </c>
    </row>
    <row r="364" spans="1:10">
      <c r="A364" s="10">
        <v>46161.915339573301</v>
      </c>
      <c r="B364" s="11">
        <v>46161</v>
      </c>
      <c r="C364" t="s">
        <v>10</v>
      </c>
      <c r="D364" t="s">
        <v>30</v>
      </c>
      <c r="E364" t="s">
        <v>12</v>
      </c>
      <c r="F364">
        <v>91.81</v>
      </c>
      <c r="G364">
        <v>18.252483000000002</v>
      </c>
      <c r="H364">
        <v>0.79700000000000004</v>
      </c>
      <c r="I364">
        <v>159670026240</v>
      </c>
      <c r="J364" t="s">
        <v>31</v>
      </c>
    </row>
    <row r="365" spans="1:10">
      <c r="A365" s="10">
        <v>46161.915343005581</v>
      </c>
      <c r="B365" s="11">
        <v>46161</v>
      </c>
      <c r="C365" t="s">
        <v>10</v>
      </c>
      <c r="D365" t="s">
        <v>32</v>
      </c>
      <c r="E365" t="s">
        <v>33</v>
      </c>
      <c r="F365">
        <v>908</v>
      </c>
      <c r="G365">
        <v>24.54054</v>
      </c>
      <c r="H365">
        <v>0.30399999999999999</v>
      </c>
      <c r="I365">
        <v>8206142464</v>
      </c>
      <c r="J365" t="s">
        <v>17</v>
      </c>
    </row>
    <row r="366" spans="1:10">
      <c r="A366" s="10">
        <v>46161.915346449423</v>
      </c>
      <c r="B366" s="11">
        <v>46161</v>
      </c>
      <c r="C366" t="s">
        <v>10</v>
      </c>
      <c r="D366" t="s">
        <v>34</v>
      </c>
      <c r="E366" t="s">
        <v>12</v>
      </c>
      <c r="F366">
        <v>222.33</v>
      </c>
      <c r="G366">
        <v>19.692647999999998</v>
      </c>
      <c r="H366">
        <v>0.58099999999999996</v>
      </c>
      <c r="I366">
        <v>208964698112</v>
      </c>
      <c r="J366" t="s">
        <v>15</v>
      </c>
    </row>
    <row r="367" spans="1:10">
      <c r="A367" s="10">
        <v>46161.91534982375</v>
      </c>
      <c r="B367" s="11">
        <v>46161</v>
      </c>
      <c r="C367" t="s">
        <v>10</v>
      </c>
      <c r="D367" t="s">
        <v>35</v>
      </c>
      <c r="E367" t="s">
        <v>12</v>
      </c>
      <c r="F367">
        <v>298.97000000000003</v>
      </c>
      <c r="G367">
        <v>36.238790000000002</v>
      </c>
      <c r="H367">
        <v>1.0649999999999999</v>
      </c>
      <c r="I367">
        <v>4391078723584</v>
      </c>
      <c r="J367" t="s">
        <v>36</v>
      </c>
    </row>
    <row r="368" spans="1:10">
      <c r="A368" s="10">
        <v>46161.915353455443</v>
      </c>
      <c r="B368" s="11">
        <v>46161</v>
      </c>
      <c r="C368" t="s">
        <v>10</v>
      </c>
      <c r="D368" t="s">
        <v>37</v>
      </c>
      <c r="E368" t="s">
        <v>12</v>
      </c>
      <c r="F368">
        <v>81.92</v>
      </c>
      <c r="G368">
        <v>25.761005000000001</v>
      </c>
      <c r="H368">
        <v>0.35599999999999998</v>
      </c>
      <c r="I368">
        <v>352459358208</v>
      </c>
      <c r="J368" t="s">
        <v>38</v>
      </c>
    </row>
    <row r="369" spans="1:10">
      <c r="A369" s="10">
        <v>46161.915356975529</v>
      </c>
      <c r="B369" s="11">
        <v>46161</v>
      </c>
      <c r="C369" t="s">
        <v>10</v>
      </c>
      <c r="D369" t="s">
        <v>39</v>
      </c>
      <c r="E369" t="s">
        <v>12</v>
      </c>
      <c r="F369">
        <v>76.69</v>
      </c>
      <c r="H369">
        <v>2.1640000000000001</v>
      </c>
      <c r="I369">
        <v>3363737344</v>
      </c>
      <c r="J369" t="s">
        <v>40</v>
      </c>
    </row>
    <row r="370" spans="1:10">
      <c r="A370" s="10">
        <v>46161.915360959028</v>
      </c>
      <c r="B370" s="11">
        <v>46161</v>
      </c>
      <c r="C370" t="s">
        <v>10</v>
      </c>
      <c r="D370" t="s">
        <v>41</v>
      </c>
      <c r="E370" t="s">
        <v>12</v>
      </c>
      <c r="F370">
        <v>602.61</v>
      </c>
      <c r="G370">
        <v>21.91309</v>
      </c>
      <c r="H370">
        <v>1.2430000000000001</v>
      </c>
      <c r="I370">
        <v>1529679183872</v>
      </c>
      <c r="J370" t="s">
        <v>42</v>
      </c>
    </row>
    <row r="371" spans="1:10">
      <c r="A371" s="10">
        <v>46161.915364795939</v>
      </c>
      <c r="B371" s="11">
        <v>46161</v>
      </c>
      <c r="C371" t="s">
        <v>10</v>
      </c>
      <c r="D371" t="s">
        <v>43</v>
      </c>
      <c r="E371" t="s">
        <v>12</v>
      </c>
      <c r="F371">
        <v>8.4499999999999993</v>
      </c>
      <c r="H371">
        <v>2.7629999999999999</v>
      </c>
      <c r="I371">
        <v>3656903424</v>
      </c>
      <c r="J371" t="s">
        <v>17</v>
      </c>
    </row>
    <row r="372" spans="1:10">
      <c r="A372" s="10">
        <v>46161.915368211899</v>
      </c>
      <c r="B372" s="11">
        <v>46161</v>
      </c>
      <c r="C372" t="s">
        <v>10</v>
      </c>
      <c r="D372" t="s">
        <v>44</v>
      </c>
      <c r="E372" t="s">
        <v>12</v>
      </c>
      <c r="F372">
        <v>181.46</v>
      </c>
      <c r="G372">
        <v>32.636691999999996</v>
      </c>
      <c r="H372">
        <v>1.544</v>
      </c>
      <c r="I372">
        <v>521887350784</v>
      </c>
      <c r="J372" t="s">
        <v>13</v>
      </c>
    </row>
    <row r="373" spans="1:10">
      <c r="A373" s="10">
        <v>46161.915374459088</v>
      </c>
      <c r="B373" s="11">
        <v>46161</v>
      </c>
      <c r="C373" t="s">
        <v>10</v>
      </c>
      <c r="D373" t="s">
        <v>45</v>
      </c>
      <c r="E373" t="s">
        <v>12</v>
      </c>
      <c r="F373">
        <v>384.9</v>
      </c>
      <c r="G373">
        <v>29.404125000000001</v>
      </c>
      <c r="H373">
        <v>1.2669999999999999</v>
      </c>
      <c r="I373">
        <v>4663234002944</v>
      </c>
      <c r="J373" t="s">
        <v>42</v>
      </c>
    </row>
    <row r="374" spans="1:10">
      <c r="A374" s="10">
        <v>46161.915379587437</v>
      </c>
      <c r="B374" s="11">
        <v>46161</v>
      </c>
      <c r="C374" t="s">
        <v>10</v>
      </c>
      <c r="D374" t="s">
        <v>46</v>
      </c>
      <c r="E374" t="s">
        <v>12</v>
      </c>
      <c r="F374">
        <v>259.33999999999997</v>
      </c>
      <c r="G374">
        <v>30.984468</v>
      </c>
      <c r="H374">
        <v>1.468</v>
      </c>
      <c r="I374">
        <v>2789748768768</v>
      </c>
      <c r="J374" t="s">
        <v>47</v>
      </c>
    </row>
    <row r="375" spans="1:10">
      <c r="A375" s="10">
        <v>46161.915385171364</v>
      </c>
      <c r="B375" s="11">
        <v>46161</v>
      </c>
      <c r="C375" t="s">
        <v>10</v>
      </c>
      <c r="D375" t="s">
        <v>48</v>
      </c>
      <c r="E375" t="s">
        <v>12</v>
      </c>
      <c r="F375">
        <v>176.27</v>
      </c>
      <c r="G375">
        <v>57.416943000000003</v>
      </c>
      <c r="H375">
        <v>2.2509999999999999</v>
      </c>
      <c r="I375">
        <v>154333757440</v>
      </c>
      <c r="J375" t="s">
        <v>22</v>
      </c>
    </row>
    <row r="376" spans="1:10">
      <c r="A376" s="10">
        <v>46161.915388729642</v>
      </c>
      <c r="B376" s="11">
        <v>46161</v>
      </c>
      <c r="C376" t="s">
        <v>10</v>
      </c>
      <c r="D376" t="s">
        <v>49</v>
      </c>
      <c r="E376" t="s">
        <v>12</v>
      </c>
      <c r="F376">
        <v>5.53</v>
      </c>
      <c r="H376">
        <v>2.2309999999999999</v>
      </c>
      <c r="I376">
        <v>1206388608</v>
      </c>
      <c r="J376" t="s">
        <v>50</v>
      </c>
    </row>
    <row r="377" spans="1:10">
      <c r="A377" s="10">
        <v>46161.915393945157</v>
      </c>
      <c r="B377" s="11">
        <v>46161</v>
      </c>
      <c r="C377" t="s">
        <v>10</v>
      </c>
      <c r="D377" t="s">
        <v>51</v>
      </c>
      <c r="E377" t="s">
        <v>12</v>
      </c>
      <c r="F377">
        <v>392.61</v>
      </c>
      <c r="G377">
        <v>33.729377999999997</v>
      </c>
      <c r="H377">
        <v>1.264</v>
      </c>
      <c r="I377">
        <v>2036232486912</v>
      </c>
      <c r="J377" t="s">
        <v>22</v>
      </c>
    </row>
    <row r="378" spans="1:10">
      <c r="A378" s="10">
        <v>46161.915399398124</v>
      </c>
      <c r="B378" s="11">
        <v>46161</v>
      </c>
      <c r="C378" t="s">
        <v>10</v>
      </c>
      <c r="D378" t="s">
        <v>52</v>
      </c>
      <c r="E378" t="s">
        <v>12</v>
      </c>
      <c r="F378">
        <v>45.53</v>
      </c>
      <c r="I378">
        <v>8175583744</v>
      </c>
      <c r="J378" t="s">
        <v>53</v>
      </c>
    </row>
    <row r="379" spans="1:10">
      <c r="A379" s="10">
        <v>46161.915404643718</v>
      </c>
      <c r="B379" s="11">
        <v>46161</v>
      </c>
      <c r="C379" t="s">
        <v>10</v>
      </c>
      <c r="D379" t="s">
        <v>54</v>
      </c>
      <c r="E379" t="s">
        <v>12</v>
      </c>
      <c r="F379">
        <v>411.07</v>
      </c>
      <c r="G379">
        <v>80.130610000000004</v>
      </c>
      <c r="H379">
        <v>1.44</v>
      </c>
      <c r="I379">
        <v>1946280132608</v>
      </c>
      <c r="J379" t="s">
        <v>22</v>
      </c>
    </row>
    <row r="380" spans="1:10">
      <c r="A380" s="10">
        <v>46161.915410055299</v>
      </c>
      <c r="B380" s="11">
        <v>46161</v>
      </c>
      <c r="C380" t="s">
        <v>10</v>
      </c>
      <c r="D380" t="s">
        <v>55</v>
      </c>
      <c r="E380" t="s">
        <v>12</v>
      </c>
      <c r="F380">
        <v>34.25</v>
      </c>
      <c r="G380">
        <v>14.636753000000001</v>
      </c>
      <c r="H380">
        <v>3.3039999999999998</v>
      </c>
      <c r="I380">
        <v>1685257600</v>
      </c>
      <c r="J380" t="s">
        <v>22</v>
      </c>
    </row>
    <row r="381" spans="1:10">
      <c r="A381" s="10">
        <v>46161.91541527793</v>
      </c>
      <c r="B381" s="11">
        <v>46161</v>
      </c>
      <c r="C381" t="s">
        <v>10</v>
      </c>
      <c r="D381" t="s">
        <v>56</v>
      </c>
      <c r="E381" t="s">
        <v>12</v>
      </c>
      <c r="F381">
        <v>8.83</v>
      </c>
      <c r="H381">
        <v>1.9870000000000001</v>
      </c>
      <c r="I381">
        <v>1282921472</v>
      </c>
      <c r="J381" t="s">
        <v>13</v>
      </c>
    </row>
    <row r="382" spans="1:10">
      <c r="A382" s="10">
        <v>46161.915420725258</v>
      </c>
      <c r="B382" s="11">
        <v>46161</v>
      </c>
      <c r="C382" t="s">
        <v>10</v>
      </c>
      <c r="D382" t="s">
        <v>57</v>
      </c>
      <c r="E382" t="s">
        <v>12</v>
      </c>
      <c r="F382">
        <v>141.58000000000001</v>
      </c>
      <c r="G382">
        <v>48.652920000000002</v>
      </c>
      <c r="H382">
        <v>1.673</v>
      </c>
      <c r="I382">
        <v>178273206272</v>
      </c>
      <c r="J382" t="s">
        <v>29</v>
      </c>
    </row>
    <row r="383" spans="1:10">
      <c r="A383" s="10">
        <v>46161.915424422194</v>
      </c>
      <c r="B383" s="11">
        <v>46161</v>
      </c>
      <c r="C383" t="s">
        <v>10</v>
      </c>
      <c r="D383" t="s">
        <v>58</v>
      </c>
      <c r="E383" t="s">
        <v>12</v>
      </c>
      <c r="F383">
        <v>45.77</v>
      </c>
      <c r="G383">
        <v>19.559830000000002</v>
      </c>
      <c r="H383">
        <v>1.5069999999999999</v>
      </c>
      <c r="I383">
        <v>2698891776</v>
      </c>
      <c r="J383" t="s">
        <v>40</v>
      </c>
    </row>
    <row r="384" spans="1:10">
      <c r="A384" s="10">
        <v>46161.915428091503</v>
      </c>
      <c r="B384" s="11">
        <v>46161</v>
      </c>
      <c r="C384" t="s">
        <v>10</v>
      </c>
      <c r="D384" t="s">
        <v>59</v>
      </c>
      <c r="E384" t="s">
        <v>12</v>
      </c>
      <c r="F384">
        <v>220.61</v>
      </c>
      <c r="G384">
        <v>45.114519999999999</v>
      </c>
      <c r="H384">
        <v>2.2440000000000002</v>
      </c>
      <c r="I384">
        <v>5343290064896</v>
      </c>
      <c r="J384" t="s">
        <v>22</v>
      </c>
    </row>
    <row r="385" spans="1:10">
      <c r="A385" s="10">
        <v>46161.915431778332</v>
      </c>
      <c r="B385" s="11">
        <v>46161</v>
      </c>
      <c r="C385" t="s">
        <v>10</v>
      </c>
      <c r="D385" t="s">
        <v>60</v>
      </c>
      <c r="E385" t="s">
        <v>12</v>
      </c>
      <c r="F385">
        <v>74.16</v>
      </c>
      <c r="G385">
        <v>36.000003999999997</v>
      </c>
      <c r="H385">
        <v>2.294</v>
      </c>
      <c r="I385">
        <v>66781462528</v>
      </c>
      <c r="J385" t="s">
        <v>31</v>
      </c>
    </row>
    <row r="386" spans="1:10">
      <c r="A386" s="10">
        <v>46161.915435569499</v>
      </c>
      <c r="B386" s="11">
        <v>46161</v>
      </c>
      <c r="C386" t="s">
        <v>10</v>
      </c>
      <c r="D386" t="s">
        <v>61</v>
      </c>
      <c r="E386" t="s">
        <v>12</v>
      </c>
      <c r="F386">
        <v>13.88</v>
      </c>
      <c r="I386">
        <v>871516992</v>
      </c>
      <c r="J386" t="s">
        <v>62</v>
      </c>
    </row>
    <row r="387" spans="1:10">
      <c r="A387" s="10">
        <v>46161.915439214899</v>
      </c>
      <c r="B387" s="11">
        <v>46161</v>
      </c>
      <c r="C387" t="s">
        <v>10</v>
      </c>
      <c r="D387" t="s">
        <v>63</v>
      </c>
      <c r="E387" t="s">
        <v>12</v>
      </c>
      <c r="F387">
        <v>414.05</v>
      </c>
      <c r="G387">
        <v>138.47826000000001</v>
      </c>
      <c r="H387">
        <v>2.399</v>
      </c>
      <c r="I387">
        <v>675150168064</v>
      </c>
      <c r="J387" t="s">
        <v>22</v>
      </c>
    </row>
    <row r="388" spans="1:10">
      <c r="A388" s="10">
        <v>46161.915442681762</v>
      </c>
      <c r="B388" s="11">
        <v>46161</v>
      </c>
      <c r="C388" t="s">
        <v>10</v>
      </c>
      <c r="D388" t="s">
        <v>64</v>
      </c>
      <c r="E388" t="s">
        <v>12</v>
      </c>
      <c r="F388">
        <v>404.11</v>
      </c>
      <c r="G388">
        <v>364.06304999999998</v>
      </c>
      <c r="H388">
        <v>1.7929999999999999</v>
      </c>
      <c r="I388">
        <v>1517725417472</v>
      </c>
      <c r="J388" t="s">
        <v>65</v>
      </c>
    </row>
    <row r="389" spans="1:10">
      <c r="A389" s="10">
        <v>46161.91544657528</v>
      </c>
      <c r="B389" s="11">
        <v>46161</v>
      </c>
      <c r="C389" t="s">
        <v>10</v>
      </c>
      <c r="D389" t="s">
        <v>66</v>
      </c>
      <c r="E389" t="s">
        <v>12</v>
      </c>
      <c r="F389">
        <v>1459.44</v>
      </c>
      <c r="G389">
        <v>48.583218000000002</v>
      </c>
      <c r="H389">
        <v>1.373</v>
      </c>
      <c r="I389">
        <v>562493915136</v>
      </c>
      <c r="J389" t="s">
        <v>40</v>
      </c>
    </row>
    <row r="390" spans="1:10">
      <c r="A390" s="10">
        <v>46161.915449982618</v>
      </c>
      <c r="B390" s="11">
        <v>46161</v>
      </c>
      <c r="C390" t="s">
        <v>10</v>
      </c>
      <c r="D390" t="s">
        <v>67</v>
      </c>
      <c r="E390" t="s">
        <v>12</v>
      </c>
      <c r="F390">
        <v>698.74</v>
      </c>
      <c r="G390">
        <v>32.959429999999998</v>
      </c>
      <c r="H390">
        <v>1.919</v>
      </c>
      <c r="I390">
        <v>787992870912</v>
      </c>
      <c r="J390" t="s">
        <v>22</v>
      </c>
    </row>
    <row r="391" spans="1:10">
      <c r="A391" s="10">
        <v>46161.915453324422</v>
      </c>
      <c r="B391" s="11">
        <v>46161</v>
      </c>
      <c r="C391" t="s">
        <v>10</v>
      </c>
      <c r="D391" t="s">
        <v>68</v>
      </c>
      <c r="E391" t="s">
        <v>12</v>
      </c>
      <c r="F391">
        <v>3.84</v>
      </c>
      <c r="H391">
        <v>3.0510000000000002</v>
      </c>
      <c r="I391">
        <v>1839165824</v>
      </c>
      <c r="J391" t="s">
        <v>15</v>
      </c>
    </row>
    <row r="392" spans="1:10">
      <c r="A392" s="10">
        <v>46161.91545708559</v>
      </c>
      <c r="B392" s="11">
        <v>46161</v>
      </c>
      <c r="C392" t="s">
        <v>10</v>
      </c>
      <c r="D392" t="s">
        <v>69</v>
      </c>
      <c r="E392" t="s">
        <v>12</v>
      </c>
      <c r="F392">
        <v>168.99</v>
      </c>
      <c r="G392">
        <v>93.364649999999997</v>
      </c>
      <c r="H392">
        <v>3.1760000000000002</v>
      </c>
      <c r="I392">
        <v>31170195456</v>
      </c>
      <c r="J392" t="s">
        <v>22</v>
      </c>
    </row>
    <row r="393" spans="1:10">
      <c r="A393" s="10">
        <v>46161.915460461947</v>
      </c>
      <c r="B393" s="11">
        <v>46161</v>
      </c>
      <c r="C393" t="s">
        <v>10</v>
      </c>
      <c r="D393" t="s">
        <v>70</v>
      </c>
      <c r="E393" t="s">
        <v>12</v>
      </c>
      <c r="F393">
        <v>99.81</v>
      </c>
      <c r="I393">
        <v>54453379072</v>
      </c>
      <c r="J393" t="s">
        <v>13</v>
      </c>
    </row>
    <row r="394" spans="1:10">
      <c r="A394" s="10">
        <v>46161.915463921352</v>
      </c>
      <c r="B394" s="11">
        <v>46161</v>
      </c>
      <c r="C394" t="s">
        <v>10</v>
      </c>
      <c r="D394" t="s">
        <v>71</v>
      </c>
      <c r="E394" t="s">
        <v>12</v>
      </c>
      <c r="F394">
        <v>110.8</v>
      </c>
      <c r="H394">
        <v>2.19</v>
      </c>
      <c r="I394">
        <v>556880822272</v>
      </c>
      <c r="J394" t="s">
        <v>22</v>
      </c>
    </row>
    <row r="395" spans="1:10">
      <c r="A395" s="10">
        <v>46161.915467416977</v>
      </c>
      <c r="B395" s="11">
        <v>46161</v>
      </c>
      <c r="C395" t="s">
        <v>10</v>
      </c>
      <c r="D395" t="s">
        <v>72</v>
      </c>
      <c r="E395" t="s">
        <v>12</v>
      </c>
      <c r="F395">
        <v>30.56</v>
      </c>
      <c r="G395">
        <v>16.084211</v>
      </c>
      <c r="H395">
        <v>1.6839999999999999</v>
      </c>
      <c r="I395">
        <v>18379347968</v>
      </c>
      <c r="J395" t="s">
        <v>29</v>
      </c>
    </row>
    <row r="396" spans="1:10">
      <c r="A396" s="10">
        <v>46161.915470968139</v>
      </c>
      <c r="B396" s="11">
        <v>46161</v>
      </c>
      <c r="C396" t="s">
        <v>10</v>
      </c>
      <c r="D396" t="s">
        <v>73</v>
      </c>
      <c r="E396" t="s">
        <v>12</v>
      </c>
      <c r="F396">
        <v>171.33</v>
      </c>
      <c r="H396">
        <v>3.7589999999999999</v>
      </c>
      <c r="I396">
        <v>13747993600</v>
      </c>
      <c r="J396" t="s">
        <v>74</v>
      </c>
    </row>
    <row r="397" spans="1:10">
      <c r="A397" s="10">
        <v>46161.915476503636</v>
      </c>
      <c r="B397" s="11">
        <v>46161</v>
      </c>
      <c r="C397" t="s">
        <v>10</v>
      </c>
      <c r="D397" t="s">
        <v>75</v>
      </c>
      <c r="E397" t="s">
        <v>12</v>
      </c>
      <c r="F397">
        <v>81.135000000000005</v>
      </c>
      <c r="H397">
        <v>3.2709999999999999</v>
      </c>
      <c r="I397">
        <v>2551959808</v>
      </c>
      <c r="J397" t="s">
        <v>40</v>
      </c>
    </row>
    <row r="398" spans="1:10">
      <c r="A398" s="10">
        <v>46161.91548028875</v>
      </c>
      <c r="B398" s="11">
        <v>46161</v>
      </c>
      <c r="C398" t="s">
        <v>10</v>
      </c>
      <c r="D398" t="s">
        <v>76</v>
      </c>
      <c r="E398" t="s">
        <v>12</v>
      </c>
      <c r="F398">
        <v>11.59</v>
      </c>
      <c r="I398">
        <v>1785782912</v>
      </c>
      <c r="J398" t="s">
        <v>77</v>
      </c>
    </row>
    <row r="399" spans="1:10">
      <c r="A399" s="10">
        <v>46161.915483825876</v>
      </c>
      <c r="B399" s="11">
        <v>46161</v>
      </c>
      <c r="C399" t="s">
        <v>10</v>
      </c>
      <c r="D399" t="s">
        <v>78</v>
      </c>
      <c r="E399" t="s">
        <v>12</v>
      </c>
      <c r="F399">
        <v>223.15</v>
      </c>
      <c r="G399">
        <v>259.47674999999998</v>
      </c>
      <c r="H399">
        <v>3.4060000000000001</v>
      </c>
      <c r="I399">
        <v>237431275520</v>
      </c>
      <c r="J399" t="s">
        <v>22</v>
      </c>
    </row>
    <row r="400" spans="1:10">
      <c r="A400" s="10">
        <v>46161.915487233236</v>
      </c>
      <c r="B400" s="11">
        <v>46161</v>
      </c>
      <c r="C400" t="s">
        <v>10</v>
      </c>
      <c r="D400" t="s">
        <v>79</v>
      </c>
      <c r="E400" t="s">
        <v>12</v>
      </c>
      <c r="F400">
        <v>48.44</v>
      </c>
      <c r="G400">
        <v>124.20513</v>
      </c>
      <c r="H400">
        <v>3.052</v>
      </c>
      <c r="I400">
        <v>18081196032</v>
      </c>
      <c r="J400" t="s">
        <v>29</v>
      </c>
    </row>
    <row r="401" spans="1:10">
      <c r="A401" s="10">
        <v>46161.915491146137</v>
      </c>
      <c r="B401" s="11">
        <v>46161</v>
      </c>
      <c r="C401" t="s">
        <v>10</v>
      </c>
      <c r="D401" t="s">
        <v>80</v>
      </c>
      <c r="E401" t="s">
        <v>12</v>
      </c>
      <c r="F401">
        <v>13.07</v>
      </c>
      <c r="H401">
        <v>0.54300000000000004</v>
      </c>
      <c r="I401">
        <v>1995935104</v>
      </c>
      <c r="J401" t="s">
        <v>22</v>
      </c>
    </row>
    <row r="402" spans="1:10">
      <c r="A402" t="s">
        <v>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sqref="A1:C11"/>
    </sheetView>
  </sheetViews>
  <sheetFormatPr defaultRowHeight="14.25"/>
  <cols>
    <col min="1" max="1" width="14.1328125" bestFit="1" customWidth="1"/>
    <col min="2" max="2" width="34.1328125" bestFit="1" customWidth="1"/>
    <col min="3" max="3" width="11.1328125" bestFit="1" customWidth="1"/>
  </cols>
  <sheetData>
    <row r="1" spans="1:3">
      <c r="A1" t="s">
        <v>122</v>
      </c>
      <c r="B1" t="s">
        <v>123</v>
      </c>
      <c r="C1" t="s">
        <v>124</v>
      </c>
    </row>
    <row r="2" spans="1:3">
      <c r="A2" t="s">
        <v>82</v>
      </c>
      <c r="B2" t="s">
        <v>125</v>
      </c>
      <c r="C2" s="1">
        <v>46161</v>
      </c>
    </row>
    <row r="3" spans="1:3">
      <c r="A3" t="s">
        <v>83</v>
      </c>
      <c r="B3" t="s">
        <v>126</v>
      </c>
      <c r="C3" t="s">
        <v>91</v>
      </c>
    </row>
    <row r="4" spans="1:3">
      <c r="A4" t="s">
        <v>3</v>
      </c>
      <c r="B4" t="s">
        <v>127</v>
      </c>
      <c r="C4" t="s">
        <v>35</v>
      </c>
    </row>
    <row r="5" spans="1:3">
      <c r="A5" t="s">
        <v>84</v>
      </c>
      <c r="B5" t="s">
        <v>128</v>
      </c>
      <c r="C5" t="s">
        <v>90</v>
      </c>
    </row>
    <row r="6" spans="1:3">
      <c r="A6" t="s">
        <v>85</v>
      </c>
      <c r="B6" t="s">
        <v>129</v>
      </c>
      <c r="C6">
        <v>10</v>
      </c>
    </row>
    <row r="7" spans="1:3">
      <c r="A7" t="s">
        <v>4</v>
      </c>
      <c r="B7" t="s">
        <v>130</v>
      </c>
      <c r="C7" t="s">
        <v>12</v>
      </c>
    </row>
    <row r="8" spans="1:3">
      <c r="A8" t="s">
        <v>86</v>
      </c>
      <c r="B8" t="s">
        <v>131</v>
      </c>
      <c r="C8">
        <v>200</v>
      </c>
    </row>
    <row r="9" spans="1:3">
      <c r="A9" t="s">
        <v>87</v>
      </c>
      <c r="B9" t="s">
        <v>132</v>
      </c>
      <c r="C9">
        <v>1</v>
      </c>
    </row>
    <row r="10" spans="1:3">
      <c r="A10" t="s">
        <v>88</v>
      </c>
      <c r="B10" t="s">
        <v>133</v>
      </c>
      <c r="C10">
        <v>0.79</v>
      </c>
    </row>
    <row r="11" spans="1:3">
      <c r="A11" t="s">
        <v>89</v>
      </c>
      <c r="B11" t="s">
        <v>134</v>
      </c>
      <c r="C11" t="s">
        <v>135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5F01-6AC6-4FB8-9BA9-DE7C42FEDA09}">
  <dimension ref="A1:B486"/>
  <sheetViews>
    <sheetView topLeftCell="A55" workbookViewId="0">
      <selection activeCell="B495" sqref="B495"/>
    </sheetView>
  </sheetViews>
  <sheetFormatPr defaultRowHeight="14.25"/>
  <cols>
    <col min="1" max="1" width="9.1328125" customWidth="1"/>
  </cols>
  <sheetData>
    <row r="1" spans="1:1">
      <c r="A1" s="12" t="s">
        <v>157</v>
      </c>
    </row>
    <row r="3" spans="1:1">
      <c r="A3" t="s">
        <v>158</v>
      </c>
    </row>
    <row r="5" spans="1:1">
      <c r="A5" t="s">
        <v>159</v>
      </c>
    </row>
    <row r="6" spans="1:1">
      <c r="A6" t="s">
        <v>160</v>
      </c>
    </row>
    <row r="8" spans="1:1">
      <c r="A8" t="s">
        <v>161</v>
      </c>
    </row>
    <row r="10" spans="1:1">
      <c r="A10" t="s">
        <v>162</v>
      </c>
    </row>
    <row r="11" spans="1:1">
      <c r="A11" t="s">
        <v>163</v>
      </c>
    </row>
    <row r="12" spans="1:1">
      <c r="A12" t="s">
        <v>164</v>
      </c>
    </row>
    <row r="13" spans="1:1">
      <c r="A13" t="s">
        <v>165</v>
      </c>
    </row>
    <row r="14" spans="1:1">
      <c r="A14" t="s">
        <v>166</v>
      </c>
    </row>
    <row r="16" spans="1:1">
      <c r="A16" t="s">
        <v>167</v>
      </c>
    </row>
    <row r="20" spans="1:2">
      <c r="A20" t="s">
        <v>168</v>
      </c>
    </row>
    <row r="22" spans="1:2">
      <c r="A22" t="s">
        <v>169</v>
      </c>
    </row>
    <row r="24" spans="1:2">
      <c r="A24" t="s">
        <v>170</v>
      </c>
      <c r="B24" t="s">
        <v>171</v>
      </c>
    </row>
    <row r="25" spans="1:2">
      <c r="A25" t="s">
        <v>172</v>
      </c>
      <c r="B25" t="s">
        <v>173</v>
      </c>
    </row>
    <row r="26" spans="1:2">
      <c r="A26" t="s">
        <v>22</v>
      </c>
      <c r="B26" t="s">
        <v>174</v>
      </c>
    </row>
    <row r="27" spans="1:2">
      <c r="A27" t="s">
        <v>175</v>
      </c>
      <c r="B27" t="s">
        <v>176</v>
      </c>
    </row>
    <row r="28" spans="1:2">
      <c r="A28" t="s">
        <v>177</v>
      </c>
      <c r="B28" t="s">
        <v>178</v>
      </c>
    </row>
    <row r="29" spans="1:2">
      <c r="A29" t="s">
        <v>179</v>
      </c>
      <c r="B29" t="s">
        <v>180</v>
      </c>
    </row>
    <row r="30" spans="1:2">
      <c r="A30" t="s">
        <v>181</v>
      </c>
      <c r="B30" t="s">
        <v>182</v>
      </c>
    </row>
    <row r="31" spans="1:2">
      <c r="A31" t="s">
        <v>183</v>
      </c>
      <c r="B31" t="s">
        <v>184</v>
      </c>
    </row>
    <row r="32" spans="1:2">
      <c r="A32" t="s">
        <v>185</v>
      </c>
      <c r="B32" t="s">
        <v>186</v>
      </c>
    </row>
    <row r="33" spans="1:2">
      <c r="A33" t="s">
        <v>187</v>
      </c>
      <c r="B33" t="s">
        <v>188</v>
      </c>
    </row>
    <row r="34" spans="1:2">
      <c r="A34" t="s">
        <v>189</v>
      </c>
      <c r="B34" t="s">
        <v>190</v>
      </c>
    </row>
    <row r="36" spans="1:2">
      <c r="A36" t="s">
        <v>191</v>
      </c>
    </row>
    <row r="38" spans="1:2">
      <c r="A38" t="s">
        <v>192</v>
      </c>
    </row>
    <row r="39" spans="1:2">
      <c r="A39" t="s">
        <v>193</v>
      </c>
    </row>
    <row r="41" spans="1:2">
      <c r="A41" t="s">
        <v>194</v>
      </c>
    </row>
    <row r="45" spans="1:2">
      <c r="A45" t="s">
        <v>195</v>
      </c>
    </row>
    <row r="49" spans="1:2">
      <c r="A49" t="s">
        <v>196</v>
      </c>
    </row>
    <row r="51" spans="1:2">
      <c r="A51" t="s">
        <v>197</v>
      </c>
      <c r="B51" t="s">
        <v>198</v>
      </c>
    </row>
    <row r="52" spans="1:2">
      <c r="A52" t="s">
        <v>59</v>
      </c>
      <c r="B52" t="s">
        <v>199</v>
      </c>
    </row>
    <row r="53" spans="1:2">
      <c r="A53" t="s">
        <v>63</v>
      </c>
      <c r="B53" t="s">
        <v>63</v>
      </c>
    </row>
    <row r="54" spans="1:2">
      <c r="A54" t="s">
        <v>54</v>
      </c>
      <c r="B54" t="s">
        <v>200</v>
      </c>
    </row>
    <row r="55" spans="1:2">
      <c r="A55" t="s">
        <v>51</v>
      </c>
      <c r="B55" t="s">
        <v>201</v>
      </c>
    </row>
    <row r="56" spans="1:2">
      <c r="A56" t="s">
        <v>67</v>
      </c>
      <c r="B56" t="s">
        <v>202</v>
      </c>
    </row>
    <row r="57" spans="1:2">
      <c r="A57" t="s">
        <v>78</v>
      </c>
      <c r="B57" t="s">
        <v>203</v>
      </c>
    </row>
    <row r="59" spans="1:2">
      <c r="A59" t="s">
        <v>204</v>
      </c>
    </row>
    <row r="61" spans="1:2">
      <c r="A61" t="s">
        <v>205</v>
      </c>
    </row>
    <row r="65" spans="1:2">
      <c r="A65" t="s">
        <v>206</v>
      </c>
    </row>
    <row r="67" spans="1:2">
      <c r="A67" t="s">
        <v>197</v>
      </c>
      <c r="B67" t="s">
        <v>198</v>
      </c>
    </row>
    <row r="68" spans="1:2">
      <c r="A68" t="s">
        <v>207</v>
      </c>
      <c r="B68" t="s">
        <v>208</v>
      </c>
    </row>
    <row r="69" spans="1:2">
      <c r="A69" t="s">
        <v>136</v>
      </c>
      <c r="B69" t="s">
        <v>209</v>
      </c>
    </row>
    <row r="70" spans="1:2">
      <c r="A70" t="s">
        <v>210</v>
      </c>
      <c r="B70" t="s">
        <v>211</v>
      </c>
    </row>
    <row r="71" spans="1:2">
      <c r="A71" t="s">
        <v>137</v>
      </c>
      <c r="B71" t="s">
        <v>212</v>
      </c>
    </row>
    <row r="72" spans="1:2">
      <c r="A72" t="s">
        <v>26</v>
      </c>
      <c r="B72" t="s">
        <v>213</v>
      </c>
    </row>
    <row r="73" spans="1:2">
      <c r="A73" t="s">
        <v>138</v>
      </c>
      <c r="B73" t="s">
        <v>214</v>
      </c>
    </row>
    <row r="75" spans="1:2">
      <c r="A75" t="s">
        <v>215</v>
      </c>
    </row>
    <row r="77" spans="1:2">
      <c r="A77" t="s">
        <v>216</v>
      </c>
    </row>
    <row r="78" spans="1:2">
      <c r="A78" t="s">
        <v>217</v>
      </c>
    </row>
    <row r="82" spans="1:2">
      <c r="A82" t="s">
        <v>218</v>
      </c>
    </row>
    <row r="84" spans="1:2">
      <c r="A84" t="s">
        <v>197</v>
      </c>
      <c r="B84" t="s">
        <v>198</v>
      </c>
    </row>
    <row r="85" spans="1:2">
      <c r="A85" t="s">
        <v>23</v>
      </c>
      <c r="B85" t="s">
        <v>219</v>
      </c>
    </row>
    <row r="86" spans="1:2">
      <c r="A86" t="s">
        <v>220</v>
      </c>
      <c r="B86" t="s">
        <v>221</v>
      </c>
    </row>
    <row r="87" spans="1:2">
      <c r="A87" t="s">
        <v>46</v>
      </c>
      <c r="B87" t="s">
        <v>222</v>
      </c>
    </row>
    <row r="88" spans="1:2">
      <c r="A88" t="s">
        <v>41</v>
      </c>
      <c r="B88" t="s">
        <v>223</v>
      </c>
    </row>
    <row r="90" spans="1:2">
      <c r="A90" t="s">
        <v>224</v>
      </c>
    </row>
    <row r="92" spans="1:2">
      <c r="A92" t="s">
        <v>225</v>
      </c>
    </row>
    <row r="96" spans="1:2">
      <c r="A96" t="s">
        <v>226</v>
      </c>
    </row>
    <row r="98" spans="1:2">
      <c r="A98" t="s">
        <v>197</v>
      </c>
      <c r="B98" t="s">
        <v>198</v>
      </c>
    </row>
    <row r="99" spans="1:2">
      <c r="A99" t="s">
        <v>57</v>
      </c>
      <c r="B99" t="s">
        <v>227</v>
      </c>
    </row>
    <row r="100" spans="1:2">
      <c r="A100" t="s">
        <v>139</v>
      </c>
      <c r="B100" t="s">
        <v>228</v>
      </c>
    </row>
    <row r="101" spans="1:2">
      <c r="A101" t="s">
        <v>48</v>
      </c>
      <c r="B101" t="s">
        <v>229</v>
      </c>
    </row>
    <row r="102" spans="1:2">
      <c r="A102" t="s">
        <v>140</v>
      </c>
      <c r="B102" t="s">
        <v>230</v>
      </c>
    </row>
    <row r="104" spans="1:2">
      <c r="A104" t="s">
        <v>231</v>
      </c>
    </row>
    <row r="106" spans="1:2">
      <c r="A106" t="s">
        <v>232</v>
      </c>
    </row>
    <row r="110" spans="1:2">
      <c r="A110" t="s">
        <v>233</v>
      </c>
    </row>
    <row r="112" spans="1:2">
      <c r="A112" t="s">
        <v>197</v>
      </c>
      <c r="B112" t="s">
        <v>198</v>
      </c>
    </row>
    <row r="113" spans="1:2">
      <c r="A113" t="s">
        <v>141</v>
      </c>
      <c r="B113" t="s">
        <v>234</v>
      </c>
    </row>
    <row r="114" spans="1:2">
      <c r="A114" t="s">
        <v>142</v>
      </c>
      <c r="B114" t="s">
        <v>235</v>
      </c>
    </row>
    <row r="115" spans="1:2">
      <c r="A115" t="s">
        <v>143</v>
      </c>
      <c r="B115" t="s">
        <v>236</v>
      </c>
    </row>
    <row r="116" spans="1:2">
      <c r="A116" t="s">
        <v>144</v>
      </c>
      <c r="B116" t="s">
        <v>237</v>
      </c>
    </row>
    <row r="118" spans="1:2">
      <c r="A118" t="s">
        <v>238</v>
      </c>
    </row>
    <row r="122" spans="1:2">
      <c r="A122" t="s">
        <v>239</v>
      </c>
    </row>
    <row r="124" spans="1:2">
      <c r="A124" t="s">
        <v>197</v>
      </c>
      <c r="B124" t="s">
        <v>198</v>
      </c>
    </row>
    <row r="125" spans="1:2">
      <c r="A125" t="s">
        <v>64</v>
      </c>
      <c r="B125" t="s">
        <v>240</v>
      </c>
    </row>
    <row r="126" spans="1:2">
      <c r="A126" t="s">
        <v>145</v>
      </c>
      <c r="B126" t="s">
        <v>241</v>
      </c>
    </row>
    <row r="127" spans="1:2">
      <c r="A127" t="s">
        <v>146</v>
      </c>
      <c r="B127" t="s">
        <v>242</v>
      </c>
    </row>
    <row r="129" spans="1:2">
      <c r="A129" t="s">
        <v>243</v>
      </c>
    </row>
    <row r="131" spans="1:2">
      <c r="A131" t="s">
        <v>244</v>
      </c>
    </row>
    <row r="135" spans="1:2">
      <c r="A135" t="s">
        <v>245</v>
      </c>
    </row>
    <row r="137" spans="1:2">
      <c r="A137" t="s">
        <v>246</v>
      </c>
    </row>
    <row r="139" spans="1:2">
      <c r="A139" t="s">
        <v>197</v>
      </c>
      <c r="B139" t="s">
        <v>198</v>
      </c>
    </row>
    <row r="140" spans="1:2">
      <c r="A140" t="s">
        <v>147</v>
      </c>
      <c r="B140" t="s">
        <v>247</v>
      </c>
    </row>
    <row r="141" spans="1:2">
      <c r="A141" t="s">
        <v>148</v>
      </c>
      <c r="B141" t="s">
        <v>248</v>
      </c>
    </row>
    <row r="142" spans="1:2">
      <c r="A142" t="s">
        <v>149</v>
      </c>
      <c r="B142" t="s">
        <v>249</v>
      </c>
    </row>
    <row r="143" spans="1:2">
      <c r="A143" t="s">
        <v>150</v>
      </c>
      <c r="B143" t="s">
        <v>250</v>
      </c>
    </row>
    <row r="145" spans="1:2">
      <c r="A145" t="s">
        <v>251</v>
      </c>
    </row>
    <row r="147" spans="1:2">
      <c r="A147" t="s">
        <v>252</v>
      </c>
    </row>
    <row r="151" spans="1:2">
      <c r="A151" t="s">
        <v>253</v>
      </c>
    </row>
    <row r="153" spans="1:2">
      <c r="A153" t="s">
        <v>254</v>
      </c>
    </row>
    <row r="155" spans="1:2">
      <c r="A155" t="s">
        <v>197</v>
      </c>
      <c r="B155" t="s">
        <v>171</v>
      </c>
    </row>
    <row r="156" spans="1:2">
      <c r="A156" t="s">
        <v>151</v>
      </c>
      <c r="B156" t="s">
        <v>255</v>
      </c>
    </row>
    <row r="157" spans="1:2">
      <c r="A157" t="s">
        <v>152</v>
      </c>
      <c r="B157" t="s">
        <v>256</v>
      </c>
    </row>
    <row r="158" spans="1:2">
      <c r="A158" t="s">
        <v>153</v>
      </c>
      <c r="B158" t="s">
        <v>22</v>
      </c>
    </row>
    <row r="159" spans="1:2">
      <c r="A159" t="s">
        <v>154</v>
      </c>
      <c r="B159" t="s">
        <v>257</v>
      </c>
    </row>
    <row r="160" spans="1:2">
      <c r="A160" t="s">
        <v>155</v>
      </c>
      <c r="B160" t="s">
        <v>258</v>
      </c>
    </row>
    <row r="161" spans="1:2">
      <c r="A161" t="s">
        <v>156</v>
      </c>
      <c r="B161" t="s">
        <v>259</v>
      </c>
    </row>
    <row r="163" spans="1:2">
      <c r="A163" t="s">
        <v>260</v>
      </c>
    </row>
    <row r="165" spans="1:2">
      <c r="A165" t="s">
        <v>261</v>
      </c>
    </row>
    <row r="166" spans="1:2">
      <c r="A166" t="s">
        <v>262</v>
      </c>
    </row>
    <row r="167" spans="1:2">
      <c r="A167" t="s">
        <v>263</v>
      </c>
    </row>
    <row r="171" spans="1:2">
      <c r="A171" t="s">
        <v>264</v>
      </c>
    </row>
    <row r="173" spans="1:2">
      <c r="A173" t="s">
        <v>265</v>
      </c>
    </row>
    <row r="174" spans="1:2">
      <c r="A174" t="s">
        <v>266</v>
      </c>
    </row>
    <row r="176" spans="1:2">
      <c r="A176" t="s">
        <v>267</v>
      </c>
    </row>
    <row r="178" spans="1:2">
      <c r="A178" t="s">
        <v>268</v>
      </c>
    </row>
    <row r="180" spans="1:2">
      <c r="A180" t="s">
        <v>269</v>
      </c>
    </row>
    <row r="182" spans="1:2">
      <c r="A182" t="s">
        <v>270</v>
      </c>
    </row>
    <row r="184" spans="1:2">
      <c r="A184" t="s">
        <v>271</v>
      </c>
      <c r="B184" t="s">
        <v>272</v>
      </c>
    </row>
    <row r="185" spans="1:2">
      <c r="A185" t="s">
        <v>273</v>
      </c>
      <c r="B185" t="s">
        <v>274</v>
      </c>
    </row>
    <row r="186" spans="1:2">
      <c r="A186" t="s">
        <v>275</v>
      </c>
      <c r="B186" t="s">
        <v>276</v>
      </c>
    </row>
    <row r="187" spans="1:2">
      <c r="A187" t="s">
        <v>277</v>
      </c>
      <c r="B187" t="s">
        <v>278</v>
      </c>
    </row>
    <row r="188" spans="1:2">
      <c r="A188" t="s">
        <v>279</v>
      </c>
      <c r="B188" t="s">
        <v>280</v>
      </c>
    </row>
    <row r="189" spans="1:2">
      <c r="A189" t="s">
        <v>281</v>
      </c>
      <c r="B189" t="s">
        <v>282</v>
      </c>
    </row>
    <row r="191" spans="1:2">
      <c r="A191" t="s">
        <v>283</v>
      </c>
    </row>
    <row r="192" spans="1:2">
      <c r="A192" t="s">
        <v>284</v>
      </c>
    </row>
    <row r="196" spans="1:2">
      <c r="A196" t="s">
        <v>285</v>
      </c>
    </row>
    <row r="198" spans="1:2">
      <c r="A198" t="s">
        <v>286</v>
      </c>
    </row>
    <row r="200" spans="1:2">
      <c r="A200" t="s">
        <v>287</v>
      </c>
    </row>
    <row r="201" spans="1:2">
      <c r="A201" t="s">
        <v>288</v>
      </c>
    </row>
    <row r="202" spans="1:2">
      <c r="A202" t="s">
        <v>289</v>
      </c>
    </row>
    <row r="204" spans="1:2">
      <c r="A204" t="s">
        <v>290</v>
      </c>
    </row>
    <row r="206" spans="1:2">
      <c r="A206" t="s">
        <v>291</v>
      </c>
      <c r="B206" t="s">
        <v>292</v>
      </c>
    </row>
    <row r="207" spans="1:2">
      <c r="A207" t="s">
        <v>293</v>
      </c>
      <c r="B207" t="s">
        <v>22</v>
      </c>
    </row>
    <row r="208" spans="1:2">
      <c r="A208" t="s">
        <v>294</v>
      </c>
      <c r="B208" t="s">
        <v>295</v>
      </c>
    </row>
    <row r="209" spans="1:2">
      <c r="A209" t="s">
        <v>296</v>
      </c>
      <c r="B209" t="s">
        <v>175</v>
      </c>
    </row>
    <row r="210" spans="1:2">
      <c r="A210" t="s">
        <v>297</v>
      </c>
      <c r="B210" t="s">
        <v>298</v>
      </c>
    </row>
    <row r="211" spans="1:2">
      <c r="A211" t="s">
        <v>299</v>
      </c>
      <c r="B211" t="s">
        <v>300</v>
      </c>
    </row>
    <row r="213" spans="1:2">
      <c r="A213" s="31" t="s">
        <v>461</v>
      </c>
    </row>
    <row r="214" spans="1:2" ht="31.9">
      <c r="A214" s="23" t="s">
        <v>462</v>
      </c>
    </row>
    <row r="216" spans="1:2">
      <c r="A216" t="s">
        <v>463</v>
      </c>
    </row>
    <row r="217" spans="1:2">
      <c r="A217" s="22"/>
    </row>
    <row r="218" spans="1:2">
      <c r="A218" s="24" t="s">
        <v>464</v>
      </c>
    </row>
    <row r="220" spans="1:2">
      <c r="A220" t="s">
        <v>465</v>
      </c>
    </row>
    <row r="221" spans="1:2">
      <c r="A221" s="22"/>
    </row>
    <row r="222" spans="1:2">
      <c r="A222" s="24" t="s">
        <v>466</v>
      </c>
    </row>
    <row r="226" spans="1:1" ht="31.9">
      <c r="A226" s="23" t="s">
        <v>467</v>
      </c>
    </row>
    <row r="228" spans="1:1">
      <c r="A228" t="s">
        <v>468</v>
      </c>
    </row>
    <row r="229" spans="1:1">
      <c r="A229" s="29"/>
    </row>
    <row r="230" spans="1:1">
      <c r="A230" s="29" t="s">
        <v>469</v>
      </c>
    </row>
    <row r="231" spans="1:1">
      <c r="A231" s="29" t="s">
        <v>470</v>
      </c>
    </row>
    <row r="232" spans="1:1">
      <c r="A232" s="29" t="s">
        <v>471</v>
      </c>
    </row>
    <row r="234" spans="1:1">
      <c r="A234" t="s">
        <v>472</v>
      </c>
    </row>
    <row r="235" spans="1:1">
      <c r="A235" s="29"/>
    </row>
    <row r="236" spans="1:1">
      <c r="A236" s="29" t="s">
        <v>473</v>
      </c>
    </row>
    <row r="237" spans="1:1">
      <c r="A237" s="29" t="s">
        <v>474</v>
      </c>
    </row>
    <row r="238" spans="1:1">
      <c r="A238" s="29" t="s">
        <v>475</v>
      </c>
    </row>
    <row r="239" spans="1:1">
      <c r="A239" s="29" t="s">
        <v>476</v>
      </c>
    </row>
    <row r="240" spans="1:1">
      <c r="A240" s="29" t="s">
        <v>477</v>
      </c>
    </row>
    <row r="242" spans="1:1">
      <c r="A242" t="s">
        <v>478</v>
      </c>
    </row>
    <row r="243" spans="1:1">
      <c r="A243" s="29"/>
    </row>
    <row r="244" spans="1:1">
      <c r="A244" s="29" t="s">
        <v>479</v>
      </c>
    </row>
    <row r="245" spans="1:1">
      <c r="A245" s="29" t="s">
        <v>480</v>
      </c>
    </row>
    <row r="246" spans="1:1">
      <c r="A246" s="29" t="s">
        <v>481</v>
      </c>
    </row>
    <row r="247" spans="1:1">
      <c r="A247" s="29" t="s">
        <v>482</v>
      </c>
    </row>
    <row r="251" spans="1:1" ht="31.9">
      <c r="A251" s="23" t="s">
        <v>483</v>
      </c>
    </row>
    <row r="253" spans="1:1">
      <c r="A253" t="s">
        <v>484</v>
      </c>
    </row>
    <row r="254" spans="1:1">
      <c r="A254" s="29"/>
    </row>
    <row r="255" spans="1:1">
      <c r="A255" s="29" t="s">
        <v>485</v>
      </c>
    </row>
    <row r="256" spans="1:1">
      <c r="A256" s="29" t="s">
        <v>486</v>
      </c>
    </row>
    <row r="257" spans="1:1">
      <c r="A257" s="29" t="s">
        <v>487</v>
      </c>
    </row>
    <row r="259" spans="1:1">
      <c r="A259" t="s">
        <v>472</v>
      </c>
    </row>
    <row r="260" spans="1:1">
      <c r="A260" s="29"/>
    </row>
    <row r="261" spans="1:1">
      <c r="A261" s="29" t="s">
        <v>488</v>
      </c>
    </row>
    <row r="262" spans="1:1">
      <c r="A262" s="29" t="s">
        <v>489</v>
      </c>
    </row>
    <row r="263" spans="1:1">
      <c r="A263" s="29" t="s">
        <v>490</v>
      </c>
    </row>
    <row r="264" spans="1:1">
      <c r="A264" s="29" t="s">
        <v>491</v>
      </c>
    </row>
    <row r="265" spans="1:1">
      <c r="A265" s="29" t="s">
        <v>492</v>
      </c>
    </row>
    <row r="267" spans="1:1">
      <c r="A267" t="s">
        <v>478</v>
      </c>
    </row>
    <row r="268" spans="1:1">
      <c r="A268" s="29"/>
    </row>
    <row r="269" spans="1:1">
      <c r="A269" s="29" t="s">
        <v>493</v>
      </c>
    </row>
    <row r="270" spans="1:1">
      <c r="A270" s="29" t="s">
        <v>494</v>
      </c>
    </row>
    <row r="271" spans="1:1">
      <c r="A271" s="29" t="s">
        <v>495</v>
      </c>
    </row>
    <row r="272" spans="1:1">
      <c r="A272" s="29" t="s">
        <v>496</v>
      </c>
    </row>
    <row r="276" spans="1:1" ht="31.9">
      <c r="A276" s="23" t="s">
        <v>497</v>
      </c>
    </row>
    <row r="278" spans="1:1">
      <c r="A278" t="s">
        <v>498</v>
      </c>
    </row>
    <row r="279" spans="1:1">
      <c r="A279" s="22"/>
    </row>
    <row r="280" spans="1:1">
      <c r="A280" s="24" t="s">
        <v>499</v>
      </c>
    </row>
    <row r="281" spans="1:1">
      <c r="A281" s="24" t="s">
        <v>500</v>
      </c>
    </row>
    <row r="282" spans="1:1">
      <c r="A282" s="24" t="s">
        <v>501</v>
      </c>
    </row>
    <row r="284" spans="1:1">
      <c r="A284" t="s">
        <v>502</v>
      </c>
    </row>
    <row r="285" spans="1:1">
      <c r="A285" s="22"/>
    </row>
    <row r="286" spans="1:1">
      <c r="A286" s="24" t="s">
        <v>499</v>
      </c>
    </row>
    <row r="287" spans="1:1">
      <c r="A287" s="24" t="s">
        <v>503</v>
      </c>
    </row>
    <row r="288" spans="1:1">
      <c r="A288" s="24" t="s">
        <v>501</v>
      </c>
    </row>
    <row r="292" spans="1:1" ht="31.9">
      <c r="A292" s="23" t="s">
        <v>504</v>
      </c>
    </row>
    <row r="294" spans="1:1">
      <c r="A294" t="s">
        <v>505</v>
      </c>
    </row>
    <row r="295" spans="1:1">
      <c r="A295" s="22"/>
    </row>
    <row r="296" spans="1:1">
      <c r="A296" s="24" t="s">
        <v>506</v>
      </c>
    </row>
    <row r="298" spans="1:1">
      <c r="A298" t="s">
        <v>270</v>
      </c>
    </row>
    <row r="300" spans="1:1" ht="23.25">
      <c r="A300" s="28" t="s">
        <v>467</v>
      </c>
    </row>
    <row r="301" spans="1:1">
      <c r="A301" s="22"/>
    </row>
    <row r="302" spans="1:1">
      <c r="A302" s="24" t="s">
        <v>507</v>
      </c>
    </row>
    <row r="304" spans="1:1">
      <c r="A304" t="s">
        <v>465</v>
      </c>
    </row>
    <row r="305" spans="1:1">
      <c r="A305" s="29"/>
    </row>
    <row r="306" spans="1:1">
      <c r="A306" s="29" t="s">
        <v>508</v>
      </c>
    </row>
    <row r="307" spans="1:1">
      <c r="A307" s="29" t="s">
        <v>509</v>
      </c>
    </row>
    <row r="311" spans="1:1" ht="23.25">
      <c r="A311" s="28" t="s">
        <v>483</v>
      </c>
    </row>
    <row r="312" spans="1:1">
      <c r="A312" s="22"/>
    </row>
    <row r="313" spans="1:1">
      <c r="A313" s="24" t="s">
        <v>510</v>
      </c>
    </row>
    <row r="315" spans="1:1">
      <c r="A315" t="s">
        <v>465</v>
      </c>
    </row>
    <row r="316" spans="1:1">
      <c r="A316" s="29"/>
    </row>
    <row r="317" spans="1:1">
      <c r="A317" s="29" t="s">
        <v>511</v>
      </c>
    </row>
    <row r="318" spans="1:1">
      <c r="A318" s="29" t="s">
        <v>512</v>
      </c>
    </row>
    <row r="320" spans="1:1">
      <c r="A320" t="s">
        <v>513</v>
      </c>
    </row>
    <row r="321" spans="1:1">
      <c r="A321" s="29"/>
    </row>
    <row r="322" spans="1:1">
      <c r="A322" s="29" t="s">
        <v>514</v>
      </c>
    </row>
    <row r="326" spans="1:1" ht="31.9">
      <c r="A326" s="23" t="s">
        <v>515</v>
      </c>
    </row>
    <row r="328" spans="1:1">
      <c r="A328" t="s">
        <v>516</v>
      </c>
    </row>
    <row r="330" spans="1:1">
      <c r="A330" t="s">
        <v>517</v>
      </c>
    </row>
    <row r="331" spans="1:1">
      <c r="A331" s="22"/>
    </row>
    <row r="332" spans="1:1">
      <c r="A332" s="24" t="s">
        <v>518</v>
      </c>
    </row>
    <row r="334" spans="1:1">
      <c r="A334" t="s">
        <v>519</v>
      </c>
    </row>
    <row r="335" spans="1:1">
      <c r="A335" s="22"/>
    </row>
    <row r="336" spans="1:1">
      <c r="A336" s="24" t="s">
        <v>520</v>
      </c>
    </row>
    <row r="340" spans="1:1" ht="31.9">
      <c r="A340" s="23" t="s">
        <v>521</v>
      </c>
    </row>
    <row r="342" spans="1:1">
      <c r="A342" t="s">
        <v>522</v>
      </c>
    </row>
    <row r="343" spans="1:1">
      <c r="A343" s="29"/>
    </row>
    <row r="344" spans="1:1">
      <c r="A344" s="29" t="s">
        <v>118</v>
      </c>
    </row>
    <row r="345" spans="1:1">
      <c r="A345" s="29" t="s">
        <v>523</v>
      </c>
    </row>
    <row r="346" spans="1:1">
      <c r="A346" s="29" t="s">
        <v>524</v>
      </c>
    </row>
    <row r="347" spans="1:1">
      <c r="A347" s="29" t="s">
        <v>525</v>
      </c>
    </row>
    <row r="348" spans="1:1">
      <c r="A348" s="29" t="s">
        <v>526</v>
      </c>
    </row>
    <row r="349" spans="1:1">
      <c r="A349" s="29" t="s">
        <v>527</v>
      </c>
    </row>
    <row r="353" spans="1:1" ht="31.9">
      <c r="A353" s="23" t="s">
        <v>124</v>
      </c>
    </row>
    <row r="355" spans="1:1" ht="23.25">
      <c r="A355" s="28" t="s">
        <v>441</v>
      </c>
    </row>
    <row r="357" spans="1:1">
      <c r="A357" t="s">
        <v>528</v>
      </c>
    </row>
    <row r="358" spans="1:1">
      <c r="A358" s="29"/>
    </row>
    <row r="359" spans="1:1">
      <c r="A359" s="29" t="s">
        <v>529</v>
      </c>
    </row>
    <row r="360" spans="1:1">
      <c r="A360" s="29" t="s">
        <v>480</v>
      </c>
    </row>
    <row r="361" spans="1:1">
      <c r="A361" s="29" t="s">
        <v>530</v>
      </c>
    </row>
    <row r="363" spans="1:1">
      <c r="A363" t="s">
        <v>531</v>
      </c>
    </row>
    <row r="364" spans="1:1">
      <c r="A364" s="22"/>
    </row>
    <row r="365" spans="1:1">
      <c r="A365" s="24" t="s">
        <v>532</v>
      </c>
    </row>
    <row r="367" spans="1:1">
      <c r="A367" t="s">
        <v>533</v>
      </c>
    </row>
    <row r="368" spans="1:1">
      <c r="A368" s="29"/>
    </row>
    <row r="369" spans="1:1">
      <c r="A369" s="29" t="s">
        <v>534</v>
      </c>
    </row>
    <row r="373" spans="1:1" ht="31.9">
      <c r="A373" s="23" t="s">
        <v>535</v>
      </c>
    </row>
    <row r="375" spans="1:1">
      <c r="A375" t="s">
        <v>536</v>
      </c>
    </row>
    <row r="376" spans="1:1">
      <c r="A376" s="22"/>
    </row>
    <row r="377" spans="1:1">
      <c r="A377" s="24" t="s">
        <v>537</v>
      </c>
    </row>
    <row r="379" spans="1:1">
      <c r="A379" t="s">
        <v>158</v>
      </c>
    </row>
    <row r="380" spans="1:1">
      <c r="A380" s="29"/>
    </row>
    <row r="381" spans="1:1">
      <c r="A381" s="29" t="s">
        <v>538</v>
      </c>
    </row>
    <row r="382" spans="1:1">
      <c r="A382" s="29" t="s">
        <v>539</v>
      </c>
    </row>
    <row r="383" spans="1:1">
      <c r="A383" s="29" t="s">
        <v>540</v>
      </c>
    </row>
    <row r="385" spans="1:1">
      <c r="A385" t="s">
        <v>541</v>
      </c>
    </row>
    <row r="386" spans="1:1">
      <c r="A386" s="22"/>
    </row>
    <row r="387" spans="1:1">
      <c r="A387" s="24" t="s">
        <v>542</v>
      </c>
    </row>
    <row r="389" spans="1:1">
      <c r="A389" t="s">
        <v>543</v>
      </c>
    </row>
    <row r="391" spans="1:1">
      <c r="A391" t="s">
        <v>544</v>
      </c>
    </row>
    <row r="395" spans="1:1" ht="31.9">
      <c r="A395" s="23" t="s">
        <v>545</v>
      </c>
    </row>
    <row r="397" spans="1:1">
      <c r="A397" t="s">
        <v>546</v>
      </c>
    </row>
    <row r="398" spans="1:1">
      <c r="A398" s="22"/>
    </row>
    <row r="399" spans="1:1">
      <c r="A399" s="24" t="s">
        <v>547</v>
      </c>
    </row>
    <row r="401" spans="1:1">
      <c r="A401" t="s">
        <v>548</v>
      </c>
    </row>
    <row r="402" spans="1:1">
      <c r="A402" s="29"/>
    </row>
    <row r="403" spans="1:1">
      <c r="A403" s="29" t="s">
        <v>549</v>
      </c>
    </row>
    <row r="404" spans="1:1">
      <c r="A404" s="29" t="s">
        <v>550</v>
      </c>
    </row>
    <row r="405" spans="1:1">
      <c r="A405" s="29" t="s">
        <v>551</v>
      </c>
    </row>
    <row r="407" spans="1:1">
      <c r="A407" t="s">
        <v>552</v>
      </c>
    </row>
    <row r="409" spans="1:1" ht="23.25">
      <c r="A409" s="28" t="s">
        <v>553</v>
      </c>
    </row>
    <row r="411" spans="1:1">
      <c r="A411" t="s">
        <v>554</v>
      </c>
    </row>
    <row r="412" spans="1:1">
      <c r="A412" s="22"/>
    </row>
    <row r="413" spans="1:1">
      <c r="A413" s="24" t="s">
        <v>555</v>
      </c>
    </row>
    <row r="415" spans="1:1">
      <c r="A415" t="s">
        <v>556</v>
      </c>
    </row>
    <row r="416" spans="1:1">
      <c r="A416" s="22"/>
    </row>
    <row r="417" spans="1:1">
      <c r="A417" s="24" t="s">
        <v>557</v>
      </c>
    </row>
    <row r="419" spans="1:1">
      <c r="A419" t="s">
        <v>558</v>
      </c>
    </row>
    <row r="421" spans="1:1">
      <c r="A421" t="s">
        <v>559</v>
      </c>
    </row>
    <row r="425" spans="1:1" ht="31.9">
      <c r="A425" s="23" t="s">
        <v>560</v>
      </c>
    </row>
    <row r="427" spans="1:1">
      <c r="A427" t="s">
        <v>561</v>
      </c>
    </row>
    <row r="429" spans="1:1" ht="31.9">
      <c r="A429" s="23" t="s">
        <v>562</v>
      </c>
    </row>
    <row r="430" spans="1:1">
      <c r="A430" s="22"/>
    </row>
    <row r="431" spans="1:1">
      <c r="A431" s="24" t="s">
        <v>563</v>
      </c>
    </row>
    <row r="433" spans="1:1">
      <c r="A433" t="s">
        <v>564</v>
      </c>
    </row>
    <row r="435" spans="1:1" ht="31.9">
      <c r="A435" s="23" t="s">
        <v>565</v>
      </c>
    </row>
    <row r="436" spans="1:1">
      <c r="A436" s="22"/>
    </row>
    <row r="437" spans="1:1">
      <c r="A437" s="24" t="s">
        <v>566</v>
      </c>
    </row>
    <row r="439" spans="1:1">
      <c r="A439" t="s">
        <v>567</v>
      </c>
    </row>
    <row r="443" spans="1:1" ht="31.9">
      <c r="A443" s="23" t="s">
        <v>124</v>
      </c>
    </row>
    <row r="445" spans="1:1" ht="23.25">
      <c r="A445" s="28" t="s">
        <v>568</v>
      </c>
    </row>
    <row r="447" spans="1:1">
      <c r="A447" t="s">
        <v>569</v>
      </c>
    </row>
    <row r="448" spans="1:1">
      <c r="A448" s="29"/>
    </row>
    <row r="449" spans="1:1">
      <c r="A449" s="29" t="s">
        <v>570</v>
      </c>
    </row>
    <row r="450" spans="1:1">
      <c r="A450" s="29" t="s">
        <v>571</v>
      </c>
    </row>
    <row r="451" spans="1:1">
      <c r="A451" s="29" t="s">
        <v>572</v>
      </c>
    </row>
    <row r="452" spans="1:1">
      <c r="A452" s="29" t="s">
        <v>573</v>
      </c>
    </row>
    <row r="454" spans="1:1">
      <c r="A454" t="s">
        <v>574</v>
      </c>
    </row>
    <row r="455" spans="1:1">
      <c r="A455" s="29"/>
    </row>
    <row r="456" spans="1:1">
      <c r="A456" s="29" t="s">
        <v>575</v>
      </c>
    </row>
    <row r="460" spans="1:1" ht="31.9">
      <c r="A460" s="23" t="s">
        <v>576</v>
      </c>
    </row>
    <row r="461" spans="1:1">
      <c r="A461" s="22"/>
    </row>
    <row r="462" spans="1:1">
      <c r="A462" s="24" t="s">
        <v>577</v>
      </c>
    </row>
    <row r="463" spans="1:1">
      <c r="A463" s="24" t="s">
        <v>578</v>
      </c>
    </row>
    <row r="464" spans="1:1">
      <c r="A464" s="24" t="s">
        <v>579</v>
      </c>
    </row>
    <row r="465" spans="1:1">
      <c r="A465" s="24" t="s">
        <v>578</v>
      </c>
    </row>
    <row r="466" spans="1:1">
      <c r="A466" s="24" t="s">
        <v>580</v>
      </c>
    </row>
    <row r="467" spans="1:1">
      <c r="A467" s="24" t="s">
        <v>578</v>
      </c>
    </row>
    <row r="468" spans="1:1">
      <c r="A468" s="24" t="s">
        <v>581</v>
      </c>
    </row>
    <row r="472" spans="1:1" ht="31.9">
      <c r="A472" s="23" t="s">
        <v>582</v>
      </c>
    </row>
    <row r="473" spans="1:1">
      <c r="A473" s="22"/>
    </row>
    <row r="474" spans="1:1">
      <c r="A474" s="24" t="s">
        <v>577</v>
      </c>
    </row>
    <row r="475" spans="1:1">
      <c r="A475" s="24" t="s">
        <v>578</v>
      </c>
    </row>
    <row r="476" spans="1:1">
      <c r="A476" s="24" t="s">
        <v>583</v>
      </c>
    </row>
    <row r="477" spans="1:1">
      <c r="A477" s="24" t="s">
        <v>578</v>
      </c>
    </row>
    <row r="478" spans="1:1">
      <c r="A478" s="24" t="s">
        <v>584</v>
      </c>
    </row>
    <row r="479" spans="1:1">
      <c r="A479" s="24" t="s">
        <v>578</v>
      </c>
    </row>
    <row r="480" spans="1:1">
      <c r="A480" s="24" t="s">
        <v>585</v>
      </c>
    </row>
    <row r="481" spans="1:1">
      <c r="A481" s="24" t="s">
        <v>578</v>
      </c>
    </row>
    <row r="482" spans="1:1">
      <c r="A482" s="24" t="s">
        <v>586</v>
      </c>
    </row>
    <row r="484" spans="1:1">
      <c r="A484" t="s">
        <v>587</v>
      </c>
    </row>
    <row r="485" spans="1:1">
      <c r="A485" s="29"/>
    </row>
    <row r="486" spans="1:1">
      <c r="A486" s="29" t="s">
        <v>588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789E-96C1-4A68-AB4A-B5AB39D199D7}">
  <dimension ref="A1:D199"/>
  <sheetViews>
    <sheetView workbookViewId="0">
      <selection activeCell="G7" sqref="G7"/>
    </sheetView>
  </sheetViews>
  <sheetFormatPr defaultRowHeight="14.25"/>
  <sheetData>
    <row r="1" spans="1:3" ht="31.9">
      <c r="A1" s="23" t="s">
        <v>322</v>
      </c>
    </row>
    <row r="5" spans="1:3" ht="31.9">
      <c r="A5" s="23" t="s">
        <v>323</v>
      </c>
    </row>
    <row r="7" spans="1:3">
      <c r="A7" t="s">
        <v>324</v>
      </c>
    </row>
    <row r="8" spans="1:3">
      <c r="A8" s="22"/>
    </row>
    <row r="9" spans="1:3">
      <c r="A9" s="24" t="s">
        <v>325</v>
      </c>
    </row>
    <row r="11" spans="1:3">
      <c r="A11" t="s">
        <v>326</v>
      </c>
    </row>
    <row r="13" spans="1:3">
      <c r="A13" s="25" t="s">
        <v>327</v>
      </c>
      <c r="B13" s="25" t="s">
        <v>328</v>
      </c>
      <c r="C13" s="25" t="s">
        <v>329</v>
      </c>
    </row>
    <row r="14" spans="1:3">
      <c r="A14" s="26" t="s">
        <v>330</v>
      </c>
      <c r="B14" s="26" t="s">
        <v>197</v>
      </c>
      <c r="C14" s="26" t="s">
        <v>331</v>
      </c>
    </row>
    <row r="16" spans="1:3">
      <c r="A16" t="s">
        <v>270</v>
      </c>
    </row>
    <row r="18" spans="1:3">
      <c r="A18" s="25" t="s">
        <v>330</v>
      </c>
      <c r="B18" s="25" t="s">
        <v>197</v>
      </c>
      <c r="C18" s="25" t="s">
        <v>331</v>
      </c>
    </row>
    <row r="19" spans="1:3">
      <c r="A19" s="27">
        <v>46143</v>
      </c>
      <c r="B19" s="26" t="s">
        <v>80</v>
      </c>
      <c r="C19" s="26">
        <v>5.22</v>
      </c>
    </row>
    <row r="20" spans="1:3">
      <c r="A20" s="27">
        <v>46144</v>
      </c>
      <c r="B20" s="26" t="s">
        <v>80</v>
      </c>
      <c r="C20" s="26">
        <v>5.31</v>
      </c>
    </row>
    <row r="23" spans="1:3" ht="23.25">
      <c r="A23" s="28" t="s">
        <v>332</v>
      </c>
    </row>
    <row r="25" spans="1:3">
      <c r="A25" t="s">
        <v>333</v>
      </c>
    </row>
    <row r="26" spans="1:3">
      <c r="A26" s="29"/>
    </row>
    <row r="27" spans="1:3">
      <c r="A27" s="29" t="s">
        <v>334</v>
      </c>
    </row>
    <row r="28" spans="1:3">
      <c r="A28" s="29" t="s">
        <v>335</v>
      </c>
    </row>
    <row r="29" spans="1:3">
      <c r="A29" s="29" t="s">
        <v>336</v>
      </c>
    </row>
    <row r="33" spans="1:4" ht="31.9">
      <c r="A33" s="23" t="s">
        <v>337</v>
      </c>
    </row>
    <row r="35" spans="1:4">
      <c r="A35" t="s">
        <v>338</v>
      </c>
    </row>
    <row r="37" spans="1:4" ht="28.5">
      <c r="A37" s="25" t="s">
        <v>197</v>
      </c>
      <c r="B37" s="25" t="s">
        <v>339</v>
      </c>
      <c r="C37" s="25" t="s">
        <v>340</v>
      </c>
      <c r="D37" s="25" t="s">
        <v>341</v>
      </c>
    </row>
    <row r="39" spans="1:4">
      <c r="A39" t="s">
        <v>342</v>
      </c>
    </row>
    <row r="40" spans="1:4">
      <c r="A40" s="29"/>
    </row>
    <row r="41" spans="1:4">
      <c r="A41" s="29" t="s">
        <v>343</v>
      </c>
    </row>
    <row r="42" spans="1:4">
      <c r="A42" s="29" t="s">
        <v>344</v>
      </c>
    </row>
    <row r="46" spans="1:4" ht="31.9">
      <c r="A46" s="23" t="s">
        <v>345</v>
      </c>
    </row>
    <row r="48" spans="1:4">
      <c r="A48" t="s">
        <v>346</v>
      </c>
    </row>
    <row r="50" spans="1:1">
      <c r="A50" t="s">
        <v>347</v>
      </c>
    </row>
    <row r="52" spans="1:1">
      <c r="A52" t="s">
        <v>348</v>
      </c>
    </row>
    <row r="54" spans="1:1">
      <c r="A54" t="s">
        <v>349</v>
      </c>
    </row>
    <row r="56" spans="1:1">
      <c r="A56" t="s">
        <v>350</v>
      </c>
    </row>
    <row r="60" spans="1:1" ht="23.25">
      <c r="A60" s="28" t="s">
        <v>351</v>
      </c>
    </row>
    <row r="62" spans="1:1">
      <c r="A62" t="s">
        <v>352</v>
      </c>
    </row>
    <row r="63" spans="1:1">
      <c r="A63" s="22"/>
    </row>
    <row r="64" spans="1:1">
      <c r="A64" s="24" t="s">
        <v>353</v>
      </c>
    </row>
    <row r="66" spans="1:1">
      <c r="A66" t="s">
        <v>354</v>
      </c>
    </row>
    <row r="67" spans="1:1">
      <c r="A67" s="22"/>
    </row>
    <row r="68" spans="1:1">
      <c r="A68" s="24" t="e">
        <f>AVERAGE(C2:C11)</f>
        <v>#DIV/0!</v>
      </c>
    </row>
    <row r="72" spans="1:1" ht="23.25">
      <c r="A72" s="28" t="s">
        <v>332</v>
      </c>
    </row>
    <row r="74" spans="1:1">
      <c r="A74" t="s">
        <v>355</v>
      </c>
    </row>
    <row r="75" spans="1:1">
      <c r="A75" s="29"/>
    </row>
    <row r="76" spans="1:1">
      <c r="A76" s="29" t="s">
        <v>356</v>
      </c>
    </row>
    <row r="77" spans="1:1">
      <c r="A77" s="29" t="s">
        <v>357</v>
      </c>
    </row>
    <row r="78" spans="1:1">
      <c r="A78" s="29" t="s">
        <v>358</v>
      </c>
    </row>
    <row r="80" spans="1:1">
      <c r="A80" t="s">
        <v>359</v>
      </c>
    </row>
    <row r="84" spans="1:2" ht="31.9">
      <c r="A84" s="23" t="s">
        <v>360</v>
      </c>
    </row>
    <row r="86" spans="1:2">
      <c r="A86" t="s">
        <v>361</v>
      </c>
    </row>
    <row r="88" spans="1:2">
      <c r="A88" t="s">
        <v>326</v>
      </c>
    </row>
    <row r="90" spans="1:2">
      <c r="A90" t="s">
        <v>362</v>
      </c>
    </row>
    <row r="94" spans="1:2" ht="23.25">
      <c r="A94" s="28" t="s">
        <v>171</v>
      </c>
    </row>
    <row r="96" spans="1:2">
      <c r="A96" s="25" t="s">
        <v>363</v>
      </c>
      <c r="B96" s="25" t="s">
        <v>123</v>
      </c>
    </row>
    <row r="97" spans="1:2" ht="57">
      <c r="A97" s="26" t="s">
        <v>364</v>
      </c>
      <c r="B97" s="26" t="s">
        <v>365</v>
      </c>
    </row>
    <row r="98" spans="1:2" ht="28.5">
      <c r="A98" s="26" t="s">
        <v>366</v>
      </c>
      <c r="B98" s="26" t="s">
        <v>367</v>
      </c>
    </row>
    <row r="99" spans="1:2" ht="28.5">
      <c r="A99" s="26" t="s">
        <v>368</v>
      </c>
      <c r="B99" s="26" t="s">
        <v>369</v>
      </c>
    </row>
    <row r="100" spans="1:2" ht="28.5">
      <c r="A100" s="26" t="s">
        <v>370</v>
      </c>
      <c r="B100" s="26" t="s">
        <v>371</v>
      </c>
    </row>
    <row r="103" spans="1:2" ht="31.9">
      <c r="A103" s="23" t="s">
        <v>372</v>
      </c>
    </row>
    <row r="105" spans="1:2">
      <c r="A105" t="s">
        <v>270</v>
      </c>
    </row>
    <row r="106" spans="1:2">
      <c r="A106" s="22"/>
    </row>
    <row r="107" spans="1:2">
      <c r="A107" s="24" t="e" cm="1">
        <f t="array" ref="A107">IF(CurrentPrice&gt;MA50,"Bullish","Bearish")</f>
        <v>#NAME?</v>
      </c>
    </row>
    <row r="109" spans="1:2">
      <c r="A109" t="s">
        <v>373</v>
      </c>
    </row>
    <row r="113" spans="1:1" ht="31.9">
      <c r="A113" s="23" t="s">
        <v>374</v>
      </c>
    </row>
    <row r="115" spans="1:1">
      <c r="A115" t="s">
        <v>375</v>
      </c>
    </row>
    <row r="117" spans="1:1">
      <c r="A117" t="s">
        <v>376</v>
      </c>
    </row>
    <row r="121" spans="1:1" ht="23.25">
      <c r="A121" s="28" t="s">
        <v>97</v>
      </c>
    </row>
    <row r="122" spans="1:1">
      <c r="A122" s="22"/>
    </row>
    <row r="123" spans="1:1">
      <c r="A123" s="24">
        <f>C3-C2</f>
        <v>0</v>
      </c>
    </row>
    <row r="127" spans="1:1" ht="23.25">
      <c r="A127" s="28" t="s">
        <v>377</v>
      </c>
    </row>
    <row r="128" spans="1:1">
      <c r="A128" s="22"/>
    </row>
    <row r="129" spans="1:1">
      <c r="A129" s="24">
        <f>MAX(D3,0)</f>
        <v>0</v>
      </c>
    </row>
    <row r="133" spans="1:1" ht="23.25">
      <c r="A133" s="28" t="s">
        <v>378</v>
      </c>
    </row>
    <row r="134" spans="1:1">
      <c r="A134" s="22"/>
    </row>
    <row r="135" spans="1:1">
      <c r="A135" s="24">
        <f>ABS(MIN(D3,0))</f>
        <v>0</v>
      </c>
    </row>
    <row r="139" spans="1:1" ht="31.9">
      <c r="A139" s="23" t="s">
        <v>379</v>
      </c>
    </row>
    <row r="141" spans="1:1">
      <c r="A141" t="s">
        <v>380</v>
      </c>
    </row>
    <row r="143" spans="1:1">
      <c r="A143" t="s">
        <v>381</v>
      </c>
    </row>
    <row r="147" spans="1:1" ht="23.25">
      <c r="A147" s="28" t="s">
        <v>382</v>
      </c>
    </row>
    <row r="149" spans="1:1" ht="17.649999999999999">
      <c r="A149" s="30" t="s">
        <v>383</v>
      </c>
    </row>
    <row r="150" spans="1:1">
      <c r="A150" s="22"/>
    </row>
    <row r="151" spans="1:1">
      <c r="A151" s="24" t="e">
        <f>AVERAGE(E2:E15)</f>
        <v>#DIV/0!</v>
      </c>
    </row>
    <row r="153" spans="1:1" ht="17.649999999999999">
      <c r="A153" s="30" t="s">
        <v>384</v>
      </c>
    </row>
    <row r="154" spans="1:1">
      <c r="A154" s="22"/>
    </row>
    <row r="155" spans="1:1">
      <c r="A155" s="24" t="e">
        <f>AVERAGE(F2:F15)</f>
        <v>#DIV/0!</v>
      </c>
    </row>
    <row r="157" spans="1:1" ht="17.649999999999999">
      <c r="A157" s="30" t="s">
        <v>385</v>
      </c>
    </row>
    <row r="158" spans="1:1">
      <c r="A158" s="22"/>
    </row>
    <row r="159" spans="1:1">
      <c r="A159" s="24" t="e" cm="1">
        <f t="array" ref="A159">AvgGain/AvgLoss</f>
        <v>#NAME?</v>
      </c>
    </row>
    <row r="161" spans="1:1" ht="17.649999999999999">
      <c r="A161" s="30" t="s">
        <v>118</v>
      </c>
    </row>
    <row r="162" spans="1:1">
      <c r="A162" s="22"/>
    </row>
    <row r="163" spans="1:1">
      <c r="A163" s="24" t="e" cm="1">
        <f t="array" ref="A163">100-(100/(1+RS))</f>
        <v>#NAME?</v>
      </c>
    </row>
    <row r="167" spans="1:1" ht="31.9">
      <c r="A167" s="23" t="s">
        <v>386</v>
      </c>
    </row>
    <row r="168" spans="1:1">
      <c r="A168" s="22"/>
    </row>
    <row r="169" spans="1:1">
      <c r="A169" s="24" t="e" cm="1">
        <f t="array" ref="A169">IF(RSI&lt;30,"Oversold",IF(RSI&gt;70,"Overbought","Neutral"))</f>
        <v>#NAME?</v>
      </c>
    </row>
    <row r="173" spans="1:1" ht="31.9">
      <c r="A173" s="23" t="s">
        <v>387</v>
      </c>
    </row>
    <row r="175" spans="1:1">
      <c r="A175" t="s">
        <v>380</v>
      </c>
    </row>
    <row r="177" spans="1:1">
      <c r="A177" t="s">
        <v>388</v>
      </c>
    </row>
    <row r="179" spans="1:1">
      <c r="A179" t="s">
        <v>389</v>
      </c>
    </row>
    <row r="183" spans="1:1" ht="23.25">
      <c r="A183" s="28" t="s">
        <v>382</v>
      </c>
    </row>
    <row r="185" spans="1:1" ht="17.649999999999999">
      <c r="A185" s="30" t="s">
        <v>390</v>
      </c>
    </row>
    <row r="186" spans="1:1">
      <c r="A186" s="22"/>
    </row>
    <row r="187" spans="1:1">
      <c r="A187" s="24" t="e">
        <f>AVERAGE(last20)</f>
        <v>#NAME?</v>
      </c>
    </row>
    <row r="189" spans="1:1" ht="17.649999999999999">
      <c r="A189" s="30" t="s">
        <v>391</v>
      </c>
    </row>
    <row r="190" spans="1:1">
      <c r="A190" s="22"/>
    </row>
    <row r="191" spans="1:1">
      <c r="A191" s="24" t="e">
        <f>_xlfn.STDEV.P(last20)</f>
        <v>#NAME?</v>
      </c>
    </row>
    <row r="193" spans="1:1" ht="17.649999999999999">
      <c r="A193" s="30" t="s">
        <v>392</v>
      </c>
    </row>
    <row r="194" spans="1:1">
      <c r="A194" s="22"/>
    </row>
    <row r="195" spans="1:1">
      <c r="A195" s="24" t="e" cm="1">
        <f t="array" ref="A195">MA20+(2*StdDev)</f>
        <v>#NAME?</v>
      </c>
    </row>
    <row r="197" spans="1:1" ht="17.649999999999999">
      <c r="A197" s="30" t="s">
        <v>393</v>
      </c>
    </row>
    <row r="198" spans="1:1">
      <c r="A198" s="22"/>
    </row>
    <row r="199" spans="1:1">
      <c r="A199" s="24" t="e" cm="1">
        <f t="array" ref="A199">MA20-(2*StdDev)</f>
        <v>#NAME?</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66AE-11E1-41AC-875F-1DBE679B5DE3}">
  <dimension ref="A1:B46"/>
  <sheetViews>
    <sheetView topLeftCell="A31" workbookViewId="0">
      <selection activeCell="A39" sqref="A39:B46"/>
    </sheetView>
  </sheetViews>
  <sheetFormatPr defaultRowHeight="14.25"/>
  <sheetData>
    <row r="1" spans="1:2">
      <c r="A1" t="s">
        <v>395</v>
      </c>
    </row>
    <row r="3" spans="1:2">
      <c r="A3" t="s">
        <v>396</v>
      </c>
    </row>
    <row r="7" spans="1:2">
      <c r="A7" t="s">
        <v>397</v>
      </c>
    </row>
    <row r="9" spans="1:2">
      <c r="A9" t="s">
        <v>398</v>
      </c>
    </row>
    <row r="11" spans="1:2">
      <c r="A11" t="s">
        <v>399</v>
      </c>
      <c r="B11" t="s">
        <v>124</v>
      </c>
    </row>
    <row r="12" spans="1:2">
      <c r="A12" t="s">
        <v>400</v>
      </c>
      <c r="B12" t="s">
        <v>401</v>
      </c>
    </row>
    <row r="13" spans="1:2">
      <c r="A13" t="s">
        <v>402</v>
      </c>
      <c r="B13" t="s">
        <v>403</v>
      </c>
    </row>
    <row r="14" spans="1:2">
      <c r="A14" t="s">
        <v>404</v>
      </c>
      <c r="B14" t="s">
        <v>405</v>
      </c>
    </row>
    <row r="15" spans="1:2">
      <c r="A15" t="s">
        <v>406</v>
      </c>
      <c r="B15" t="s">
        <v>407</v>
      </c>
    </row>
    <row r="16" spans="1:2">
      <c r="A16" t="s">
        <v>408</v>
      </c>
      <c r="B16" t="s">
        <v>409</v>
      </c>
    </row>
    <row r="18" spans="1:2">
      <c r="A18" t="s">
        <v>333</v>
      </c>
    </row>
    <row r="20" spans="1:2">
      <c r="A20" t="s">
        <v>410</v>
      </c>
    </row>
    <row r="22" spans="1:2">
      <c r="A22" t="s">
        <v>399</v>
      </c>
      <c r="B22" t="s">
        <v>411</v>
      </c>
    </row>
    <row r="23" spans="1:2">
      <c r="A23" t="s">
        <v>412</v>
      </c>
      <c r="B23" t="s">
        <v>413</v>
      </c>
    </row>
    <row r="24" spans="1:2">
      <c r="A24" t="s">
        <v>414</v>
      </c>
      <c r="B24" t="s">
        <v>415</v>
      </c>
    </row>
    <row r="25" spans="1:2">
      <c r="A25" t="s">
        <v>416</v>
      </c>
      <c r="B25" t="s">
        <v>417</v>
      </c>
    </row>
    <row r="26" spans="1:2">
      <c r="A26" t="s">
        <v>418</v>
      </c>
      <c r="B26" t="s">
        <v>419</v>
      </c>
    </row>
    <row r="28" spans="1:2">
      <c r="A28" t="s">
        <v>431</v>
      </c>
    </row>
    <row r="29" spans="1:2">
      <c r="A29" t="s">
        <v>420</v>
      </c>
    </row>
    <row r="31" spans="1:2">
      <c r="A31" t="s">
        <v>421</v>
      </c>
      <c r="B31" t="s">
        <v>422</v>
      </c>
    </row>
    <row r="32" spans="1:2">
      <c r="A32" t="s">
        <v>423</v>
      </c>
      <c r="B32" t="s">
        <v>424</v>
      </c>
    </row>
    <row r="33" spans="1:2">
      <c r="A33" t="s">
        <v>425</v>
      </c>
      <c r="B33" t="s">
        <v>426</v>
      </c>
    </row>
    <row r="34" spans="1:2">
      <c r="A34" t="s">
        <v>427</v>
      </c>
      <c r="B34" t="s">
        <v>426</v>
      </c>
    </row>
    <row r="35" spans="1:2">
      <c r="A35" t="s">
        <v>428</v>
      </c>
      <c r="B35" t="s">
        <v>429</v>
      </c>
    </row>
    <row r="37" spans="1:2">
      <c r="A37" t="s">
        <v>430</v>
      </c>
    </row>
    <row r="39" spans="1:2">
      <c r="A39" t="s">
        <v>432</v>
      </c>
      <c r="B39" t="s">
        <v>411</v>
      </c>
    </row>
    <row r="40" spans="1:2">
      <c r="A40" t="s">
        <v>433</v>
      </c>
      <c r="B40" t="s">
        <v>434</v>
      </c>
    </row>
    <row r="41" spans="1:2">
      <c r="A41" t="s">
        <v>435</v>
      </c>
      <c r="B41" t="s">
        <v>436</v>
      </c>
    </row>
    <row r="42" spans="1:2">
      <c r="A42" t="s">
        <v>437</v>
      </c>
      <c r="B42" t="s">
        <v>438</v>
      </c>
    </row>
    <row r="43" spans="1:2">
      <c r="A43" t="s">
        <v>151</v>
      </c>
      <c r="B43" t="s">
        <v>439</v>
      </c>
    </row>
    <row r="44" spans="1:2">
      <c r="A44" t="s">
        <v>152</v>
      </c>
      <c r="B44" t="s">
        <v>440</v>
      </c>
    </row>
    <row r="45" spans="1:2">
      <c r="A45" t="s">
        <v>441</v>
      </c>
      <c r="B45" t="s">
        <v>442</v>
      </c>
    </row>
    <row r="46" spans="1:2">
      <c r="A46" t="s">
        <v>443</v>
      </c>
      <c r="B46" t="s">
        <v>444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CONTRIBUTIONS</vt:lpstr>
      <vt:lpstr>CASH_FLOW</vt:lpstr>
      <vt:lpstr>INPUT_TRANSACTIONS</vt:lpstr>
      <vt:lpstr>PORTFOLIO_HISTORY</vt:lpstr>
      <vt:lpstr>watchlist</vt:lpstr>
      <vt:lpstr>holdings</vt:lpstr>
      <vt:lpstr>Config</vt:lpstr>
      <vt:lpstr>market_data</vt:lpstr>
      <vt:lpstr>dd</vt:lpstr>
      <vt:lpstr>Notes</vt:lpstr>
      <vt:lpstr>metrics</vt:lpstr>
      <vt:lpstr>decision_engineering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Husain Natha</dc:creator>
  <cp:lastModifiedBy>Husain Natha</cp:lastModifiedBy>
  <dcterms:created xsi:type="dcterms:W3CDTF">2026-05-19T15:30:42Z</dcterms:created>
  <dcterms:modified xsi:type="dcterms:W3CDTF">2026-06-09T21:20:34Z</dcterms:modified>
</cp:coreProperties>
</file>