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A2ABC460-6772-40D7-B3D0-C640BA031C59}" xr6:coauthVersionLast="47" xr6:coauthVersionMax="47" xr10:uidLastSave="{00000000-0000-0000-0000-000000000000}"/>
  <bookViews>
    <workbookView xWindow="-98" yWindow="-98" windowWidth="21795" windowHeight="12975" firstSheet="3" activeTab="1" xr2:uid="{00000000-000D-0000-FFFF-FFFF00000000}"/>
  </bookViews>
  <sheets>
    <sheet name="INPUT_TRANSACTIONS" sheetId="1" r:id="rId1"/>
    <sheet name="watchlist" sheetId="2" r:id="rId2"/>
    <sheet name="holdings" sheetId="6" r:id="rId3"/>
    <sheet name="Config" sheetId="8" r:id="rId4"/>
    <sheet name="market_data" sheetId="3" r:id="rId5"/>
    <sheet name="dd" sheetId="4" r:id="rId6"/>
    <sheet name="Notes" sheetId="5" r:id="rId7"/>
    <sheet name="metrics" sheetId="7" r:id="rId8"/>
    <sheet name="decision_engineering" sheetId="9" r:id="rId9"/>
  </sheets>
  <externalReferences>
    <externalReference r:id="rId10"/>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 i="8" l="1"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B11" i="6"/>
  <c r="I11" i="6" s="1"/>
  <c r="H10" i="6"/>
  <c r="B10" i="6"/>
  <c r="I10" i="6" s="1"/>
  <c r="H9" i="6"/>
  <c r="B9" i="6"/>
  <c r="I9" i="6" s="1"/>
  <c r="H8" i="6"/>
  <c r="B8" i="6"/>
  <c r="I8" i="6" s="1"/>
  <c r="H7" i="6"/>
  <c r="B7" i="6"/>
  <c r="I7" i="6" s="1"/>
  <c r="H6" i="6"/>
  <c r="B6" i="6"/>
  <c r="I6" i="6" s="1"/>
  <c r="H5" i="6"/>
  <c r="B5" i="6"/>
  <c r="I5" i="6" s="1"/>
  <c r="H4" i="6"/>
  <c r="B4" i="6"/>
  <c r="I4" i="6" s="1"/>
  <c r="H3" i="6"/>
  <c r="B3" i="6"/>
  <c r="I3" i="6" s="1"/>
  <c r="H2" i="6"/>
  <c r="B2" i="6"/>
  <c r="I2" i="6" s="1"/>
  <c r="C75" i="2" a="1"/>
  <c r="C75" i="2" s="1"/>
  <c r="D75" i="2" a="1"/>
  <c r="D75" i="2" s="1"/>
  <c r="E75" i="2" a="1"/>
  <c r="E75" i="2" s="1"/>
  <c r="F75" i="2" a="1"/>
  <c r="F75" i="2" s="1"/>
  <c r="G75" i="2" a="1"/>
  <c r="G75" i="2" s="1"/>
  <c r="H75" i="2" a="1"/>
  <c r="H75" i="2" s="1"/>
  <c r="I75" i="2" a="1"/>
  <c r="I75" i="2" s="1"/>
  <c r="J75" i="2" a="1"/>
  <c r="J75" i="2" s="1"/>
  <c r="K75" i="2" a="1"/>
  <c r="K75" i="2" s="1"/>
  <c r="L75" i="2" a="1"/>
  <c r="L75" i="2" s="1"/>
  <c r="M75" i="2" a="1"/>
  <c r="M75" i="2" s="1"/>
  <c r="N75" i="2" a="1"/>
  <c r="N75" i="2" s="1"/>
  <c r="O75" i="2" a="1"/>
  <c r="O75" i="2" s="1"/>
  <c r="P75" i="2" a="1"/>
  <c r="P75" i="2" s="1"/>
  <c r="Q75" i="2" a="1"/>
  <c r="Q75" i="2" s="1"/>
  <c r="R75" i="2" a="1"/>
  <c r="R75" i="2" s="1"/>
  <c r="S75" i="2" a="1"/>
  <c r="S75" i="2" s="1"/>
  <c r="T75" i="2" a="1"/>
  <c r="T75" i="2" s="1"/>
  <c r="U75" i="2" a="1"/>
  <c r="U75" i="2" s="1"/>
  <c r="V75" i="2" a="1"/>
  <c r="V75" i="2" s="1"/>
  <c r="C53" i="2" a="1"/>
  <c r="C53" i="2" s="1"/>
  <c r="D53" i="2" a="1"/>
  <c r="D53" i="2" s="1"/>
  <c r="E53" i="2" a="1"/>
  <c r="E53" i="2" s="1"/>
  <c r="F53" i="2" a="1"/>
  <c r="F53" i="2" s="1"/>
  <c r="G53" i="2" a="1"/>
  <c r="G53" i="2" s="1"/>
  <c r="H53" i="2" a="1"/>
  <c r="H53" i="2" s="1"/>
  <c r="I53" i="2" a="1"/>
  <c r="I53" i="2" s="1"/>
  <c r="J53" i="2" a="1"/>
  <c r="J53" i="2" s="1"/>
  <c r="K53" i="2" a="1"/>
  <c r="K53" i="2" s="1"/>
  <c r="L53" i="2" a="1"/>
  <c r="L53" i="2" s="1"/>
  <c r="M53" i="2" a="1"/>
  <c r="M53" i="2" s="1"/>
  <c r="N53" i="2" a="1"/>
  <c r="N53" i="2" s="1"/>
  <c r="O53" i="2" a="1"/>
  <c r="O53" i="2" s="1"/>
  <c r="P53" i="2" a="1"/>
  <c r="P53" i="2" s="1"/>
  <c r="Q53" i="2" a="1"/>
  <c r="Q53" i="2" s="1"/>
  <c r="R53" i="2" a="1"/>
  <c r="R53" i="2" s="1"/>
  <c r="S53" i="2" a="1"/>
  <c r="S53" i="2" s="1"/>
  <c r="T53" i="2" a="1"/>
  <c r="T53" i="2" s="1"/>
  <c r="U53" i="2" a="1"/>
  <c r="U53" i="2" s="1"/>
  <c r="V53" i="2" a="1"/>
  <c r="V53"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66" i="2" a="1"/>
  <c r="C66" i="2" s="1"/>
  <c r="D66" i="2" a="1"/>
  <c r="D66" i="2" s="1"/>
  <c r="E66" i="2" a="1"/>
  <c r="E66" i="2" s="1"/>
  <c r="F66" i="2" a="1"/>
  <c r="F66" i="2" s="1"/>
  <c r="G66" i="2" a="1"/>
  <c r="G66" i="2" s="1"/>
  <c r="H66" i="2" a="1"/>
  <c r="H66" i="2" s="1"/>
  <c r="I66" i="2" a="1"/>
  <c r="I66" i="2" s="1"/>
  <c r="J66" i="2" a="1"/>
  <c r="J66" i="2" s="1"/>
  <c r="K66" i="2" a="1"/>
  <c r="K66" i="2" s="1"/>
  <c r="L66" i="2" a="1"/>
  <c r="L66" i="2" s="1"/>
  <c r="M66" i="2" a="1"/>
  <c r="M66" i="2" s="1"/>
  <c r="N66" i="2" a="1"/>
  <c r="N66" i="2" s="1"/>
  <c r="O66" i="2" a="1"/>
  <c r="O66" i="2" s="1"/>
  <c r="P66" i="2" a="1"/>
  <c r="P66" i="2" s="1"/>
  <c r="Q66" i="2" a="1"/>
  <c r="Q66" i="2" s="1"/>
  <c r="R66" i="2" a="1"/>
  <c r="R66" i="2" s="1"/>
  <c r="S66" i="2" a="1"/>
  <c r="S66" i="2" s="1"/>
  <c r="T66" i="2" a="1"/>
  <c r="T66" i="2" s="1"/>
  <c r="U66" i="2" a="1"/>
  <c r="U66" i="2" s="1"/>
  <c r="V66" i="2" a="1"/>
  <c r="V66" i="2" s="1"/>
  <c r="C74" i="2" a="1"/>
  <c r="C74" i="2" s="1"/>
  <c r="D74" i="2" a="1"/>
  <c r="D74" i="2" s="1"/>
  <c r="E74" i="2" a="1"/>
  <c r="E74" i="2" s="1"/>
  <c r="F74" i="2" a="1"/>
  <c r="F74" i="2" s="1"/>
  <c r="G74" i="2" a="1"/>
  <c r="G74" i="2" s="1"/>
  <c r="H74" i="2" a="1"/>
  <c r="H74" i="2" s="1"/>
  <c r="I74" i="2" a="1"/>
  <c r="I74" i="2" s="1"/>
  <c r="J74" i="2" a="1"/>
  <c r="J74" i="2" s="1"/>
  <c r="K74" i="2" a="1"/>
  <c r="K74" i="2" s="1"/>
  <c r="L74" i="2" a="1"/>
  <c r="L74" i="2" s="1"/>
  <c r="M74" i="2" a="1"/>
  <c r="M74" i="2" s="1"/>
  <c r="N74" i="2" a="1"/>
  <c r="N74" i="2" s="1"/>
  <c r="O74" i="2" a="1"/>
  <c r="O74" i="2" s="1"/>
  <c r="P74" i="2" a="1"/>
  <c r="P74" i="2" s="1"/>
  <c r="Q74" i="2" a="1"/>
  <c r="Q74" i="2" s="1"/>
  <c r="R74" i="2" a="1"/>
  <c r="R74" i="2" s="1"/>
  <c r="S74" i="2" a="1"/>
  <c r="S74" i="2" s="1"/>
  <c r="T74" i="2" a="1"/>
  <c r="T74" i="2" s="1"/>
  <c r="U74" i="2" a="1"/>
  <c r="U74" i="2" s="1"/>
  <c r="V74" i="2" a="1"/>
  <c r="V74" i="2" s="1"/>
  <c r="C77" i="2" a="1"/>
  <c r="C77" i="2" s="1"/>
  <c r="D77" i="2" a="1"/>
  <c r="D77" i="2" s="1"/>
  <c r="E77" i="2" a="1"/>
  <c r="E77" i="2" s="1"/>
  <c r="F77" i="2" a="1"/>
  <c r="F77" i="2" s="1"/>
  <c r="G77" i="2" a="1"/>
  <c r="G77" i="2" s="1"/>
  <c r="H77" i="2" a="1"/>
  <c r="H77" i="2" s="1"/>
  <c r="I77" i="2" a="1"/>
  <c r="I77" i="2" s="1"/>
  <c r="J77" i="2" a="1"/>
  <c r="J77" i="2" s="1"/>
  <c r="K77" i="2" a="1"/>
  <c r="K77" i="2" s="1"/>
  <c r="L77" i="2" a="1"/>
  <c r="L77" i="2" s="1"/>
  <c r="M77" i="2" a="1"/>
  <c r="M77" i="2" s="1"/>
  <c r="N77" i="2" a="1"/>
  <c r="N77" i="2" s="1"/>
  <c r="O77" i="2" a="1"/>
  <c r="O77" i="2" s="1"/>
  <c r="P77" i="2" a="1"/>
  <c r="P77" i="2" s="1"/>
  <c r="Q77" i="2" a="1"/>
  <c r="Q77" i="2" s="1"/>
  <c r="R77" i="2" a="1"/>
  <c r="R77" i="2" s="1"/>
  <c r="S77" i="2" a="1"/>
  <c r="S77" i="2" s="1"/>
  <c r="T77" i="2" a="1"/>
  <c r="T77" i="2" s="1"/>
  <c r="U77" i="2" a="1"/>
  <c r="U77" i="2" s="1"/>
  <c r="V77" i="2" a="1"/>
  <c r="V77" i="2" s="1"/>
  <c r="C9" i="2" a="1"/>
  <c r="C9" i="2" s="1"/>
  <c r="D9" i="2" a="1"/>
  <c r="D9" i="2" s="1"/>
  <c r="E9" i="2" a="1"/>
  <c r="E9" i="2" s="1"/>
  <c r="F9" i="2" a="1"/>
  <c r="F9" i="2" s="1"/>
  <c r="G9" i="2" a="1"/>
  <c r="G9" i="2" s="1"/>
  <c r="H9" i="2" a="1"/>
  <c r="H9" i="2" s="1"/>
  <c r="I9" i="2" a="1"/>
  <c r="I9" i="2" s="1"/>
  <c r="J9" i="2" a="1"/>
  <c r="J9" i="2" s="1"/>
  <c r="K9" i="2" a="1"/>
  <c r="K9" i="2" s="1"/>
  <c r="L9" i="2" a="1"/>
  <c r="L9" i="2" s="1"/>
  <c r="M9" i="2" a="1"/>
  <c r="M9" i="2" s="1"/>
  <c r="N9" i="2" a="1"/>
  <c r="N9" i="2" s="1"/>
  <c r="O9" i="2" a="1"/>
  <c r="O9" i="2" s="1"/>
  <c r="P9" i="2" a="1"/>
  <c r="P9" i="2" s="1"/>
  <c r="Q9" i="2" a="1"/>
  <c r="Q9" i="2" s="1"/>
  <c r="R9" i="2" a="1"/>
  <c r="R9" i="2" s="1"/>
  <c r="S9" i="2" a="1"/>
  <c r="S9" i="2" s="1"/>
  <c r="T9" i="2" a="1"/>
  <c r="T9" i="2" s="1"/>
  <c r="U9" i="2" a="1"/>
  <c r="U9" i="2" s="1"/>
  <c r="V9" i="2" a="1"/>
  <c r="V9"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5" i="2" a="1"/>
  <c r="C15" i="2" s="1"/>
  <c r="D15" i="2" a="1"/>
  <c r="D15" i="2" s="1"/>
  <c r="E15" i="2" a="1"/>
  <c r="E15" i="2" s="1"/>
  <c r="F15" i="2" a="1"/>
  <c r="F15" i="2" s="1"/>
  <c r="G15" i="2" a="1"/>
  <c r="G15" i="2" s="1"/>
  <c r="H15" i="2" a="1"/>
  <c r="H15" i="2" s="1"/>
  <c r="I15" i="2" a="1"/>
  <c r="I15" i="2" s="1"/>
  <c r="J15" i="2" a="1"/>
  <c r="J15" i="2" s="1"/>
  <c r="K15" i="2" a="1"/>
  <c r="K15" i="2" s="1"/>
  <c r="L15" i="2" a="1"/>
  <c r="L15" i="2" s="1"/>
  <c r="M15" i="2" a="1"/>
  <c r="M15" i="2" s="1"/>
  <c r="N15" i="2" a="1"/>
  <c r="N15" i="2" s="1"/>
  <c r="O15" i="2" a="1"/>
  <c r="O15" i="2" s="1"/>
  <c r="P15" i="2" a="1"/>
  <c r="P15" i="2" s="1"/>
  <c r="Q15" i="2" a="1"/>
  <c r="Q15" i="2" s="1"/>
  <c r="R15" i="2" a="1"/>
  <c r="R15" i="2" s="1"/>
  <c r="S15" i="2" a="1"/>
  <c r="S15" i="2" s="1"/>
  <c r="T15" i="2" a="1"/>
  <c r="T15" i="2" s="1"/>
  <c r="U15" i="2" a="1"/>
  <c r="U15" i="2" s="1"/>
  <c r="V15" i="2" a="1"/>
  <c r="V15" i="2" s="1"/>
  <c r="C5" i="2" a="1"/>
  <c r="C5" i="2" s="1"/>
  <c r="D5" i="2" a="1"/>
  <c r="D5" i="2" s="1"/>
  <c r="E5" i="2" a="1"/>
  <c r="E5" i="2" s="1"/>
  <c r="F5" i="2" a="1"/>
  <c r="F5" i="2" s="1"/>
  <c r="G5" i="2" a="1"/>
  <c r="G5" i="2" s="1"/>
  <c r="H5" i="2" a="1"/>
  <c r="H5" i="2" s="1"/>
  <c r="I5" i="2" a="1"/>
  <c r="I5" i="2" s="1"/>
  <c r="J5" i="2" a="1"/>
  <c r="J5" i="2" s="1"/>
  <c r="K5" i="2" a="1"/>
  <c r="K5" i="2" s="1"/>
  <c r="L5" i="2" a="1"/>
  <c r="L5" i="2" s="1"/>
  <c r="M5" i="2" a="1"/>
  <c r="M5" i="2" s="1"/>
  <c r="N5" i="2" a="1"/>
  <c r="N5" i="2" s="1"/>
  <c r="O5" i="2" a="1"/>
  <c r="O5" i="2" s="1"/>
  <c r="P5" i="2" a="1"/>
  <c r="P5" i="2" s="1"/>
  <c r="Q5" i="2" a="1"/>
  <c r="Q5" i="2" s="1"/>
  <c r="R5" i="2" a="1"/>
  <c r="R5" i="2" s="1"/>
  <c r="S5" i="2" a="1"/>
  <c r="S5" i="2" s="1"/>
  <c r="T5" i="2" a="1"/>
  <c r="T5" i="2" s="1"/>
  <c r="U5" i="2" a="1"/>
  <c r="U5" i="2" s="1"/>
  <c r="V5" i="2" a="1"/>
  <c r="V5" i="2" s="1"/>
  <c r="O40" i="2" a="1"/>
  <c r="O40" i="2" s="1"/>
  <c r="C38" i="2" a="1"/>
  <c r="C38" i="2" s="1"/>
  <c r="D38" i="2" a="1"/>
  <c r="D38" i="2" s="1"/>
  <c r="E38" i="2" a="1"/>
  <c r="E38" i="2" s="1"/>
  <c r="F38" i="2" a="1"/>
  <c r="F38" i="2" s="1"/>
  <c r="G38" i="2" a="1"/>
  <c r="G38" i="2" s="1"/>
  <c r="H38" i="2" a="1"/>
  <c r="H38" i="2" s="1"/>
  <c r="I38" i="2" a="1"/>
  <c r="I38" i="2" s="1"/>
  <c r="J38" i="2" a="1"/>
  <c r="J38" i="2" s="1"/>
  <c r="K38" i="2" a="1"/>
  <c r="K38" i="2" s="1"/>
  <c r="L38" i="2" a="1"/>
  <c r="L38" i="2" s="1"/>
  <c r="M38" i="2" a="1"/>
  <c r="M38" i="2" s="1"/>
  <c r="N38" i="2" a="1"/>
  <c r="N38" i="2" s="1"/>
  <c r="O38" i="2" a="1"/>
  <c r="O38" i="2" s="1"/>
  <c r="P38" i="2" a="1"/>
  <c r="P38" i="2" s="1"/>
  <c r="Q38" i="2" a="1"/>
  <c r="Q38" i="2" s="1"/>
  <c r="R38" i="2" a="1"/>
  <c r="R38" i="2" s="1"/>
  <c r="S38" i="2" a="1"/>
  <c r="S38" i="2" s="1"/>
  <c r="T38" i="2" a="1"/>
  <c r="T38" i="2" s="1"/>
  <c r="U38" i="2" a="1"/>
  <c r="U38" i="2" s="1"/>
  <c r="V38" i="2" a="1"/>
  <c r="V38" i="2" s="1"/>
  <c r="C42" i="2" a="1"/>
  <c r="C42" i="2" s="1"/>
  <c r="D42" i="2" a="1"/>
  <c r="D42" i="2" s="1"/>
  <c r="E42" i="2" a="1"/>
  <c r="E42" i="2" s="1"/>
  <c r="F42" i="2" a="1"/>
  <c r="F42" i="2" s="1"/>
  <c r="G42" i="2" a="1"/>
  <c r="G42" i="2" s="1"/>
  <c r="H42" i="2" a="1"/>
  <c r="H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2" i="2" a="1"/>
  <c r="C12" i="2" s="1"/>
  <c r="D12" i="2" a="1"/>
  <c r="D12" i="2" s="1"/>
  <c r="E12" i="2" a="1"/>
  <c r="E12" i="2" s="1"/>
  <c r="F12" i="2" a="1"/>
  <c r="F12" i="2" s="1"/>
  <c r="G12" i="2" a="1"/>
  <c r="G12" i="2" s="1"/>
  <c r="H12" i="2" a="1"/>
  <c r="H12" i="2" s="1"/>
  <c r="I12" i="2" a="1"/>
  <c r="I12" i="2" s="1"/>
  <c r="J12" i="2" a="1"/>
  <c r="J12" i="2" s="1"/>
  <c r="K12" i="2" a="1"/>
  <c r="K12" i="2" s="1"/>
  <c r="L12" i="2" a="1"/>
  <c r="L12" i="2" s="1"/>
  <c r="M12" i="2" a="1"/>
  <c r="M12" i="2" s="1"/>
  <c r="N12" i="2" a="1"/>
  <c r="N12" i="2" s="1"/>
  <c r="O12" i="2" a="1"/>
  <c r="O12" i="2" s="1"/>
  <c r="P12" i="2" a="1"/>
  <c r="P12" i="2" s="1"/>
  <c r="Q12" i="2" a="1"/>
  <c r="Q12" i="2" s="1"/>
  <c r="R12" i="2" a="1"/>
  <c r="R12" i="2" s="1"/>
  <c r="S12" i="2" a="1"/>
  <c r="S12" i="2" s="1"/>
  <c r="T12" i="2" a="1"/>
  <c r="T12" i="2" s="1"/>
  <c r="U12" i="2" a="1"/>
  <c r="U12" i="2" s="1"/>
  <c r="V12" i="2" a="1"/>
  <c r="V12"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36" i="2" a="1"/>
  <c r="C36" i="2" s="1"/>
  <c r="D36" i="2" a="1"/>
  <c r="D36" i="2" s="1"/>
  <c r="E36" i="2" a="1"/>
  <c r="E36" i="2" s="1"/>
  <c r="F36" i="2" a="1"/>
  <c r="F36" i="2" s="1"/>
  <c r="G36" i="2" a="1"/>
  <c r="G36" i="2" s="1"/>
  <c r="H36" i="2" a="1"/>
  <c r="H36" i="2" s="1"/>
  <c r="I36" i="2" a="1"/>
  <c r="I36" i="2" s="1"/>
  <c r="J36" i="2" a="1"/>
  <c r="J36" i="2" s="1"/>
  <c r="K36" i="2" a="1"/>
  <c r="K36" i="2" s="1"/>
  <c r="L36" i="2" a="1"/>
  <c r="L36" i="2" s="1"/>
  <c r="M36" i="2" a="1"/>
  <c r="M36" i="2" s="1"/>
  <c r="N36" i="2" a="1"/>
  <c r="N36" i="2" s="1"/>
  <c r="O36" i="2" a="1"/>
  <c r="O36" i="2" s="1"/>
  <c r="P36" i="2" a="1"/>
  <c r="P36" i="2" s="1"/>
  <c r="Q36" i="2" a="1"/>
  <c r="Q36" i="2" s="1"/>
  <c r="R36" i="2" a="1"/>
  <c r="R36" i="2" s="1"/>
  <c r="S36" i="2" a="1"/>
  <c r="S36" i="2" s="1"/>
  <c r="T36" i="2" a="1"/>
  <c r="T36" i="2" s="1"/>
  <c r="U36" i="2" a="1"/>
  <c r="U36" i="2" s="1"/>
  <c r="V36" i="2" a="1"/>
  <c r="V36" i="2" s="1"/>
  <c r="C51" i="2" a="1"/>
  <c r="C51" i="2" s="1"/>
  <c r="D51" i="2" a="1"/>
  <c r="D51" i="2" s="1"/>
  <c r="E51" i="2" a="1"/>
  <c r="E51" i="2" s="1"/>
  <c r="F51" i="2" a="1"/>
  <c r="F51" i="2" s="1"/>
  <c r="G51" i="2" a="1"/>
  <c r="G51" i="2" s="1"/>
  <c r="H51" i="2" a="1"/>
  <c r="H51" i="2" s="1"/>
  <c r="I51" i="2" a="1"/>
  <c r="I51" i="2" s="1"/>
  <c r="J51" i="2" a="1"/>
  <c r="J51" i="2" s="1"/>
  <c r="K51" i="2" a="1"/>
  <c r="K51" i="2" s="1"/>
  <c r="L51" i="2" a="1"/>
  <c r="L51" i="2" s="1"/>
  <c r="M51" i="2" a="1"/>
  <c r="M51" i="2" s="1"/>
  <c r="N51" i="2" a="1"/>
  <c r="N51" i="2" s="1"/>
  <c r="O51" i="2" a="1"/>
  <c r="O51" i="2" s="1"/>
  <c r="P51" i="2" a="1"/>
  <c r="P51" i="2" s="1"/>
  <c r="Q51" i="2" a="1"/>
  <c r="Q51" i="2" s="1"/>
  <c r="R51" i="2" a="1"/>
  <c r="R51" i="2" s="1"/>
  <c r="S51" i="2" a="1"/>
  <c r="S51" i="2" s="1"/>
  <c r="T51" i="2" a="1"/>
  <c r="T51" i="2" s="1"/>
  <c r="U51" i="2" a="1"/>
  <c r="U51" i="2" s="1"/>
  <c r="V51" i="2" a="1"/>
  <c r="V51" i="2" s="1"/>
  <c r="C7" i="2" a="1"/>
  <c r="C7" i="2" s="1"/>
  <c r="D7" i="2" a="1"/>
  <c r="D7" i="2" s="1"/>
  <c r="E7" i="2" a="1"/>
  <c r="E7" i="2" s="1"/>
  <c r="F7" i="2" a="1"/>
  <c r="F7" i="2" s="1"/>
  <c r="G7" i="2" a="1"/>
  <c r="G7" i="2" s="1"/>
  <c r="H7" i="2" a="1"/>
  <c r="H7" i="2" s="1"/>
  <c r="I7" i="2" a="1"/>
  <c r="I7" i="2" s="1"/>
  <c r="J7" i="2" a="1"/>
  <c r="J7" i="2" s="1"/>
  <c r="K7" i="2" a="1"/>
  <c r="K7" i="2" s="1"/>
  <c r="L7" i="2" a="1"/>
  <c r="L7" i="2" s="1"/>
  <c r="M7" i="2" a="1"/>
  <c r="M7" i="2" s="1"/>
  <c r="N7" i="2" a="1"/>
  <c r="N7" i="2" s="1"/>
  <c r="O7" i="2" a="1"/>
  <c r="O7" i="2" s="1"/>
  <c r="P7" i="2" a="1"/>
  <c r="P7" i="2" s="1"/>
  <c r="Q7" i="2" a="1"/>
  <c r="Q7" i="2" s="1"/>
  <c r="R7" i="2" a="1"/>
  <c r="R7" i="2" s="1"/>
  <c r="S7" i="2" a="1"/>
  <c r="S7" i="2" s="1"/>
  <c r="T7" i="2" a="1"/>
  <c r="T7" i="2" s="1"/>
  <c r="U7" i="2" a="1"/>
  <c r="U7" i="2" s="1"/>
  <c r="V7" i="2" a="1"/>
  <c r="V7" i="2" s="1"/>
  <c r="C16" i="2" a="1"/>
  <c r="C16" i="2" s="1"/>
  <c r="D16" i="2" a="1"/>
  <c r="D16" i="2" s="1"/>
  <c r="E16" i="2" a="1"/>
  <c r="E16" i="2" s="1"/>
  <c r="F16" i="2" a="1"/>
  <c r="F16" i="2" s="1"/>
  <c r="G16" i="2" a="1"/>
  <c r="G16" i="2" s="1"/>
  <c r="H16" i="2" a="1"/>
  <c r="H16" i="2" s="1"/>
  <c r="I16" i="2" a="1"/>
  <c r="I16" i="2" s="1"/>
  <c r="J16" i="2" a="1"/>
  <c r="J16" i="2" s="1"/>
  <c r="K16" i="2" a="1"/>
  <c r="K16" i="2" s="1"/>
  <c r="L16" i="2" a="1"/>
  <c r="L16" i="2" s="1"/>
  <c r="M16" i="2" a="1"/>
  <c r="M16" i="2" s="1"/>
  <c r="N16" i="2" a="1"/>
  <c r="N16" i="2" s="1"/>
  <c r="O16" i="2" a="1"/>
  <c r="O16" i="2" s="1"/>
  <c r="P16" i="2" a="1"/>
  <c r="P16" i="2" s="1"/>
  <c r="Q16" i="2" a="1"/>
  <c r="Q16" i="2" s="1"/>
  <c r="R16" i="2" a="1"/>
  <c r="R16" i="2" s="1"/>
  <c r="S16" i="2" a="1"/>
  <c r="S16" i="2" s="1"/>
  <c r="T16" i="2" a="1"/>
  <c r="T16" i="2" s="1"/>
  <c r="U16" i="2" a="1"/>
  <c r="U16" i="2" s="1"/>
  <c r="V16" i="2" a="1"/>
  <c r="V16"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49" i="2" a="1"/>
  <c r="C49" i="2" s="1"/>
  <c r="D49" i="2" a="1"/>
  <c r="D49" i="2" s="1"/>
  <c r="E49" i="2" a="1"/>
  <c r="E49" i="2" s="1"/>
  <c r="F49" i="2" a="1"/>
  <c r="F49" i="2" s="1"/>
  <c r="G49" i="2" a="1"/>
  <c r="G49" i="2" s="1"/>
  <c r="H49" i="2" a="1"/>
  <c r="H49" i="2" s="1"/>
  <c r="I49" i="2" a="1"/>
  <c r="I49" i="2" s="1"/>
  <c r="J49" i="2" a="1"/>
  <c r="J49" i="2" s="1"/>
  <c r="K49" i="2" a="1"/>
  <c r="K49" i="2" s="1"/>
  <c r="L49" i="2" a="1"/>
  <c r="L49" i="2" s="1"/>
  <c r="M49" i="2" a="1"/>
  <c r="M49" i="2" s="1"/>
  <c r="N49" i="2" a="1"/>
  <c r="N49" i="2" s="1"/>
  <c r="O49" i="2" a="1"/>
  <c r="O49" i="2" s="1"/>
  <c r="P49" i="2" a="1"/>
  <c r="P49" i="2" s="1"/>
  <c r="Q49" i="2" a="1"/>
  <c r="Q49" i="2" s="1"/>
  <c r="R49" i="2" a="1"/>
  <c r="R49" i="2" s="1"/>
  <c r="S49" i="2" a="1"/>
  <c r="S49" i="2" s="1"/>
  <c r="T49" i="2" a="1"/>
  <c r="T49" i="2" s="1"/>
  <c r="U49" i="2" a="1"/>
  <c r="U49" i="2" s="1"/>
  <c r="V49" i="2" a="1"/>
  <c r="V49"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27" i="2" a="1"/>
  <c r="C27" i="2" s="1"/>
  <c r="D27" i="2" a="1"/>
  <c r="D27" i="2" s="1"/>
  <c r="E27" i="2" a="1"/>
  <c r="E27" i="2" s="1"/>
  <c r="F27" i="2" a="1"/>
  <c r="F27" i="2" s="1"/>
  <c r="G27" i="2" a="1"/>
  <c r="G27" i="2" s="1"/>
  <c r="H27" i="2" a="1"/>
  <c r="H27" i="2" s="1"/>
  <c r="I27" i="2" a="1"/>
  <c r="I27" i="2" s="1"/>
  <c r="J27" i="2" a="1"/>
  <c r="J27" i="2" s="1"/>
  <c r="K27" i="2" a="1"/>
  <c r="K27" i="2" s="1"/>
  <c r="L27" i="2" a="1"/>
  <c r="L27" i="2" s="1"/>
  <c r="M27" i="2" a="1"/>
  <c r="M27" i="2" s="1"/>
  <c r="N27" i="2" a="1"/>
  <c r="N27" i="2" s="1"/>
  <c r="O27" i="2" a="1"/>
  <c r="O27" i="2" s="1"/>
  <c r="P27" i="2" a="1"/>
  <c r="P27" i="2" s="1"/>
  <c r="Q27" i="2" a="1"/>
  <c r="Q27" i="2" s="1"/>
  <c r="R27" i="2" a="1"/>
  <c r="R27" i="2" s="1"/>
  <c r="S27" i="2" a="1"/>
  <c r="S27" i="2" s="1"/>
  <c r="T27" i="2" a="1"/>
  <c r="T27" i="2" s="1"/>
  <c r="U27" i="2" a="1"/>
  <c r="U27" i="2" s="1"/>
  <c r="V27" i="2" a="1"/>
  <c r="V27"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76" i="2" a="1"/>
  <c r="C76" i="2" s="1"/>
  <c r="D76" i="2" a="1"/>
  <c r="D76" i="2" s="1"/>
  <c r="E76" i="2" a="1"/>
  <c r="E76" i="2" s="1"/>
  <c r="F76" i="2" a="1"/>
  <c r="F76" i="2" s="1"/>
  <c r="G76" i="2" a="1"/>
  <c r="G76" i="2" s="1"/>
  <c r="H76" i="2" a="1"/>
  <c r="H76" i="2" s="1"/>
  <c r="I76" i="2" a="1"/>
  <c r="I76" i="2" s="1"/>
  <c r="J76" i="2" a="1"/>
  <c r="J76" i="2" s="1"/>
  <c r="K76" i="2" a="1"/>
  <c r="K76" i="2" s="1"/>
  <c r="L76" i="2" a="1"/>
  <c r="L76" i="2" s="1"/>
  <c r="M76" i="2" a="1"/>
  <c r="M76" i="2" s="1"/>
  <c r="N76" i="2" a="1"/>
  <c r="N76" i="2" s="1"/>
  <c r="O76" i="2" a="1"/>
  <c r="O76" i="2" s="1"/>
  <c r="P76" i="2" a="1"/>
  <c r="P76" i="2" s="1"/>
  <c r="Q76" i="2" a="1"/>
  <c r="Q76" i="2" s="1"/>
  <c r="R76" i="2" a="1"/>
  <c r="R76" i="2" s="1"/>
  <c r="S76" i="2" a="1"/>
  <c r="S76" i="2" s="1"/>
  <c r="T76" i="2" a="1"/>
  <c r="T76" i="2" s="1"/>
  <c r="U76" i="2" a="1"/>
  <c r="U76" i="2" s="1"/>
  <c r="V76" i="2" a="1"/>
  <c r="V76"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0" i="2" a="1"/>
  <c r="C80" i="2" s="1"/>
  <c r="D80" i="2" a="1"/>
  <c r="D80" i="2" s="1"/>
  <c r="E80" i="2" a="1"/>
  <c r="E80" i="2" s="1"/>
  <c r="F80" i="2" a="1"/>
  <c r="F80" i="2" s="1"/>
  <c r="G80" i="2" a="1"/>
  <c r="G80" i="2" s="1"/>
  <c r="H80" i="2" a="1"/>
  <c r="H80" i="2" s="1"/>
  <c r="I80" i="2" a="1"/>
  <c r="I80" i="2" s="1"/>
  <c r="J80" i="2" a="1"/>
  <c r="J80" i="2" s="1"/>
  <c r="K80" i="2" a="1"/>
  <c r="K80" i="2" s="1"/>
  <c r="L80" i="2" a="1"/>
  <c r="L80" i="2" s="1"/>
  <c r="M80" i="2" a="1"/>
  <c r="M80" i="2" s="1"/>
  <c r="N80" i="2" a="1"/>
  <c r="N80" i="2" s="1"/>
  <c r="O80" i="2" a="1"/>
  <c r="O80" i="2" s="1"/>
  <c r="P80" i="2" a="1"/>
  <c r="P80" i="2" s="1"/>
  <c r="Q80" i="2" a="1"/>
  <c r="Q80" i="2" s="1"/>
  <c r="R80" i="2" a="1"/>
  <c r="R80" i="2" s="1"/>
  <c r="S80" i="2" a="1"/>
  <c r="S80" i="2" s="1"/>
  <c r="T80" i="2" a="1"/>
  <c r="T80" i="2" s="1"/>
  <c r="U80" i="2" a="1"/>
  <c r="U80" i="2" s="1"/>
  <c r="V80" i="2" a="1"/>
  <c r="V80" i="2" s="1"/>
  <c r="C24" i="2" a="1"/>
  <c r="C24" i="2" s="1"/>
  <c r="D24" i="2" a="1"/>
  <c r="D24" i="2" s="1"/>
  <c r="E24" i="2" a="1"/>
  <c r="E24" i="2" s="1"/>
  <c r="F24" i="2" a="1"/>
  <c r="F24" i="2" s="1"/>
  <c r="G24" i="2" a="1"/>
  <c r="G24" i="2" s="1"/>
  <c r="H24" i="2" a="1"/>
  <c r="H24" i="2" s="1"/>
  <c r="I24" i="2" a="1"/>
  <c r="I24" i="2" s="1"/>
  <c r="J24" i="2" a="1"/>
  <c r="J24" i="2" s="1"/>
  <c r="K24" i="2" a="1"/>
  <c r="K24" i="2" s="1"/>
  <c r="L24" i="2" a="1"/>
  <c r="L24" i="2" s="1"/>
  <c r="M24" i="2" a="1"/>
  <c r="M24" i="2" s="1"/>
  <c r="N24" i="2" a="1"/>
  <c r="N24" i="2" s="1"/>
  <c r="O24" i="2" a="1"/>
  <c r="O24" i="2" s="1"/>
  <c r="P24" i="2" a="1"/>
  <c r="P24" i="2" s="1"/>
  <c r="Q24" i="2" a="1"/>
  <c r="Q24" i="2" s="1"/>
  <c r="R24" i="2" a="1"/>
  <c r="R24" i="2" s="1"/>
  <c r="S24" i="2" a="1"/>
  <c r="S24" i="2" s="1"/>
  <c r="T24" i="2" a="1"/>
  <c r="T24" i="2" s="1"/>
  <c r="U24" i="2" a="1"/>
  <c r="U24" i="2" s="1"/>
  <c r="V24" i="2" a="1"/>
  <c r="V24"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79" i="2" a="1"/>
  <c r="V79" i="2" s="1"/>
  <c r="U79" i="2" a="1"/>
  <c r="U79" i="2" s="1"/>
  <c r="T79" i="2" a="1"/>
  <c r="T79" i="2" s="1"/>
  <c r="S79" i="2" a="1"/>
  <c r="S79" i="2" s="1"/>
  <c r="R79" i="2" a="1"/>
  <c r="R79" i="2" s="1"/>
  <c r="Q79" i="2" a="1"/>
  <c r="Q79" i="2" s="1"/>
  <c r="P79" i="2" a="1"/>
  <c r="P79" i="2" s="1"/>
  <c r="O79" i="2" a="1"/>
  <c r="O79" i="2" s="1"/>
  <c r="N79" i="2" a="1"/>
  <c r="N79" i="2" s="1"/>
  <c r="M79" i="2" a="1"/>
  <c r="M79" i="2" s="1"/>
  <c r="L79" i="2" a="1"/>
  <c r="L79" i="2" s="1"/>
  <c r="K79" i="2" a="1"/>
  <c r="K79" i="2" s="1"/>
  <c r="J79" i="2" a="1"/>
  <c r="J79" i="2" s="1"/>
  <c r="I79" i="2" a="1"/>
  <c r="I79" i="2" s="1"/>
  <c r="H79" i="2" a="1"/>
  <c r="H79" i="2" s="1"/>
  <c r="G79" i="2" a="1"/>
  <c r="G79" i="2" s="1"/>
  <c r="F79" i="2" a="1"/>
  <c r="F79" i="2" s="1"/>
  <c r="E79" i="2" a="1"/>
  <c r="E79" i="2" s="1"/>
  <c r="D79" i="2" a="1"/>
  <c r="D79" i="2" s="1"/>
  <c r="C79" i="2" a="1"/>
  <c r="C79" i="2" s="1"/>
  <c r="V43" i="2" a="1"/>
  <c r="V43" i="2" s="1"/>
  <c r="U43" i="2" a="1"/>
  <c r="U43" i="2" s="1"/>
  <c r="T43" i="2" a="1"/>
  <c r="T43" i="2" s="1"/>
  <c r="S43" i="2" a="1"/>
  <c r="S43" i="2" s="1"/>
  <c r="R43" i="2" a="1"/>
  <c r="R43" i="2" s="1"/>
  <c r="Q43" i="2" a="1"/>
  <c r="Q43" i="2" s="1"/>
  <c r="P43" i="2" a="1"/>
  <c r="P43" i="2" s="1"/>
  <c r="O43" i="2" a="1"/>
  <c r="O43" i="2" s="1"/>
  <c r="N43" i="2" a="1"/>
  <c r="N43" i="2" s="1"/>
  <c r="M43" i="2" a="1"/>
  <c r="M43" i="2" s="1"/>
  <c r="L43" i="2" a="1"/>
  <c r="L43" i="2" s="1"/>
  <c r="K43" i="2" a="1"/>
  <c r="K43" i="2" s="1"/>
  <c r="J43" i="2" a="1"/>
  <c r="J43" i="2" s="1"/>
  <c r="I43" i="2" a="1"/>
  <c r="I43" i="2" s="1"/>
  <c r="H43" i="2" a="1"/>
  <c r="H43" i="2" s="1"/>
  <c r="G43" i="2" a="1"/>
  <c r="G43" i="2" s="1"/>
  <c r="F43" i="2" a="1"/>
  <c r="F43" i="2" s="1"/>
  <c r="E43" i="2" a="1"/>
  <c r="E43" i="2" s="1"/>
  <c r="D43" i="2" a="1"/>
  <c r="D43" i="2" s="1"/>
  <c r="C43" i="2" a="1"/>
  <c r="C43"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41" i="2" a="1"/>
  <c r="V41" i="2" s="1"/>
  <c r="U41" i="2" a="1"/>
  <c r="U41" i="2" s="1"/>
  <c r="T41" i="2" a="1"/>
  <c r="T41" i="2" s="1"/>
  <c r="S41" i="2" a="1"/>
  <c r="S41" i="2" s="1"/>
  <c r="R41" i="2" a="1"/>
  <c r="R41" i="2" s="1"/>
  <c r="Q41" i="2" a="1"/>
  <c r="Q41" i="2" s="1"/>
  <c r="P41" i="2" a="1"/>
  <c r="P41" i="2" s="1"/>
  <c r="O41" i="2" a="1"/>
  <c r="O41" i="2" s="1"/>
  <c r="N41" i="2" a="1"/>
  <c r="N41" i="2" s="1"/>
  <c r="M41" i="2" a="1"/>
  <c r="M41" i="2" s="1"/>
  <c r="L41" i="2" a="1"/>
  <c r="L41" i="2" s="1"/>
  <c r="K41" i="2" a="1"/>
  <c r="K41" i="2" s="1"/>
  <c r="J41" i="2" a="1"/>
  <c r="J41" i="2" s="1"/>
  <c r="I41" i="2" a="1"/>
  <c r="I41" i="2" s="1"/>
  <c r="H41" i="2" a="1"/>
  <c r="H41" i="2" s="1"/>
  <c r="G41" i="2" a="1"/>
  <c r="G41" i="2" s="1"/>
  <c r="F41" i="2" a="1"/>
  <c r="F41" i="2" s="1"/>
  <c r="E41" i="2" a="1"/>
  <c r="E41" i="2" s="1"/>
  <c r="D41" i="2" a="1"/>
  <c r="D41" i="2" s="1"/>
  <c r="C41" i="2" a="1"/>
  <c r="C41"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56" i="2" a="1"/>
  <c r="V56" i="2" s="1"/>
  <c r="U56" i="2" a="1"/>
  <c r="U56" i="2" s="1"/>
  <c r="T56" i="2" a="1"/>
  <c r="T56" i="2" s="1"/>
  <c r="S56" i="2" a="1"/>
  <c r="S56" i="2" s="1"/>
  <c r="R56" i="2" a="1"/>
  <c r="R56" i="2" s="1"/>
  <c r="Q56" i="2" a="1"/>
  <c r="Q56" i="2" s="1"/>
  <c r="P56" i="2" a="1"/>
  <c r="P56" i="2" s="1"/>
  <c r="O56" i="2" a="1"/>
  <c r="O56" i="2" s="1"/>
  <c r="N56" i="2" a="1"/>
  <c r="N56" i="2" s="1"/>
  <c r="M56" i="2" a="1"/>
  <c r="M56" i="2" s="1"/>
  <c r="L56" i="2" a="1"/>
  <c r="L56" i="2" s="1"/>
  <c r="K56" i="2" a="1"/>
  <c r="K56" i="2" s="1"/>
  <c r="J56" i="2" a="1"/>
  <c r="J56" i="2" s="1"/>
  <c r="I56" i="2" a="1"/>
  <c r="I56" i="2" s="1"/>
  <c r="H56" i="2" a="1"/>
  <c r="H56" i="2" s="1"/>
  <c r="G56" i="2" a="1"/>
  <c r="G56" i="2" s="1"/>
  <c r="F56" i="2" a="1"/>
  <c r="F56" i="2" s="1"/>
  <c r="E56" i="2" a="1"/>
  <c r="E56" i="2" s="1"/>
  <c r="D56" i="2" a="1"/>
  <c r="D56" i="2" s="1"/>
  <c r="C56" i="2" a="1"/>
  <c r="C56"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64" i="2" a="1"/>
  <c r="V64" i="2" s="1"/>
  <c r="U64" i="2" a="1"/>
  <c r="U64" i="2" s="1"/>
  <c r="T64" i="2" a="1"/>
  <c r="T64" i="2" s="1"/>
  <c r="S64" i="2" a="1"/>
  <c r="S64" i="2" s="1"/>
  <c r="R64" i="2" a="1"/>
  <c r="R64" i="2" s="1"/>
  <c r="Q64" i="2" a="1"/>
  <c r="Q64" i="2" s="1"/>
  <c r="P64" i="2" a="1"/>
  <c r="P64" i="2" s="1"/>
  <c r="O64" i="2" a="1"/>
  <c r="O64" i="2" s="1"/>
  <c r="N64" i="2" a="1"/>
  <c r="N64" i="2" s="1"/>
  <c r="M64" i="2" a="1"/>
  <c r="M64" i="2" s="1"/>
  <c r="L64" i="2" a="1"/>
  <c r="L64" i="2" s="1"/>
  <c r="K64" i="2" a="1"/>
  <c r="K64" i="2" s="1"/>
  <c r="J64" i="2" a="1"/>
  <c r="J64" i="2" s="1"/>
  <c r="I64" i="2" a="1"/>
  <c r="I64" i="2" s="1"/>
  <c r="H64" i="2" a="1"/>
  <c r="H64" i="2" s="1"/>
  <c r="G64" i="2" a="1"/>
  <c r="G64" i="2" s="1"/>
  <c r="F64" i="2" a="1"/>
  <c r="F64" i="2" s="1"/>
  <c r="E64" i="2" a="1"/>
  <c r="E64" i="2" s="1"/>
  <c r="D64" i="2" a="1"/>
  <c r="D64" i="2" s="1"/>
  <c r="C64" i="2" a="1"/>
  <c r="C64" i="2" s="1"/>
  <c r="V59" i="2" a="1"/>
  <c r="V59" i="2" s="1"/>
  <c r="U59" i="2" a="1"/>
  <c r="U59" i="2" s="1"/>
  <c r="T59" i="2" a="1"/>
  <c r="T59" i="2" s="1"/>
  <c r="S59" i="2" a="1"/>
  <c r="S59" i="2" s="1"/>
  <c r="R59" i="2" a="1"/>
  <c r="R59" i="2" s="1"/>
  <c r="Q59" i="2" a="1"/>
  <c r="Q59" i="2" s="1"/>
  <c r="P59" i="2" a="1"/>
  <c r="P59" i="2" s="1"/>
  <c r="O59" i="2" a="1"/>
  <c r="O59" i="2" s="1"/>
  <c r="N59" i="2" a="1"/>
  <c r="N59" i="2" s="1"/>
  <c r="M59" i="2" a="1"/>
  <c r="M59" i="2" s="1"/>
  <c r="L59" i="2" a="1"/>
  <c r="L59" i="2" s="1"/>
  <c r="K59" i="2" a="1"/>
  <c r="K59" i="2" s="1"/>
  <c r="J59" i="2" a="1"/>
  <c r="J59" i="2" s="1"/>
  <c r="I59" i="2" a="1"/>
  <c r="I59" i="2" s="1"/>
  <c r="H59" i="2" a="1"/>
  <c r="H59" i="2" s="1"/>
  <c r="G59" i="2" a="1"/>
  <c r="G59" i="2" s="1"/>
  <c r="F59" i="2" a="1"/>
  <c r="F59" i="2" s="1"/>
  <c r="E59" i="2" a="1"/>
  <c r="E59" i="2" s="1"/>
  <c r="D59" i="2" a="1"/>
  <c r="D59" i="2" s="1"/>
  <c r="C59" i="2" a="1"/>
  <c r="C59" i="2" s="1"/>
  <c r="V13" i="2" a="1"/>
  <c r="V13" i="2" s="1"/>
  <c r="U13" i="2" a="1"/>
  <c r="U13" i="2" s="1"/>
  <c r="T13" i="2" a="1"/>
  <c r="T13" i="2" s="1"/>
  <c r="S13" i="2" a="1"/>
  <c r="S13" i="2" s="1"/>
  <c r="R13" i="2" a="1"/>
  <c r="R13" i="2" s="1"/>
  <c r="Q13" i="2" a="1"/>
  <c r="Q13" i="2" s="1"/>
  <c r="P13" i="2" a="1"/>
  <c r="P13" i="2" s="1"/>
  <c r="O13" i="2" a="1"/>
  <c r="O13" i="2" s="1"/>
  <c r="N13" i="2" a="1"/>
  <c r="N13" i="2" s="1"/>
  <c r="M13" i="2" a="1"/>
  <c r="M13" i="2" s="1"/>
  <c r="L13" i="2" a="1"/>
  <c r="L13" i="2" s="1"/>
  <c r="K13" i="2" a="1"/>
  <c r="K13" i="2" s="1"/>
  <c r="J13" i="2" a="1"/>
  <c r="J13" i="2" s="1"/>
  <c r="I13" i="2" a="1"/>
  <c r="I13" i="2" s="1"/>
  <c r="H13" i="2" a="1"/>
  <c r="H13" i="2" s="1"/>
  <c r="G13" i="2" a="1"/>
  <c r="G13" i="2" s="1"/>
  <c r="F13" i="2" a="1"/>
  <c r="F13" i="2" s="1"/>
  <c r="E13" i="2" a="1"/>
  <c r="E13" i="2" s="1"/>
  <c r="D13" i="2" a="1"/>
  <c r="D13" i="2" s="1"/>
  <c r="C13" i="2" a="1"/>
  <c r="C1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5" i="2" a="1"/>
  <c r="V55" i="2" s="1"/>
  <c r="U55" i="2" a="1"/>
  <c r="U55" i="2" s="1"/>
  <c r="T55" i="2" a="1"/>
  <c r="T55" i="2" s="1"/>
  <c r="S55" i="2" a="1"/>
  <c r="S55" i="2" s="1"/>
  <c r="R55" i="2" a="1"/>
  <c r="R55" i="2" s="1"/>
  <c r="Q55" i="2" a="1"/>
  <c r="Q55" i="2" s="1"/>
  <c r="P55" i="2" a="1"/>
  <c r="P55" i="2" s="1"/>
  <c r="O55" i="2" a="1"/>
  <c r="O55" i="2" s="1"/>
  <c r="N55" i="2" a="1"/>
  <c r="N55" i="2" s="1"/>
  <c r="M55" i="2" a="1"/>
  <c r="M55" i="2" s="1"/>
  <c r="L55" i="2" a="1"/>
  <c r="L55" i="2" s="1"/>
  <c r="K55" i="2" a="1"/>
  <c r="K55" i="2" s="1"/>
  <c r="J55" i="2" a="1"/>
  <c r="J55" i="2" s="1"/>
  <c r="I55" i="2" a="1"/>
  <c r="I55" i="2" s="1"/>
  <c r="H55" i="2" a="1"/>
  <c r="H55" i="2" s="1"/>
  <c r="G55" i="2" a="1"/>
  <c r="G55" i="2" s="1"/>
  <c r="F55" i="2" a="1"/>
  <c r="F55" i="2" s="1"/>
  <c r="E55" i="2" a="1"/>
  <c r="E55" i="2" s="1"/>
  <c r="D55" i="2" a="1"/>
  <c r="D55" i="2" s="1"/>
  <c r="C55" i="2" a="1"/>
  <c r="C55"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30" i="2" a="1"/>
  <c r="V30" i="2" s="1"/>
  <c r="U30" i="2" a="1"/>
  <c r="U30" i="2" s="1"/>
  <c r="T30" i="2" a="1"/>
  <c r="T30" i="2" s="1"/>
  <c r="S30" i="2" a="1"/>
  <c r="S30" i="2" s="1"/>
  <c r="R30" i="2" a="1"/>
  <c r="R30" i="2" s="1"/>
  <c r="Q30" i="2" a="1"/>
  <c r="Q30" i="2" s="1"/>
  <c r="P30" i="2" a="1"/>
  <c r="P30" i="2" s="1"/>
  <c r="O30" i="2" a="1"/>
  <c r="O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V47" i="2" a="1"/>
  <c r="V47" i="2" s="1"/>
  <c r="U47" i="2" a="1"/>
  <c r="U47" i="2" s="1"/>
  <c r="T47" i="2" a="1"/>
  <c r="T47" i="2" s="1"/>
  <c r="S47" i="2" a="1"/>
  <c r="S47" i="2" s="1"/>
  <c r="R47" i="2" a="1"/>
  <c r="R47" i="2" s="1"/>
  <c r="Q47" i="2" a="1"/>
  <c r="Q47" i="2" s="1"/>
  <c r="P47" i="2" a="1"/>
  <c r="P47" i="2" s="1"/>
  <c r="O47" i="2" a="1"/>
  <c r="O47" i="2" s="1"/>
  <c r="N47" i="2" a="1"/>
  <c r="N47" i="2" s="1"/>
  <c r="M47" i="2" a="1"/>
  <c r="M47" i="2" s="1"/>
  <c r="L47" i="2" a="1"/>
  <c r="L47" i="2" s="1"/>
  <c r="K47" i="2" a="1"/>
  <c r="K47" i="2" s="1"/>
  <c r="J47" i="2" a="1"/>
  <c r="J47" i="2" s="1"/>
  <c r="I47" i="2" a="1"/>
  <c r="I47" i="2" s="1"/>
  <c r="H47" i="2" a="1"/>
  <c r="H47" i="2" s="1"/>
  <c r="G47" i="2" a="1"/>
  <c r="G47" i="2" s="1"/>
  <c r="F47" i="2" a="1"/>
  <c r="F47" i="2" s="1"/>
  <c r="E47" i="2" a="1"/>
  <c r="E47" i="2" s="1"/>
  <c r="D47" i="2" a="1"/>
  <c r="D47" i="2" s="1"/>
  <c r="C47" i="2" a="1"/>
  <c r="C47"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72" i="2" a="1"/>
  <c r="V72" i="2" s="1"/>
  <c r="U72" i="2" a="1"/>
  <c r="U72" i="2" s="1"/>
  <c r="T72" i="2" a="1"/>
  <c r="T72" i="2" s="1"/>
  <c r="S72" i="2" a="1"/>
  <c r="S72" i="2" s="1"/>
  <c r="R72" i="2" a="1"/>
  <c r="R72" i="2" s="1"/>
  <c r="Q72" i="2" a="1"/>
  <c r="Q72" i="2" s="1"/>
  <c r="P72" i="2" a="1"/>
  <c r="P72" i="2" s="1"/>
  <c r="O72" i="2" a="1"/>
  <c r="O72" i="2" s="1"/>
  <c r="N72" i="2" a="1"/>
  <c r="N72" i="2" s="1"/>
  <c r="M72" i="2" a="1"/>
  <c r="M72" i="2" s="1"/>
  <c r="L72" i="2" a="1"/>
  <c r="L72" i="2" s="1"/>
  <c r="K72" i="2" a="1"/>
  <c r="K72" i="2" s="1"/>
  <c r="J72" i="2" a="1"/>
  <c r="J72" i="2" s="1"/>
  <c r="I72" i="2" a="1"/>
  <c r="I72" i="2" s="1"/>
  <c r="H72" i="2" a="1"/>
  <c r="H72" i="2" s="1"/>
  <c r="G72" i="2" a="1"/>
  <c r="G72" i="2" s="1"/>
  <c r="F72" i="2" a="1"/>
  <c r="F72" i="2" s="1"/>
  <c r="E72" i="2" a="1"/>
  <c r="E72" i="2" s="1"/>
  <c r="D72" i="2" a="1"/>
  <c r="D72" i="2" s="1"/>
  <c r="C72" i="2" a="1"/>
  <c r="C72"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78" i="2" a="1"/>
  <c r="V78" i="2" s="1"/>
  <c r="U78" i="2" a="1"/>
  <c r="U78" i="2" s="1"/>
  <c r="T78" i="2" a="1"/>
  <c r="T78" i="2" s="1"/>
  <c r="S78" i="2" a="1"/>
  <c r="S78" i="2" s="1"/>
  <c r="R78" i="2" a="1"/>
  <c r="R78" i="2" s="1"/>
  <c r="Q78" i="2" a="1"/>
  <c r="Q78" i="2" s="1"/>
  <c r="P78" i="2" a="1"/>
  <c r="P78" i="2" s="1"/>
  <c r="O78" i="2" a="1"/>
  <c r="O78" i="2" s="1"/>
  <c r="N78" i="2" a="1"/>
  <c r="N78" i="2" s="1"/>
  <c r="M78" i="2" a="1"/>
  <c r="M78" i="2" s="1"/>
  <c r="L78" i="2" a="1"/>
  <c r="L78" i="2" s="1"/>
  <c r="K78" i="2" a="1"/>
  <c r="K78" i="2" s="1"/>
  <c r="J78" i="2" a="1"/>
  <c r="J78" i="2" s="1"/>
  <c r="I78" i="2" a="1"/>
  <c r="I78" i="2" s="1"/>
  <c r="H78" i="2" a="1"/>
  <c r="H78" i="2" s="1"/>
  <c r="G78" i="2" a="1"/>
  <c r="G78" i="2" s="1"/>
  <c r="F78" i="2" a="1"/>
  <c r="F78" i="2" s="1"/>
  <c r="E78" i="2" a="1"/>
  <c r="E78" i="2" s="1"/>
  <c r="D78" i="2" a="1"/>
  <c r="D78" i="2" s="1"/>
  <c r="C78" i="2" a="1"/>
  <c r="C78" i="2" s="1"/>
  <c r="V60" i="2" a="1"/>
  <c r="V60" i="2" s="1"/>
  <c r="U60" i="2" a="1"/>
  <c r="U60" i="2" s="1"/>
  <c r="T60" i="2" a="1"/>
  <c r="T60" i="2" s="1"/>
  <c r="S60" i="2" a="1"/>
  <c r="S60" i="2" s="1"/>
  <c r="R60" i="2" a="1"/>
  <c r="R60" i="2" s="1"/>
  <c r="Q60" i="2" a="1"/>
  <c r="Q60" i="2" s="1"/>
  <c r="P60" i="2" a="1"/>
  <c r="P60" i="2" s="1"/>
  <c r="O60" i="2" a="1"/>
  <c r="O60" i="2" s="1"/>
  <c r="N60" i="2" a="1"/>
  <c r="N60" i="2" s="1"/>
  <c r="M60" i="2" a="1"/>
  <c r="M60" i="2" s="1"/>
  <c r="L60" i="2" a="1"/>
  <c r="L60" i="2" s="1"/>
  <c r="K60" i="2" a="1"/>
  <c r="K60" i="2" s="1"/>
  <c r="J60" i="2" a="1"/>
  <c r="J60" i="2" s="1"/>
  <c r="I60" i="2" a="1"/>
  <c r="I60" i="2" s="1"/>
  <c r="H60" i="2" a="1"/>
  <c r="H60" i="2" s="1"/>
  <c r="G60" i="2" a="1"/>
  <c r="G60" i="2" s="1"/>
  <c r="F60" i="2" a="1"/>
  <c r="F60" i="2" s="1"/>
  <c r="E60" i="2" a="1"/>
  <c r="E60" i="2" s="1"/>
  <c r="D60" i="2" a="1"/>
  <c r="D60" i="2" s="1"/>
  <c r="C60" i="2" a="1"/>
  <c r="C60"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0" i="2" a="1"/>
  <c r="V40" i="2" s="1"/>
  <c r="U40" i="2" a="1"/>
  <c r="U40" i="2" s="1"/>
  <c r="T40" i="2" a="1"/>
  <c r="T40" i="2" s="1"/>
  <c r="S40" i="2" a="1"/>
  <c r="S40" i="2" s="1"/>
  <c r="R40" i="2" a="1"/>
  <c r="R40" i="2" s="1"/>
  <c r="Q40" i="2" a="1"/>
  <c r="Q40" i="2" s="1"/>
  <c r="P40" i="2" a="1"/>
  <c r="P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7" i="2" a="1"/>
  <c r="V67" i="2" s="1"/>
  <c r="U67" i="2" a="1"/>
  <c r="U67" i="2" s="1"/>
  <c r="T67" i="2" a="1"/>
  <c r="T67" i="2" s="1"/>
  <c r="S67" i="2" a="1"/>
  <c r="S67" i="2" s="1"/>
  <c r="R67" i="2" a="1"/>
  <c r="R67" i="2" s="1"/>
  <c r="Q67" i="2" a="1"/>
  <c r="Q67" i="2" s="1"/>
  <c r="P67" i="2" a="1"/>
  <c r="P67" i="2" s="1"/>
  <c r="O67" i="2" a="1"/>
  <c r="O67" i="2" s="1"/>
  <c r="N67" i="2" a="1"/>
  <c r="N67" i="2" s="1"/>
  <c r="M67" i="2" a="1"/>
  <c r="M67" i="2" s="1"/>
  <c r="L67" i="2" a="1"/>
  <c r="L67" i="2" s="1"/>
  <c r="K67" i="2" a="1"/>
  <c r="K67" i="2" s="1"/>
  <c r="J67" i="2" a="1"/>
  <c r="J67" i="2" s="1"/>
  <c r="I67" i="2" a="1"/>
  <c r="I67" i="2" s="1"/>
  <c r="H67" i="2" a="1"/>
  <c r="H67" i="2" s="1"/>
  <c r="G67" i="2" a="1"/>
  <c r="G67" i="2" s="1"/>
  <c r="F67" i="2" a="1"/>
  <c r="F67" i="2" s="1"/>
  <c r="E67" i="2" a="1"/>
  <c r="E67" i="2" s="1"/>
  <c r="D67" i="2" a="1"/>
  <c r="D67" i="2" s="1"/>
  <c r="C67" i="2" a="1"/>
  <c r="C67"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26" i="2" a="1"/>
  <c r="V26" i="2" s="1"/>
  <c r="U26" i="2" a="1"/>
  <c r="U26" i="2" s="1"/>
  <c r="T26" i="2" a="1"/>
  <c r="T26" i="2" s="1"/>
  <c r="S26" i="2" a="1"/>
  <c r="S26" i="2" s="1"/>
  <c r="R26" i="2" a="1"/>
  <c r="R26" i="2" s="1"/>
  <c r="Q26" i="2" a="1"/>
  <c r="Q26" i="2" s="1"/>
  <c r="P26" i="2" a="1"/>
  <c r="P26" i="2" s="1"/>
  <c r="O26" i="2" a="1"/>
  <c r="O26" i="2" s="1"/>
  <c r="N26" i="2" a="1"/>
  <c r="N26" i="2" s="1"/>
  <c r="M26" i="2" a="1"/>
  <c r="M26" i="2" s="1"/>
  <c r="L26" i="2" a="1"/>
  <c r="L26" i="2" s="1"/>
  <c r="K26" i="2" a="1"/>
  <c r="K26" i="2" s="1"/>
  <c r="J26" i="2" a="1"/>
  <c r="J26" i="2" s="1"/>
  <c r="I26" i="2" a="1"/>
  <c r="I26" i="2" s="1"/>
  <c r="H26" i="2" a="1"/>
  <c r="H26" i="2" s="1"/>
  <c r="G26" i="2" a="1"/>
  <c r="G26" i="2" s="1"/>
  <c r="F26" i="2" a="1"/>
  <c r="F26" i="2" s="1"/>
  <c r="E26" i="2" a="1"/>
  <c r="E26" i="2" s="1"/>
  <c r="D26" i="2" a="1"/>
  <c r="D26" i="2" s="1"/>
  <c r="C26" i="2" a="1"/>
  <c r="C26"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25" i="2" a="1"/>
  <c r="V25" i="2" s="1"/>
  <c r="U25" i="2" a="1"/>
  <c r="U25" i="2" s="1"/>
  <c r="T25" i="2" a="1"/>
  <c r="T25" i="2" s="1"/>
  <c r="S25" i="2" a="1"/>
  <c r="S25" i="2" s="1"/>
  <c r="R25" i="2" a="1"/>
  <c r="R25" i="2" s="1"/>
  <c r="Q25" i="2" a="1"/>
  <c r="Q25" i="2" s="1"/>
  <c r="P25" i="2" a="1"/>
  <c r="P25" i="2" s="1"/>
  <c r="O25" i="2" a="1"/>
  <c r="O25" i="2" s="1"/>
  <c r="N25" i="2" a="1"/>
  <c r="N25" i="2" s="1"/>
  <c r="M25" i="2" a="1"/>
  <c r="M25" i="2" s="1"/>
  <c r="L25" i="2" a="1"/>
  <c r="L25" i="2" s="1"/>
  <c r="K25" i="2" a="1"/>
  <c r="K25" i="2" s="1"/>
  <c r="J25" i="2" a="1"/>
  <c r="J25" i="2" s="1"/>
  <c r="I25" i="2" a="1"/>
  <c r="I25" i="2" s="1"/>
  <c r="H25" i="2" a="1"/>
  <c r="H25" i="2" s="1"/>
  <c r="G25" i="2" a="1"/>
  <c r="G25" i="2" s="1"/>
  <c r="F25" i="2" a="1"/>
  <c r="F25" i="2" s="1"/>
  <c r="E25" i="2" a="1"/>
  <c r="E25" i="2" s="1"/>
  <c r="D25" i="2" a="1"/>
  <c r="D25" i="2" s="1"/>
  <c r="C25" i="2" a="1"/>
  <c r="C25" i="2" s="1"/>
  <c r="J9" i="6" l="1"/>
  <c r="J5" i="6"/>
  <c r="J8" i="6"/>
  <c r="J4" i="6"/>
  <c r="J11" i="6"/>
  <c r="J7" i="6"/>
  <c r="J3" i="6"/>
  <c r="J10" i="6"/>
  <c r="J6" i="6"/>
  <c r="C2" i="6"/>
  <c r="K2" i="6" s="1"/>
  <c r="L2" i="6" s="1"/>
  <c r="M2" i="6" s="1"/>
  <c r="C3" i="6"/>
  <c r="C4" i="6"/>
  <c r="C5" i="6"/>
  <c r="C6" i="6"/>
  <c r="C7" i="6"/>
  <c r="C8" i="6"/>
  <c r="C9" i="6"/>
  <c r="C10" i="6"/>
  <c r="C11" i="6"/>
  <c r="K4" i="6" l="1"/>
  <c r="L4" i="6" s="1"/>
  <c r="M4" i="6" s="1"/>
  <c r="K8" i="6"/>
  <c r="L8" i="6" s="1"/>
  <c r="M8" i="6" s="1"/>
  <c r="K6" i="6"/>
  <c r="L6" i="6" s="1"/>
  <c r="M6" i="6" s="1"/>
  <c r="K9" i="6"/>
  <c r="L9" i="6" s="1"/>
  <c r="M9" i="6" s="1"/>
  <c r="K5" i="6"/>
  <c r="L5" i="6" s="1"/>
  <c r="M5" i="6" s="1"/>
  <c r="K11" i="6"/>
  <c r="L11" i="6" s="1"/>
  <c r="M11" i="6" s="1"/>
  <c r="K7" i="6"/>
  <c r="L7" i="6" s="1"/>
  <c r="M7" i="6" s="1"/>
  <c r="K3" i="6"/>
  <c r="L3" i="6" s="1"/>
  <c r="M3" i="6" s="1"/>
  <c r="K10" i="6"/>
  <c r="L10" i="6" s="1"/>
  <c r="M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7">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8"/>
        </ext>
      </extLst>
    </bk>
    <bk>
      <extLst>
        <ext uri="{3e2802c4-a4d2-4d8b-9148-e3be6c30e623}">
          <xlrd:rvb i="120"/>
        </ext>
      </extLst>
    </bk>
    <bk>
      <extLst>
        <ext uri="{3e2802c4-a4d2-4d8b-9148-e3be6c30e623}">
          <xlrd:rvb i="123"/>
        </ext>
      </extLst>
    </bk>
    <bk>
      <extLst>
        <ext uri="{3e2802c4-a4d2-4d8b-9148-e3be6c30e623}">
          <xlrd:rvb i="125"/>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42"/>
        </ext>
      </extLst>
    </bk>
    <bk>
      <extLst>
        <ext uri="{3e2802c4-a4d2-4d8b-9148-e3be6c30e623}">
          <xlrd:rvb i="245"/>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0"/>
        </ext>
      </extLst>
    </bk>
    <bk>
      <extLst>
        <ext uri="{3e2802c4-a4d2-4d8b-9148-e3be6c30e623}">
          <xlrd:rvb i="262"/>
        </ext>
      </extLst>
    </bk>
    <bk>
      <extLst>
        <ext uri="{3e2802c4-a4d2-4d8b-9148-e3be6c30e623}">
          <xlrd:rvb i="264"/>
        </ext>
      </extLst>
    </bk>
    <bk>
      <extLst>
        <ext uri="{3e2802c4-a4d2-4d8b-9148-e3be6c30e623}">
          <xlrd:rvb i="266"/>
        </ext>
      </extLst>
    </bk>
    <bk>
      <extLst>
        <ext uri="{3e2802c4-a4d2-4d8b-9148-e3be6c30e623}">
          <xlrd:rvb i="268"/>
        </ext>
      </extLst>
    </bk>
    <bk>
      <extLst>
        <ext uri="{3e2802c4-a4d2-4d8b-9148-e3be6c30e623}">
          <xlrd:rvb i="270"/>
        </ext>
      </extLst>
    </bk>
    <bk>
      <extLst>
        <ext uri="{3e2802c4-a4d2-4d8b-9148-e3be6c30e623}">
          <xlrd:rvb i="272"/>
        </ext>
      </extLst>
    </bk>
    <bk>
      <extLst>
        <ext uri="{3e2802c4-a4d2-4d8b-9148-e3be6c30e623}">
          <xlrd:rvb i="274"/>
        </ext>
      </extLst>
    </bk>
    <bk>
      <extLst>
        <ext uri="{3e2802c4-a4d2-4d8b-9148-e3be6c30e623}">
          <xlrd:rvb i="276"/>
        </ext>
      </extLst>
    </bk>
    <bk>
      <extLst>
        <ext uri="{3e2802c4-a4d2-4d8b-9148-e3be6c30e623}">
          <xlrd:rvb i="278"/>
        </ext>
      </extLst>
    </bk>
    <bk>
      <extLst>
        <ext uri="{3e2802c4-a4d2-4d8b-9148-e3be6c30e623}">
          <xlrd:rvb i="280"/>
        </ext>
      </extLst>
    </bk>
  </futureMetadata>
  <cellMetadata count="1">
    <bk>
      <rc t="1" v="0"/>
    </bk>
  </cellMetadata>
  <valueMetadata count="9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valueMetadata>
</metadata>
</file>

<file path=xl/sharedStrings.xml><?xml version="1.0" encoding="utf-8"?>
<sst xmlns="http://schemas.openxmlformats.org/spreadsheetml/2006/main" count="1772" uniqueCount="447">
  <si>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</si>
  <si>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</si>
  <si>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</si>
  <si>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</si>
  <si>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</si>
  <si>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</si>
  <si>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</si>
  <si>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</si>
  <si>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</si>
  <si>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</si>
  <si>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</si>
  <si>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</si>
  <si>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</si>
  <si>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</si>
  <si>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</si>
  <si>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</si>
  <si>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</si>
  <si>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</si>
  <si>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</si>
  <si>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</si>
  <si>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</si>
  <si>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</si>
  <si>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</si>
  <si>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</si>
  <si>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</si>
  <si>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</si>
  <si>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</si>
  <si>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</si>
  <si>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</si>
  <si>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</si>
  <si>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</si>
  <si>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</si>
  <si>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</si>
  <si>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</si>
  <si>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</si>
  <si>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</si>
  <si>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</si>
  <si>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</si>
  <si>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</si>
  <si>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</si>
  <si>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</si>
  <si>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</si>
  <si>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</si>
  <si>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</si>
  <si>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</si>
  <si>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</si>
  <si>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</si>
  <si>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</si>
  <si>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</si>
  <si>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</si>
  <si>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</si>
  <si>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</si>
  <si>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</si>
  <si>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</si>
  <si>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</si>
  <si>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</si>
  <si>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</si>
  <si>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</si>
  <si>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</si>
  <si>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</si>
  <si>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</si>
  <si>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</si>
  <si>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</si>
  <si>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</si>
  <si>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</si>
  <si>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</si>
  <si>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</si>
  <si>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</si>
  <si>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</si>
  <si>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</si>
  <si>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</si>
  <si>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</si>
  <si>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</si>
  <si>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</si>
  <si>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</si>
  <si>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</si>
  <si>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</si>
  <si>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</si>
  <si>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</si>
  <si>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</si>
  <si>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</si>
  <si>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</si>
  <si>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</si>
  <si>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</si>
  <si>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</si>
  <si>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</si>
  <si>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</si>
  <si>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</si>
  <si>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</si>
  <si>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</si>
  <si>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</si>
  <si>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</si>
  <si>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</si>
  <si>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</si>
  <si>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</si>
  <si>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</si>
  <si>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</si>
  <si>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</si>
  <si>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</si>
  <si>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</si>
  <si>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</si>
  <si>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</si>
  <si>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</si>
  <si>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</si>
  <si>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</si>
  <si>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</si>
  <si>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</si>
  <si>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</si>
  <si>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</si>
  <si>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</si>
  <si>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</si>
  <si>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</si>
  <si>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</si>
  <si>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</si>
  <si>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</si>
  <si>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</si>
  <si>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</si>
  <si>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</si>
  <si>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</si>
  <si>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</si>
  <si>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</si>
  <si>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</si>
  <si>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</si>
  <si>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</si>
  <si>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</si>
  <si>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</si>
  <si>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</si>
  <si>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</si>
  <si>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</si>
  <si>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</si>
  <si>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</si>
  <si>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</si>
  <si>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</si>
  <si>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</si>
  <si>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</si>
  <si>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</si>
  <si>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</si>
  <si>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</si>
  <si>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</si>
  <si>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</si>
  <si>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</si>
  <si>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</si>
  <si>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</si>
  <si>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</si>
  <si>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</si>
  <si>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</si>
  <si>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</si>
  <si>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</si>
  <si>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</si>
  <si>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</si>
  <si>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</si>
  <si>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</si>
  <si>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</si>
  <si>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</si>
  <si>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</si>
  <si>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</si>
  <si>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</si>
  <si>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</si>
  <si>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</si>
  <si>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</si>
  <si>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</si>
  <si>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</si>
  <si>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</si>
  <si>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</si>
  <si>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</si>
  <si>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</si>
  <si>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</si>
  <si>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</si>
  <si>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</si>
  <si>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</si>
  <si>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</si>
  <si>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</si>
  <si>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</si>
  <si>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</si>
  <si>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</si>
  <si>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</si>
  <si>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</si>
  <si>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</si>
  <si>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</si>
  <si>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</si>
  <si>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</si>
  <si>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</si>
  <si>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</si>
  <si>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</si>
  <si>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</si>
  <si>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</si>
  <si>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</si>
  <si>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</si>
  <si>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</si>
  <si>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</si>
  <si>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</si>
  <si>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</si>
  <si>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</si>
  <si>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</si>
  <si>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</si>
  <si>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</si>
  <si>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</si>
  <si>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</si>
  <si>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</si>
  <si>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</si>
  <si>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</si>
  <si>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</si>
  <si>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</si>
  <si>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</si>
  <si>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</si>
  <si>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</si>
  <si>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</si>
  <si>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</si>
  <si>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</si>
  <si>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</si>
  <si>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</si>
  <si>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</si>
  <si>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</si>
  <si>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</si>
  <si>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</si>
  <si>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</si>
  <si>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</si>
  <si>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</si>
  <si>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</si>
  <si>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</si>
  <si>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</si>
  <si>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</si>
  <si>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</si>
  <si>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</si>
  <si>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</si>
  <si>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</si>
  <si>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</si>
  <si>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</si>
  <si>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</si>
  <si>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</si>
  <si>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</si>
  <si>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</si>
  <si>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</si>
  <si>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</si>
  <si>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</si>
  <si>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</si>
  <si>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</si>
  <si>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</si>
  <si>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</si>
  <si>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</si>
  <si>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</si>
  <si>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</si>
  <si>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</si>
  <si>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</si>
  <si>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</si>
  <si>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</si>
  <si>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</si>
  <si>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</si>
  <si>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</si>
  <si>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</si>
  <si>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</si>
  <si>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</si>
  <si>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</si>
  <si>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</si>
  <si>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</si>
  <si>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</si>
  <si>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</si>
  <si>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</si>
  <si>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</si>
  <si>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</si>
  <si>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</si>
  <si>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</si>
  <si>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</si>
  <si>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</si>
  <si>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</si>
  <si>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</si>
  <si>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</si>
  <si>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</si>
  <si>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</si>
  <si>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</si>
  <si>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</si>
  <si>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</si>
  <si>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</si>
  <si>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</si>
  <si>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</si>
  <si>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</si>
  <si>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</si>
  <si>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</si>
  <si>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</si>
  <si>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</si>
  <si>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</si>
  <si>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</si>
  <si>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</si>
  <si>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</si>
  <si>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</si>
  <si>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</si>
  <si>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</si>
  <si>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</si>
  <si>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</si>
  <si>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</si>
  <si>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</si>
  <si>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</si>
  <si>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</si>
  <si>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</si>
  <si>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</si>
  <si>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</si>
  <si>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</si>
  <si>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</si>
  <si>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</si>
  <si>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</si>
  <si>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</si>
  <si>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</si>
  <si>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</si>
  <si>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</si>
  <si>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</si>
  <si>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</si>
  <si>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</si>
  <si>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</si>
  <si>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</si>
  <si>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</si>
  <si>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</si>
  <si>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</si>
  <si>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</si>
  <si>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</si>
  <si>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</si>
  <si>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</si>
  <si>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</si>
  <si>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</si>
  <si>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</si>
  <si>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</si>
  <si>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</si>
  <si>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</si>
  <si>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</si>
  <si>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</si>
  <si>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</si>
  <si>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</si>
  <si>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</si>
  <si>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</si>
  <si>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</si>
  <si>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</si>
  <si>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</si>
  <si>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</si>
  <si>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</si>
  <si>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</si>
  <si>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</si>
  <si>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</si>
  <si>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</si>
  <si>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</si>
  <si>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</si>
  <si>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</si>
  <si>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</si>
  <si>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</si>
  <si>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</si>
  <si>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</si>
  <si>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</si>
  <si>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</si>
  <si>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</si>
  <si>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</si>
  <si>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</si>
  <si>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</si>
  <si>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</si>
  <si>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</si>
  <si>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</si>
  <si>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</si>
  <si>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</si>
  <si>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</si>
  <si>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</si>
  <si>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</si>
  <si>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</si>
  <si>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</si>
  <si>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</si>
  <si>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</si>
  <si>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</si>
  <si>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</si>
  <si>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</si>
  <si>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</si>
  <si>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</si>
  <si>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</si>
  <si>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</si>
  <si>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</si>
  <si>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</si>
  <si>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</si>
  <si>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</si>
  <si>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</si>
  <si>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</si>
  <si>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</si>
  <si>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</si>
  <si>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</si>
  <si>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</si>
  <si>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</si>
  <si>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</si>
  <si>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</si>
  <si>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</si>
  <si>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</si>
  <si>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</si>
  <si>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</si>
  <si>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</si>
  <si>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</si>
  <si>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</si>
  <si>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</si>
  <si>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</si>
  <si>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</si>
  <si>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</si>
  <si>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</si>
  <si>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</si>
  <si>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</si>
  <si>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SELL</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</si>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</sst>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409]* #,##0.00_);_([$$-409]* \(#,##0.00\);_([$$-409]* &quot;-&quot;??_);_(@_)"/>
    <numFmt numFmtId="165" formatCode="yyyy\-mm\-dd\ h:mm:ss"/>
    <numFmt numFmtId="166" formatCode="yyyy\-mm\-dd"/>
    <numFmt numFmtId="167" formatCode="\£#,##0.00"/>
  </numFmts>
  <fonts count="8">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s>
  <fills count="4">
    <fill>
      <patternFill patternType="none"/>
    </fill>
    <fill>
      <patternFill patternType="gray125"/>
    </fill>
    <fill>
      <patternFill patternType="solid">
        <fgColor rgb="FF1C2028"/>
        <bgColor indexed="64"/>
      </patternFill>
    </fill>
    <fill>
      <patternFill patternType="solid">
        <fgColor rgb="FF0C0E12"/>
        <bgColor indexed="64"/>
      </patternFill>
    </fill>
  </fills>
  <borders count="1">
    <border>
      <left/>
      <right/>
      <top/>
      <bottom/>
      <diagonal/>
    </border>
  </borders>
  <cellStyleXfs count="1">
    <xf numFmtId="0" fontId="0" fillId="0" borderId="0"/>
  </cellStyleXfs>
  <cellXfs count="33">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cellXfs>
  <cellStyles count="1">
    <cellStyle name="Normal" xfId="0" builtinId="0"/>
  </cellStyles>
  <dxfs count="52">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externalLink" Target="externalLinks/externalLink1.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426EEA98C59A9E84/Documents/trading/stock-trading-system_STAGE5_TAXLOTS_STABLE_v2.xlsm" TargetMode="External"/><Relationship Id="rId1" Type="http://schemas.openxmlformats.org/officeDocument/2006/relationships/externalLinkPath" Target="https://d.docs.live.net/426EEA98C59A9E84/Documents/trading/stock-trading-system_STAGE5_TAXLOTS_STABLE_v2.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ades"/>
      <sheetName val="Watchlist"/>
      <sheetName val="Variables"/>
      <sheetName val="Run_Summary_v2"/>
      <sheetName val="Tax_Lots"/>
      <sheetName val="Tax_Lots_v2"/>
      <sheetName val="Holdings"/>
      <sheetName val="Sales"/>
      <sheetName val="Tax_Lots_Validation_Report"/>
      <sheetName val="Unmatched_Disposals"/>
      <sheetName val="Market_Data_History"/>
      <sheetName val="Config"/>
      <sheetName val="ThirtyDay_Matches"/>
      <sheetName val="SameDay_Matches"/>
      <sheetName val="Section104_Pool"/>
      <sheetName val="Tax_Dashboard"/>
      <sheetName val="stock-trading-system_STAGE5_TAX"/>
    </sheetNames>
    <sheetDataSet>
      <sheetData sheetId="0"/>
      <sheetData sheetId="1"/>
      <sheetData sheetId="2">
        <row r="1">
          <cell r="G1" t="e">
            <v>#VALUE!</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1">
  <rv s="0">
    <v>https://www.bing.com/financeapi/forcetrigger?t=a1y4oc&amp;q=XNAS%3aMU&amp;form=skydnc</v>
    <v>Learn more on Bing</v>
  </rv>
  <rv s="1">
    <v>en-GB</v>
    <v>a1y4oc</v>
    <v>268435456</v>
    <v>1</v>
    <v>Powered by Refinitiv</v>
    <v>0</v>
    <v>MICRON TECHNOLOGY, INC. (XNAS:MU)</v>
    <v>2</v>
    <v>3</v>
    <v>Finance</v>
    <v>4</v>
    <v>880.89</v>
    <v>92.22</v>
    <v>1.9930000000000001</v>
    <v>128.83000000000001</v>
    <v>0.17154499999999998</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880.89</v>
    <v>Semiconductors &amp; Semiconductor Equipment</v>
    <v>Stock</v>
    <v>46168.605484501561</v>
    <v>0</v>
    <v>820.29499999999996</v>
    <v>992214205220</v>
    <v>MICRON TECHNOLOGY, INC.</v>
    <v>MICRON TECHNOLOGY, INC.</v>
    <v>820.46</v>
    <v>41.5381</v>
    <v>751</v>
    <v>879.83</v>
    <v>1127734000</v>
    <v>MU</v>
    <v>MICRON TECHNOLOGY, INC. (XNAS:MU)</v>
    <v>25104573</v>
    <v>47860495</v>
    <v>1984</v>
  </rv>
  <rv s="2">
    <v>1</v>
  </rv>
  <rv s="0">
    <v>https://www.bing.com/financeapi/forcetrigger?t=bxb5p2&amp;q=XNAS%3aENVX&amp;form=skydnc</v>
    <v>Learn more on Bing</v>
  </rv>
  <rv s="1">
    <v>en-GB</v>
    <v>bxb5p2</v>
    <v>268435456</v>
    <v>1</v>
    <v>Powered by Refinitiv</v>
    <v>0</v>
    <v>Enovix Corporation (XNAS:ENVX)</v>
    <v>2</v>
    <v>3</v>
    <v>Finance</v>
    <v>4</v>
    <v>16.489999999999998</v>
    <v>4.6150000000000002</v>
    <v>2.2159</v>
    <v>0.82</v>
    <v>0.12275399999999999</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7.6349999999999998</v>
    <v>Machinery, Equipment &amp; Components</v>
    <v>Stock</v>
    <v>46168.605474270313</v>
    <v>3</v>
    <v>6.81</v>
    <v>1636150500</v>
    <v>Enovix Corporation</v>
    <v>Enovix Corporation</v>
    <v>6.85</v>
    <v>0</v>
    <v>6.68</v>
    <v>7.5</v>
    <v>218153400</v>
    <v>ENVX</v>
    <v>Enovix Corporation (XNAS:ENVX)</v>
    <v>3521047</v>
    <v>6968993</v>
    <v>2020</v>
  </rv>
  <rv s="2">
    <v>4</v>
  </rv>
  <rv s="0">
    <v>https://www.bing.com/financeapi/forcetrigger?t=a1mxtc&amp;q=XNAS%3aAEHR&amp;form=skydnc</v>
    <v>Learn more on Bing</v>
  </rv>
  <rv s="1">
    <v>en-GB</v>
    <v>a1mxtc</v>
    <v>268435456</v>
    <v>1</v>
    <v>Powered by Refinitiv</v>
    <v>0</v>
    <v>AEHR TEST SYSTEMS (XNAS:AEHR)</v>
    <v>2</v>
    <v>3</v>
    <v>Finance</v>
    <v>4</v>
    <v>108.751</v>
    <v>9.14</v>
    <v>3.2322000000000002</v>
    <v>10.769</v>
    <v>0.11333399999999999</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106.53</v>
    <v>Semiconductors &amp; Semiconductor Equipment</v>
    <v>Stock</v>
    <v>46168.605510392968</v>
    <v>6</v>
    <v>97.3</v>
    <v>3327407864</v>
    <v>AEHR TEST SYSTEMS</v>
    <v>AEHR TEST SYSTEMS</v>
    <v>99</v>
    <v>0</v>
    <v>95.02</v>
    <v>105.789</v>
    <v>31453250</v>
    <v>AEHR</v>
    <v>AEHR TEST SYSTEMS (XNAS:AEHR)</v>
    <v>848516</v>
    <v>2976553</v>
    <v>1977</v>
  </rv>
  <rv s="2">
    <v>7</v>
  </rv>
  <rv s="0">
    <v>https://www.bing.com/financeapi/forcetrigger?t=a1z8jc&amp;q=XNAS%3aON&amp;form=skydnc</v>
    <v>Learn more on Bing</v>
  </rv>
  <rv s="1">
    <v>en-GB</v>
    <v>a1z8jc</v>
    <v>268435456</v>
    <v>1</v>
    <v>Powered by Refinitiv</v>
    <v>0</v>
    <v>ON SEMICONDUCTOR CORPORATION (XNAS:ON)</v>
    <v>2</v>
    <v>3</v>
    <v>Finance</v>
    <v>4</v>
    <v>128.57990000000001</v>
    <v>41.49</v>
    <v>1.9541999999999999</v>
    <v>11.57</v>
    <v>9.9570000000000006E-2</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128.57990000000001</v>
    <v>Semiconductors &amp; Semiconductor Equipment</v>
    <v>Stock</v>
    <v>46168.60548443281</v>
    <v>9</v>
    <v>121.06</v>
    <v>50073471864</v>
    <v>ON SEMICONDUCTOR CORPORATION</v>
    <v>ON SEMICONDUCTOR CORPORATION</v>
    <v>122.8</v>
    <v>91.238200000000006</v>
    <v>116.2</v>
    <v>127.77</v>
    <v>391903200</v>
    <v>ON</v>
    <v>ON SEMICONDUCTOR CORPORATION (XNAS:ON)</v>
    <v>4736584</v>
    <v>12940193</v>
    <v>2000</v>
  </rv>
  <rv s="2">
    <v>10</v>
  </rv>
  <rv s="0">
    <v>https://www.bing.com/financeapi/forcetrigger?t=c1sd3m&amp;q=XNAS%3aAPP&amp;form=skydnc</v>
    <v>Learn more on Bing</v>
  </rv>
  <rv s="1">
    <v>en-GB</v>
    <v>c1sd3m</v>
    <v>268435456</v>
    <v>1</v>
    <v>Powered by Refinitiv</v>
    <v>0</v>
    <v>APPLOVIN CORPORATION (XNAS:APP)</v>
    <v>2</v>
    <v>3</v>
    <v>Finance</v>
    <v>4</v>
    <v>745.61</v>
    <v>320</v>
    <v>2.3662999999999998</v>
    <v>42.81</v>
    <v>8.8876000000000011E-2</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535.35</v>
    <v>Software &amp; IT Services</v>
    <v>Stock</v>
    <v>46168.605527025</v>
    <v>12</v>
    <v>516.07000000000005</v>
    <v>176197170600</v>
    <v>APPLOVIN CORPORATION</v>
    <v>APPLOVIN CORPORATION</v>
    <v>518.20000000000005</v>
    <v>45.578099999999999</v>
    <v>481.68</v>
    <v>524.49</v>
    <v>335940000</v>
    <v>APP</v>
    <v>APPLOVIN CORPORATION (XNAS:APP)</v>
    <v>1939411</v>
    <v>4466495</v>
    <v>2011</v>
  </rv>
  <rv s="2">
    <v>13</v>
  </rv>
  <rv s="0">
    <v>https://www.bing.com/financeapi/forcetrigger?t=bx1rdm&amp;q=XNYS%3aSMR&amp;form=skydnc</v>
    <v>Learn more on Bing</v>
  </rv>
  <rv s="1">
    <v>en-GB</v>
    <v>bx1rdm</v>
    <v>268435456</v>
    <v>1</v>
    <v>Powered by Refinitiv</v>
    <v>0</v>
    <v>NUSCALE POWER CORPORATION (XNYS:SMR)</v>
    <v>2</v>
    <v>3</v>
    <v>Finance</v>
    <v>4</v>
    <v>57.42</v>
    <v>8.85</v>
    <v>2.2115</v>
    <v>1.02</v>
    <v>8.9473999999999998E-2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12.69</v>
    <v>Electrical Utilities &amp; IPPs</v>
    <v>Stock</v>
    <v>46168.605513425784</v>
    <v>15</v>
    <v>11.99</v>
    <v>4539276504</v>
    <v>NUSCALE POWER CORPORATION</v>
    <v>NUSCALE POWER CORPORATION</v>
    <v>12.01</v>
    <v>0</v>
    <v>11.4</v>
    <v>12.42</v>
    <v>365481200</v>
    <v>SMR</v>
    <v>NUSCALE POWER CORPORATION (XNYS:SMR)</v>
    <v>22102257</v>
    <v>34084732</v>
    <v>2022</v>
  </rv>
  <rv s="2">
    <v>16</v>
  </rv>
  <rv s="3">
    <v>en-GB</v>
    <v>cfwqww</v>
    <v>268435456</v>
    <v>1</v>
    <v>Powered by Refinitiv</v>
    <v>5</v>
    <v>SANDISK CORPORATION (XNAS:SNDK)</v>
    <v>6</v>
    <v>3</v>
    <v>Finance</v>
    <v>4</v>
    <v>1607.77</v>
    <v>36.207000000000001</v>
    <v>2.734</v>
    <v>127.675</v>
    <v>8.6343000000000003E-2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1607.77</v>
    <v>Computers, Phones &amp; Household Electronics</v>
    <v>Stock</v>
    <v>46168.605518888282</v>
    <v>1520</v>
    <v>237886271577</v>
    <v>SANDISK CORPORATION</v>
    <v>SANDISK CORPORATION</v>
    <v>1535</v>
    <v>56.790900000000001</v>
    <v>1478.69</v>
    <v>1606.365</v>
    <v>148089800</v>
    <v>SNDK</v>
    <v>SANDISK CORPORATION (XNAS:SNDK)</v>
    <v>4360090</v>
    <v>14574189</v>
    <v>2024</v>
  </rv>
  <rv s="2">
    <v>18</v>
  </rv>
  <rv s="0">
    <v>https://www.bing.com/financeapi/forcetrigger?t=a244ur&amp;q=XNAS%3aTER&amp;form=skydnc</v>
    <v>Learn more on Bing</v>
  </rv>
  <rv s="1">
    <v>en-GB</v>
    <v>a244ur</v>
    <v>268435456</v>
    <v>1</v>
    <v>Powered by Refinitiv</v>
    <v>0</v>
    <v>TERADYNE, INC. (XNAS:TER)</v>
    <v>2</v>
    <v>3</v>
    <v>Finance</v>
    <v>4</v>
    <v>422.11</v>
    <v>77.02</v>
    <v>1.7878000000000001</v>
    <v>28.992000000000001</v>
    <v>8.0883999999999998E-2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388.22989999999999</v>
    <v>Semiconductors &amp; Semiconductor Equipment</v>
    <v>Stock</v>
    <v>46168.605487950779</v>
    <v>20</v>
    <v>367.62</v>
    <v>60649457630</v>
    <v>TERADYNE, INC.</v>
    <v>TERADYNE, INC.</v>
    <v>373.44</v>
    <v>71.705500000000001</v>
    <v>358.44</v>
    <v>387.43200000000002</v>
    <v>156542200</v>
    <v>TER</v>
    <v>TERADYNE, INC. (XNAS:TER)</v>
    <v>1113068</v>
    <v>4045460</v>
    <v>1960</v>
  </rv>
  <rv s="2">
    <v>21</v>
  </rv>
  <rv s="0">
    <v>https://www.bing.com/financeapi/forcetrigger?t=a1ndcw&amp;q=XNAS%3aAMBA&amp;form=skydnc</v>
    <v>Learn more on Bing</v>
  </rv>
  <rv s="1">
    <v>en-GB</v>
    <v>a1ndcw</v>
    <v>268435456</v>
    <v>1</v>
    <v>Powered by Refinitiv</v>
    <v>0</v>
    <v>AMBARELLA, INC. (XNAS:AMBA)</v>
    <v>2</v>
    <v>3</v>
    <v>Finance</v>
    <v>4</v>
    <v>96.69</v>
    <v>48.3</v>
    <v>2.2088999999999999</v>
    <v>6.81</v>
    <v>7.7784000000000006E-2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94.65</v>
    <v>Semiconductors &amp; Semiconductor Equipment</v>
    <v>Stock</v>
    <v>46168.605498714845</v>
    <v>23</v>
    <v>89.45</v>
    <v>4138769252</v>
    <v>AMBARELLA, INC.</v>
    <v>AMBARELLA, INC.</v>
    <v>92.04</v>
    <v>0</v>
    <v>87.55</v>
    <v>94.36</v>
    <v>43861480</v>
    <v>AMBA</v>
    <v>AMBARELLA, INC. (XNAS:AMBA)</v>
    <v>587859</v>
    <v>860616</v>
    <v>2004</v>
  </rv>
  <rv s="2">
    <v>24</v>
  </rv>
  <rv s="0">
    <v>https://www.bing.com/financeapi/forcetrigger?t=a1xygh&amp;q=XNAS%3aMRVL&amp;form=skydnc</v>
    <v>Learn more on Bing</v>
  </rv>
  <rv s="1">
    <v>en-GB</v>
    <v>a1xygh</v>
    <v>268435456</v>
    <v>1</v>
    <v>Powered by Refinitiv</v>
    <v>0</v>
    <v>MARVELL TECHNOLOGY, INC. (XNAS:MRVL)</v>
    <v>2</v>
    <v>3</v>
    <v>Finance</v>
    <v>4</v>
    <v>217.45</v>
    <v>58.61</v>
    <v>2.2723</v>
    <v>11.68</v>
    <v>5.9492000000000003E-2</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217.45</v>
    <v>Semiconductors &amp; Semiconductor Equipment</v>
    <v>Stock</v>
    <v>46168.605515751566</v>
    <v>26</v>
    <v>206.9</v>
    <v>182123821132</v>
    <v>MARVELL TECHNOLOGY, INC.</v>
    <v>MARVELL TECHNOLOGY, INC.</v>
    <v>212.27</v>
    <v>67.753500000000003</v>
    <v>196.33</v>
    <v>208.01</v>
    <v>875553200</v>
    <v>MRVL</v>
    <v>MARVELL TECHNOLOGY, INC. (XNAS:MRVL)</v>
    <v>14634162</v>
    <v>25867876</v>
    <v>2020</v>
  </rv>
  <rv s="2">
    <v>27</v>
  </rv>
  <rv s="0">
    <v>https://www.bing.com/financeapi/forcetrigger?t=a23bxm&amp;q=XNAS%3aSOXX&amp;form=skydnc</v>
    <v>Learn more on Bing</v>
  </rv>
  <rv s="4">
    <v>en-GB</v>
    <v>a23bxm</v>
    <v>268435456</v>
    <v>1</v>
    <v>Powered by Refinitiv</v>
    <v>7</v>
    <v>iShares:Semiconductor (XNAS:SOXX)</v>
    <v>8</v>
    <v>9</v>
    <v>Finance</v>
    <v>10</v>
    <v>568.85</v>
    <v>201.11500000000001</v>
    <v>1.6780999999999999</v>
    <v>31.495000000000001</v>
    <v>5.8613999999999999E-2</v>
    <v>USD</v>
    <v>Nasdaq Stock Market</v>
    <v>XNAS</v>
    <v>3.4000000000000002E-3</v>
    <v>568.85</v>
    <v>ETF</v>
    <v>46168.605504617968</v>
    <v>29</v>
    <v>555.41</v>
    <v>29566458901.66</v>
    <v>iShares:Semiconductor</v>
    <v>557.4</v>
    <v>537.33000000000004</v>
    <v>568.82500000000005</v>
    <v>SOXX</v>
    <v>iShares:Semiconductor (XNAS:SOXX)</v>
    <v>2572614</v>
    <v>7956742</v>
  </rv>
  <rv s="2">
    <v>30</v>
  </rv>
  <rv s="5">
    <v>12</v>
    <v>P/E</v>
    <v>0</v>
  </rv>
  <rv s="5">
    <v>12</v>
    <v>Year incorporated</v>
    <v>0</v>
  </rv>
  <rv s="5">
    <v>12</v>
    <v>Employees</v>
    <v>0</v>
  </rv>
  <rv s="5">
    <v>12</v>
    <v>Industry</v>
    <v>0</v>
  </rv>
  <rv s="5">
    <v>12</v>
    <v>Shares outstanding</v>
    <v>0</v>
  </rv>
  <rv s="0">
    <v>https://www.bing.com/financeapi/forcetrigger?t=a1ndww&amp;q=XNAS%3aAMD&amp;form=skydnc</v>
    <v>Learn more on Bing</v>
  </rv>
  <rv s="1">
    <v>en-GB</v>
    <v>a1ndww</v>
    <v>268435456</v>
    <v>1</v>
    <v>Powered by Refinitiv</v>
    <v>0</v>
    <v>ADVANCED MICRO DEVICES, INC. (XNAS:AMD)</v>
    <v>2</v>
    <v>3</v>
    <v>Finance</v>
    <v>4</v>
    <v>495.41989999999998</v>
    <v>108.61539999999999</v>
    <v>2.4419</v>
    <v>26.565000000000001</v>
    <v>5.6821999999999998E-2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495.41989999999998</v>
    <v>Semiconductors &amp; Semiconductor Equipment</v>
    <v>Stock</v>
    <v>46168.605546075778</v>
    <v>37</v>
    <v>480.23</v>
    <v>805639189075</v>
    <v>ADVANCED MICRO DEVICES, INC.</v>
    <v>ADVANCED MICRO DEVICES, INC.</v>
    <v>485</v>
    <v>164.69720000000001</v>
    <v>467.51</v>
    <v>494.07499999999999</v>
    <v>1630601000</v>
    <v>AMD</v>
    <v>ADVANCED MICRO DEVICES, INC. (XNAS:AMD)</v>
    <v>11444409</v>
    <v>43919238</v>
    <v>1969</v>
  </rv>
  <rv s="2">
    <v>38</v>
  </rv>
  <rv s="0">
    <v>https://www.bing.com/financeapi/forcetrigger?t=a1zxr7&amp;q=XNAS%3aPLAB&amp;form=skydnc</v>
    <v>Learn more on Bing</v>
  </rv>
  <rv s="1">
    <v>en-GB</v>
    <v>a1zxr7</v>
    <v>268435456</v>
    <v>1</v>
    <v>Powered by Refinitiv</v>
    <v>0</v>
    <v>PHOTRONICS, INC. (XNAS:PLAB)</v>
    <v>2</v>
    <v>3</v>
    <v>Finance</v>
    <v>4</v>
    <v>56</v>
    <v>16.59</v>
    <v>1.5019</v>
    <v>2.92</v>
    <v>5.6742999999999995E-2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54.76</v>
    <v>Semiconductors &amp; Semiconductor Equipment</v>
    <v>Stock</v>
    <v>46168.605513263283</v>
    <v>40</v>
    <v>51.814999999999998</v>
    <v>3206592288</v>
    <v>PHOTRONICS, INC.</v>
    <v>PHOTRONICS, INC.</v>
    <v>53.67</v>
    <v>23.231400000000001</v>
    <v>51.46</v>
    <v>54.38</v>
    <v>58966390</v>
    <v>PLAB</v>
    <v>PHOTRONICS, INC. (XNAS:PLAB)</v>
    <v>247938</v>
    <v>796190</v>
    <v>1969</v>
  </rv>
  <rv s="2">
    <v>41</v>
  </rv>
  <rv s="0">
    <v>https://www.bing.com/financeapi/forcetrigger?t=a1wjkr&amp;q=XNAS%3aKLAC&amp;form=skydnc</v>
    <v>Learn more on Bing</v>
  </rv>
  <rv s="1">
    <v>en-GB</v>
    <v>a1wjkr</v>
    <v>268435456</v>
    <v>1</v>
    <v>Powered by Refinitiv</v>
    <v>0</v>
    <v>KLA CORPORATION (XNAS:KLAC)</v>
    <v>2</v>
    <v>3</v>
    <v>Finance</v>
    <v>4</v>
    <v>1987.3</v>
    <v>740.44</v>
    <v>1.5014000000000001</v>
    <v>98.42</v>
    <v>5.2118999999999999E-2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1987.3</v>
    <v>Semiconductors &amp; Semiconductor Equipment</v>
    <v>Stock</v>
    <v>46168.6054773375</v>
    <v>43</v>
    <v>1914.325</v>
    <v>259530717000</v>
    <v>KLA CORPORATION</v>
    <v>KLA CORPORATION</v>
    <v>1944.05</v>
    <v>56.251100000000001</v>
    <v>1888.38</v>
    <v>1986.8</v>
    <v>130627500</v>
    <v>KLAC</v>
    <v>KLA CORPORATION (XNAS:KLAC)</v>
    <v>182213</v>
    <v>1025049</v>
    <v>1975</v>
  </rv>
  <rv s="2">
    <v>44</v>
  </rv>
  <rv s="0">
    <v>https://www.bing.com/financeapi/forcetrigger?t=c4xjc7&amp;q=XNAS%3aCEG&amp;form=skydnc</v>
    <v>Learn more on Bing</v>
  </rv>
  <rv s="1">
    <v>en-GB</v>
    <v>c4xjc7</v>
    <v>268435456</v>
    <v>1</v>
    <v>Powered by Refinitiv</v>
    <v>0</v>
    <v>CONSTELLATION ENERGY CORPORATION. (XNAS:CEG)</v>
    <v>2</v>
    <v>3</v>
    <v>Finance</v>
    <v>4</v>
    <v>412.7</v>
    <v>243.3</v>
    <v>1.1224000000000001</v>
    <v>15.59</v>
    <v>5.3015E-2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310.45</v>
    <v>Electrical Utilities &amp; IPPs</v>
    <v>Stock</v>
    <v>46168.60555663125</v>
    <v>46</v>
    <v>299.08010000000002</v>
    <v>111846126366</v>
    <v>CONSTELLATION ENERGY CORPORATION.</v>
    <v>CONSTELLATION ENERGY CORPORATION.</v>
    <v>299.99</v>
    <v>26.902200000000001</v>
    <v>294.07</v>
    <v>309.66000000000003</v>
    <v>361190100</v>
    <v>CEG</v>
    <v>CONSTELLATION ENERGY CORPORATION. (XNAS:CEG)</v>
    <v>1020551</v>
    <v>3273799</v>
    <v>2021</v>
  </rv>
  <rv s="2">
    <v>47</v>
  </rv>
  <rv s="0">
    <v>https://www.bing.com/financeapi/forcetrigger?t=a1nz8m&amp;q=XNAS%3aAVGO&amp;form=skydnc</v>
    <v>Learn more on Bing</v>
  </rv>
  <rv s="1">
    <v>en-GB</v>
    <v>a1nz8m</v>
    <v>268435456</v>
    <v>1</v>
    <v>Powered by Refinitiv</v>
    <v>0</v>
    <v>BROADCOM INC. (XNAS:AVGO)</v>
    <v>2</v>
    <v>3</v>
    <v>Finance</v>
    <v>4</v>
    <v>442.36</v>
    <v>231.13079999999999</v>
    <v>1.4200999999999999</v>
    <v>20.190000000000001</v>
    <v>4.8752000000000004E-2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434.87</v>
    <v>Semiconductors &amp; Semiconductor Equipment</v>
    <v>Stock</v>
    <v>46168.60553048594</v>
    <v>49</v>
    <v>417</v>
    <v>2056408352440</v>
    <v>BROADCOM INC.</v>
    <v>BROADCOM INC.</v>
    <v>418.69</v>
    <v>84.7821</v>
    <v>414.14</v>
    <v>434.33</v>
    <v>4734668000</v>
    <v>AVGO</v>
    <v>BROADCOM INC. (XNAS:AVGO)</v>
    <v>5341488</v>
    <v>18847496</v>
    <v>2018</v>
  </rv>
  <rv s="2">
    <v>50</v>
  </rv>
  <rv s="0">
    <v>https://www.bing.com/financeapi/forcetrigger?t=a235f2&amp;q=XNAS%3aSMH&amp;form=skydnc</v>
    <v>Learn more on Bing</v>
  </rv>
  <rv s="4">
    <v>en-GB</v>
    <v>a235f2</v>
    <v>268435456</v>
    <v>1</v>
    <v>Powered by Refinitiv</v>
    <v>7</v>
    <v>VanEck:Semiconductor (XNAS:SMH)</v>
    <v>8</v>
    <v>9</v>
    <v>Finance</v>
    <v>10</v>
    <v>601.90930000000003</v>
    <v>235.37</v>
    <v>1.5746</v>
    <v>25.56</v>
    <v>4.4349999999999994E-2</v>
    <v>USD</v>
    <v>Nasdaq Stock Market</v>
    <v>XNAS</v>
    <v>3.4999999999999996E-3</v>
    <v>601.90930000000003</v>
    <v>ETF</v>
    <v>46168.60555719844</v>
    <v>52</v>
    <v>589.1</v>
    <v>58790612118.779999</v>
    <v>VanEck:Semiconductor</v>
    <v>591.92999999999995</v>
    <v>576.32000000000005</v>
    <v>601.88</v>
    <v>SMH</v>
    <v>VanEck:Semiconductor (XNAS:SMH)</v>
    <v>2911624</v>
    <v>9705623</v>
  </rv>
  <rv s="2">
    <v>53</v>
  </rv>
  <rv s="0">
    <v>https://www.bing.com/financeapi/forcetrigger?t=a1safr&amp;q=XNYS%3aETN&amp;form=skydnc</v>
    <v>Learn more on Bing</v>
  </rv>
  <rv s="1">
    <v>en-GB</v>
    <v>a1safr</v>
    <v>268435456</v>
    <v>1</v>
    <v>Powered by Refinitiv</v>
    <v>0</v>
    <v>EATON CORPORATION PUBLIC LIMITED COMPANY (XNYS:ETN)</v>
    <v>2</v>
    <v>3</v>
    <v>Finance</v>
    <v>4</v>
    <v>435.43</v>
    <v>311.89999999999998</v>
    <v>1.2076</v>
    <v>16.389900000000001</v>
    <v>4.1880000000000001E-2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408</v>
    <v>Machinery, Equipment &amp; Components</v>
    <v>Stock</v>
    <v>46168.605529803128</v>
    <v>55</v>
    <v>398</v>
    <v>158325403170</v>
    <v>EATON CORPORATION PUBLIC LIMITED COMPANY</v>
    <v>EATON CORPORATION PUBLIC LIMITED COMPANY</v>
    <v>400.2</v>
    <v>39.861899999999999</v>
    <v>391.35</v>
    <v>407.73989999999998</v>
    <v>388300000</v>
    <v>ETN</v>
    <v>EATON CORPORATION PUBLIC LIMITED COMPANY (XNYS:ETN)</v>
    <v>590607</v>
    <v>2864922</v>
    <v>2012</v>
  </rv>
  <rv s="2">
    <v>56</v>
  </rv>
  <rv s="0">
    <v>https://www.bing.com/financeapi/forcetrigger?t=b19hc7&amp;q=XNYS%3aVRT&amp;form=skydnc</v>
    <v>Learn more on Bing</v>
  </rv>
  <rv s="1">
    <v>en-GB</v>
    <v>b19hc7</v>
    <v>268435456</v>
    <v>1</v>
    <v>Powered by Refinitiv</v>
    <v>0</v>
    <v>VERTIV HOLDINGS CO (XNYS:VRT)</v>
    <v>2</v>
    <v>3</v>
    <v>Finance</v>
    <v>4</v>
    <v>379.935</v>
    <v>104.71</v>
    <v>2.0743999999999998</v>
    <v>12.01</v>
    <v>3.6676E-2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343.31</v>
    <v>Machinery, Equipment &amp; Components</v>
    <v>Stock</v>
    <v>46168.605528506247</v>
    <v>58</v>
    <v>336</v>
    <v>130393414336</v>
    <v>VERTIV HOLDINGS CO</v>
    <v>VERTIV HOLDINGS CO</v>
    <v>341.06</v>
    <v>85.229699999999994</v>
    <v>327.45999999999998</v>
    <v>339.47</v>
    <v>384108800</v>
    <v>VRT</v>
    <v>VERTIV HOLDINGS CO (XNYS:VRT)</v>
    <v>1720809</v>
    <v>5938554</v>
    <v>2016</v>
  </rv>
  <rv s="2">
    <v>59</v>
  </rv>
  <rv s="3">
    <v>en-GB</v>
    <v>cd9jsm</v>
    <v>268435456</v>
    <v>1</v>
    <v>Powered by Refinitiv</v>
    <v>5</v>
    <v>TEMPUS AI, INC. (XNAS:TEM)</v>
    <v>6</v>
    <v>3</v>
    <v>Finance</v>
    <v>4</v>
    <v>104.32</v>
    <v>41.73</v>
    <v>3.1070000000000002</v>
    <v>1.355</v>
    <v>2.9342E-2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48.21</v>
    <v>Biotechnology &amp; Medical Research</v>
    <v>Stock</v>
    <v>46168.605554710157</v>
    <v>46.220100000000002</v>
    <v>8535612767</v>
    <v>TEMPUS AI, INC.</v>
    <v>TEMPUS AI, INC.</v>
    <v>47.07</v>
    <v>0</v>
    <v>46.18</v>
    <v>47.534999999999997</v>
    <v>179564800</v>
    <v>TEM</v>
    <v>TEMPUS AI, INC. (XNAS:TEM)</v>
    <v>1696565</v>
    <v>5813264</v>
    <v>2025</v>
  </rv>
  <rv s="2">
    <v>61</v>
  </rv>
  <rv s="0">
    <v>https://www.bing.com/financeapi/forcetrigger?t=a1retc&amp;q=XNYS%3aDELL&amp;form=skydnc</v>
    <v>Learn more on Bing</v>
  </rv>
  <rv s="1">
    <v>en-GB</v>
    <v>a1retc</v>
    <v>268435456</v>
    <v>1</v>
    <v>Powered by Refinitiv</v>
    <v>0</v>
    <v>DELL TECHNOLOGIES INC. (XNYS:DELL)</v>
    <v>2</v>
    <v>3</v>
    <v>Finance</v>
    <v>4</v>
    <v>308.64010000000002</v>
    <v>106.38</v>
    <v>1.0609999999999999</v>
    <v>6.7999000000000001</v>
    <v>2.3035999999999997E-2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308.64010000000002</v>
    <v>Computers, Phones &amp; Household Electronics</v>
    <v>Stock</v>
    <v>46168.605548251566</v>
    <v>63</v>
    <v>298.97000000000003</v>
    <v>196163065960</v>
    <v>DELL TECHNOLOGIES INC.</v>
    <v>DELL TECHNOLOGIES INC.</v>
    <v>300.26</v>
    <v>34.606900000000003</v>
    <v>295.19</v>
    <v>301.98989999999998</v>
    <v>649568300</v>
    <v>DELL</v>
    <v>DELL TECHNOLOGIES INC. (XNYS:DELL)</v>
    <v>3893063</v>
    <v>6254903</v>
    <v>2013</v>
  </rv>
  <rv s="2">
    <v>64</v>
  </rv>
  <rv s="0">
    <v>https://www.bing.com/financeapi/forcetrigger?t=a1vla2&amp;q=XNAS%3aINOD&amp;form=skydnc</v>
    <v>Learn more on Bing</v>
  </rv>
  <rv s="1">
    <v>en-GB</v>
    <v>a1vla2</v>
    <v>268435456</v>
    <v>1</v>
    <v>Powered by Refinitiv</v>
    <v>0</v>
    <v>INNODATA INC. (XNAS:INOD)</v>
    <v>2</v>
    <v>3</v>
    <v>Finance</v>
    <v>4</v>
    <v>114.77</v>
    <v>34.2301</v>
    <v>2.64</v>
    <v>2.7871999999999999</v>
    <v>2.9190999999999998E-2</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100.9</v>
    <v>Software &amp; IT Services</v>
    <v>Stock</v>
    <v>46168.60548709453</v>
    <v>66</v>
    <v>94.4</v>
    <v>1490374656</v>
    <v>INNODATA INC.</v>
    <v>INNODATA INC.</v>
    <v>97.5</v>
    <v>88.417500000000004</v>
    <v>95.48</v>
    <v>98.267200000000003</v>
    <v>32655360</v>
    <v>INOD</v>
    <v>INNODATA INC. (XNAS:INOD)</v>
    <v>588605</v>
    <v>2667802</v>
    <v>1988</v>
  </rv>
  <rv s="2">
    <v>67</v>
  </rv>
  <rv s="0">
    <v>https://www.bing.com/financeapi/forcetrigger?t=bvlqa2&amp;q=XNYS%3aSNOW&amp;form=skydnc</v>
    <v>Learn more on Bing</v>
  </rv>
  <rv s="1">
    <v>en-GB</v>
    <v>bvlqa2</v>
    <v>268435456</v>
    <v>1</v>
    <v>Powered by Refinitiv</v>
    <v>0</v>
    <v>SNOWFLAKE INC. (XNYS:SNOW)</v>
    <v>2</v>
    <v>3</v>
    <v>Finance</v>
    <v>4</v>
    <v>280.67</v>
    <v>118.3</v>
    <v>1.1302000000000001</v>
    <v>5</v>
    <v>2.9035999999999999E-2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181.27</v>
    <v>Software &amp; IT Services</v>
    <v>Stock</v>
    <v>46168.605561990626</v>
    <v>69</v>
    <v>174.55009999999999</v>
    <v>61418033879</v>
    <v>SNOWFLAKE INC.</v>
    <v>SNOWFLAKE INC.</v>
    <v>177.19</v>
    <v>0</v>
    <v>172.2</v>
    <v>177.2</v>
    <v>346602900</v>
    <v>SNOW</v>
    <v>SNOWFLAKE INC. (XNYS:SNOW)</v>
    <v>3539960</v>
    <v>7091258</v>
    <v>2012</v>
  </rv>
  <rv s="2">
    <v>70</v>
  </rv>
  <rv s="0">
    <v>https://www.bing.com/financeapi/forcetrigger?t=c1dbvh&amp;q=XNYS%3aPATH&amp;form=skydnc</v>
    <v>Learn more on Bing</v>
  </rv>
  <rv s="1">
    <v>en-GB</v>
    <v>c1dbvh</v>
    <v>268435456</v>
    <v>1</v>
    <v>Powered by Refinitiv</v>
    <v>0</v>
    <v>UIPATH, INC. (XNYS:PATH)</v>
    <v>2</v>
    <v>3</v>
    <v>Finance</v>
    <v>4</v>
    <v>19.84</v>
    <v>9.2002000000000006</v>
    <v>0.92749999999999999</v>
    <v>0.245</v>
    <v>2.2414999999999997E-2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11.29</v>
    <v>Software &amp; IT Services</v>
    <v>Stock</v>
    <v>46168.605549582811</v>
    <v>72</v>
    <v>10.73</v>
    <v>5815954995</v>
    <v>UIPATH, INC.</v>
    <v>UIPATH, INC.</v>
    <v>10.91</v>
    <v>21.490400000000001</v>
    <v>10.93</v>
    <v>11.175000000000001</v>
    <v>520443400</v>
    <v>PATH</v>
    <v>UIPATH, INC. (XNYS:PATH)</v>
    <v>9365216</v>
    <v>30135944</v>
    <v>2015</v>
  </rv>
  <rv s="2">
    <v>73</v>
  </rv>
  <rv s="0">
    <v>https://www.bing.com/financeapi/forcetrigger?t=a1sxjc&amp;q=XNAS%3aFIVN&amp;form=skydnc</v>
    <v>Learn more on Bing</v>
  </rv>
  <rv s="1">
    <v>en-GB</v>
    <v>a1sxjc</v>
    <v>268435456</v>
    <v>1</v>
    <v>Powered by Refinitiv</v>
    <v>0</v>
    <v>FIVE9, INC. (XNAS:FIVN)</v>
    <v>2</v>
    <v>3</v>
    <v>Finance</v>
    <v>4</v>
    <v>30.38</v>
    <v>13.29</v>
    <v>1.3915999999999999</v>
    <v>0.6</v>
    <v>2.6362E-2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23.5488</v>
    <v>Software &amp; IT Services</v>
    <v>Stock</v>
    <v>46168.605510497655</v>
    <v>75</v>
    <v>22.06</v>
    <v>1788534806</v>
    <v>FIVE9, INC.</v>
    <v>FIVE9, INC.</v>
    <v>22.58</v>
    <v>35.4208</v>
    <v>22.76</v>
    <v>23.36</v>
    <v>76563990</v>
    <v>FIVN</v>
    <v>FIVE9, INC. (XNAS:FIVN)</v>
    <v>740395</v>
    <v>4008334</v>
    <v>2001</v>
  </rv>
  <rv s="2">
    <v>76</v>
  </rv>
  <rv s="0">
    <v>https://www.bing.com/financeapi/forcetrigger?t=azbtyc&amp;q=XNAS%3aZS&amp;form=skydnc</v>
    <v>Learn more on Bing</v>
  </rv>
  <rv s="1">
    <v>en-GB</v>
    <v>azbtyc</v>
    <v>268435456</v>
    <v>1</v>
    <v>Powered by Refinitiv</v>
    <v>0</v>
    <v>ZSCALER, INC. (XNAS:ZS)</v>
    <v>2</v>
    <v>3</v>
    <v>Finance</v>
    <v>4</v>
    <v>336.99</v>
    <v>114.625</v>
    <v>1.0414000000000001</v>
    <v>4.1399999999999997</v>
    <v>2.2700999999999999E-2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188.25</v>
    <v>Software &amp; IT Services</v>
    <v>Stock</v>
    <v>46168.605486053122</v>
    <v>78</v>
    <v>181.875</v>
    <v>29989073457</v>
    <v>ZSCALER, INC.</v>
    <v>ZSCALER, INC.</v>
    <v>183</v>
    <v>0</v>
    <v>182.37</v>
    <v>186.51</v>
    <v>160790700</v>
    <v>ZS</v>
    <v>ZSCALER, INC. (XNAS:ZS)</v>
    <v>1498213</v>
    <v>2977080</v>
    <v>2007</v>
  </rv>
  <rv s="2">
    <v>79</v>
  </rv>
  <rv s="0">
    <v>https://www.bing.com/financeapi/forcetrigger?t=a239hw&amp;q=XNAS%3aSNPS&amp;form=skydnc</v>
    <v>Learn more on Bing</v>
  </rv>
  <rv s="1">
    <v>en-GB</v>
    <v>a239hw</v>
    <v>268435456</v>
    <v>1</v>
    <v>Powered by Refinitiv</v>
    <v>0</v>
    <v>SYNOPSYS, INC. (XNAS:SNPS)</v>
    <v>2</v>
    <v>3</v>
    <v>Finance</v>
    <v>4</v>
    <v>651.73</v>
    <v>376.18</v>
    <v>1.2539</v>
    <v>12.86</v>
    <v>2.4506999999999998E-2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537.6</v>
    <v>Software &amp; IT Services</v>
    <v>Stock</v>
    <v>46168.605569073436</v>
    <v>81</v>
    <v>524.17999999999995</v>
    <v>102983731200</v>
    <v>SYNOPSYS, INC.</v>
    <v>SYNOPSYS, INC.</v>
    <v>530</v>
    <v>83.177300000000002</v>
    <v>524.74</v>
    <v>537.6</v>
    <v>191562000</v>
    <v>SNPS</v>
    <v>SYNOPSYS, INC. (XNAS:SNPS)</v>
    <v>328417</v>
    <v>1650918</v>
    <v>1987</v>
  </rv>
  <rv s="2">
    <v>82</v>
  </rv>
  <rv s="0">
    <v>https://www.bing.com/financeapi/forcetrigger?t=a1pejc&amp;q=XNAS%3aCDNS&amp;form=skydnc</v>
    <v>Learn more on Bing</v>
  </rv>
  <rv s="1">
    <v>en-GB</v>
    <v>a1pejc</v>
    <v>268435456</v>
    <v>1</v>
    <v>Powered by Refinitiv</v>
    <v>0</v>
    <v>CADENCE DESIGN SYSTEMS, INC. (XNAS:CDNS)</v>
    <v>2</v>
    <v>3</v>
    <v>Finance</v>
    <v>4</v>
    <v>382.32</v>
    <v>262.74900000000002</v>
    <v>1.1472</v>
    <v>7.64</v>
    <v>2.0449999999999999E-2</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382.32</v>
    <v>Software &amp; IT Services</v>
    <v>Stock</v>
    <v>46168.605529258595</v>
    <v>84</v>
    <v>369.96</v>
    <v>105149333680</v>
    <v>CADENCE DESIGN SYSTEMS, INC.</v>
    <v>CADENCE DESIGN SYSTEMS, INC.</v>
    <v>380</v>
    <v>88.999600000000001</v>
    <v>373.59</v>
    <v>381.23</v>
    <v>275816000</v>
    <v>CDNS</v>
    <v>CADENCE DESIGN SYSTEMS, INC. (XNAS:CDNS)</v>
    <v>489738</v>
    <v>2434453</v>
    <v>1987</v>
  </rv>
  <rv s="2">
    <v>85</v>
  </rv>
  <rv s="0">
    <v>https://www.bing.com/financeapi/forcetrigger?t=a24kjc&amp;q=XNYS%3aTSM&amp;form=skydnc</v>
    <v>Learn more on Bing</v>
  </rv>
  <rv s="1">
    <v>en-GB</v>
    <v>a24kjc</v>
    <v>268435456</v>
    <v>1</v>
    <v>Powered by Refinitiv</v>
    <v>0</v>
    <v>Taiwan Semiconductor Manufacturing Company Limited (XNYS:TSM)</v>
    <v>2</v>
    <v>3</v>
    <v>Finance</v>
    <v>4</v>
    <v>421.97</v>
    <v>190.56</v>
    <v>1.3918999999999999</v>
    <v>10.17</v>
    <v>2.5141E-2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416.49</v>
    <v>Semiconductors &amp; Semiconductor Equipment</v>
    <v>Stock</v>
    <v>46168.605561943747</v>
    <v>87</v>
    <v>410.35</v>
    <v>2150791758450</v>
    <v>Taiwan Semiconductor Manufacturing Company Limited</v>
    <v>Taiwan Semiconductor Manufacturing Company Limited</v>
    <v>413.12</v>
    <v>35.086399999999998</v>
    <v>404.52</v>
    <v>414.69</v>
    <v>5186505000</v>
    <v>TSM</v>
    <v>Taiwan Semiconductor Manufacturing Company Limited (XNYS:TSM)</v>
    <v>2996422</v>
    <v>13560183</v>
    <v>1987</v>
  </rv>
  <rv s="2">
    <v>88</v>
  </rv>
  <rv s="0">
    <v>https://www.bing.com/financeapi/forcetrigger?t=a1nihw&amp;q=XNYS%3aANET&amp;form=skydnc</v>
    <v>Learn more on Bing</v>
  </rv>
  <rv s="1">
    <v>en-GB</v>
    <v>a1nihw</v>
    <v>268435456</v>
    <v>1</v>
    <v>Powered by Refinitiv</v>
    <v>0</v>
    <v>ARISTA NETWORKS, INC. (XNYS:ANET)</v>
    <v>2</v>
    <v>3</v>
    <v>Finance</v>
    <v>4</v>
    <v>179.8</v>
    <v>83.858000000000004</v>
    <v>1.6326000000000001</v>
    <v>3.51</v>
    <v>2.2787999999999999E-2</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157.74</v>
    <v>Communications &amp; Networking</v>
    <v>Stock</v>
    <v>46168.605576851565</v>
    <v>90</v>
    <v>153.88999999999999</v>
    <v>198374840620</v>
    <v>ARISTA NETWORKS, INC.</v>
    <v>ARISTA NETWORKS, INC.</v>
    <v>157.13</v>
    <v>53.959400000000002</v>
    <v>154.03</v>
    <v>157.54</v>
    <v>1259203000</v>
    <v>ANET</v>
    <v>ARISTA NETWORKS, INC. (XNYS:ANET)</v>
    <v>2993278</v>
    <v>11652560</v>
    <v>2011</v>
  </rv>
  <rv s="2">
    <v>91</v>
  </rv>
  <rv s="0">
    <v>https://www.bing.com/financeapi/forcetrigger?t=c4s6z2&amp;q=XNAS%3aCRDO&amp;form=skydnc</v>
    <v>Learn more on Bing</v>
  </rv>
  <rv s="6">
    <v>en-GB</v>
    <v>c4s6z2</v>
    <v>268435456</v>
    <v>1</v>
    <v>Powered by Refinitiv</v>
    <v>11</v>
    <v>Credo Technology Group Holding Ltd (XNAS:CRDO)</v>
    <v>2</v>
    <v>12</v>
    <v>Finance</v>
    <v>4</v>
    <v>233.7</v>
    <v>59.21</v>
    <v>3.1960000000000002</v>
    <v>2.4</v>
    <v>1.0989000000000001E-2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233.7</v>
    <v>Semiconductors &amp; Semiconductor Equipment</v>
    <v>Stock</v>
    <v>46168.605576157031</v>
    <v>93</v>
    <v>220.76</v>
    <v>40728382419</v>
    <v>Credo Technology Group Holding Ltd</v>
    <v>Credo Technology Group Holding Ltd</v>
    <v>228.16</v>
    <v>122.5361</v>
    <v>218.41</v>
    <v>220.81</v>
    <v>184449900</v>
    <v>CRDO</v>
    <v>Credo Technology Group Holding Ltd (XNAS:CRDO)</v>
    <v>2748487</v>
    <v>6433756</v>
  </rv>
  <rv s="2">
    <v>94</v>
  </rv>
  <rv s="0">
    <v>https://www.bing.com/financeapi/forcetrigger?t=c62ogh&amp;q=XNAS%3aSOUN&amp;form=skydnc</v>
    <v>Learn more on Bing</v>
  </rv>
  <rv s="1">
    <v>en-GB</v>
    <v>c62ogh</v>
    <v>268435456</v>
    <v>1</v>
    <v>Powered by Refinitiv</v>
    <v>0</v>
    <v>SOUNDHOUND AI, INC. (XNAS:SOUN)</v>
    <v>2</v>
    <v>3</v>
    <v>Finance</v>
    <v>4</v>
    <v>22.17</v>
    <v>5.83</v>
    <v>2.7301000000000002</v>
    <v>0.15</v>
    <v>1.8360000000000001E-2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8.44</v>
    <v>Software &amp; IT Services</v>
    <v>Stock</v>
    <v>46168.605507974222</v>
    <v>96</v>
    <v>8.1199999999999992</v>
    <v>3600643072</v>
    <v>SOUNDHOUND AI, INC.</v>
    <v>SOUNDHOUND AI, INC.</v>
    <v>8.1999999999999993</v>
    <v>0</v>
    <v>8.17</v>
    <v>8.32</v>
    <v>432769600</v>
    <v>SOUN</v>
    <v>SOUNDHOUND AI, INC. (XNAS:SOUN)</v>
    <v>9489549</v>
    <v>31416425</v>
    <v>2020</v>
  </rv>
  <rv s="2">
    <v>97</v>
  </rv>
  <rv s="0">
    <v>https://www.bing.com/financeapi/forcetrigger?t=a1molh&amp;q=XNAS%3aAAOI&amp;form=skydnc</v>
    <v>Learn more on Bing</v>
  </rv>
  <rv s="1">
    <v>en-GB</v>
    <v>a1molh</v>
    <v>268435456</v>
    <v>1</v>
    <v>Powered by Refinitiv</v>
    <v>0</v>
    <v>APPLIED OPTOELECTRONICS, INC. (XNAS:AAOI)</v>
    <v>2</v>
    <v>3</v>
    <v>Finance</v>
    <v>4</v>
    <v>233.67</v>
    <v>15.06</v>
    <v>3.7349999999999999</v>
    <v>3.86</v>
    <v>2.1267999999999999E-2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194.95</v>
    <v>Electronic Equipment &amp; Parts</v>
    <v>Stock</v>
    <v>46168.605565832811</v>
    <v>99</v>
    <v>180</v>
    <v>14872997419</v>
    <v>APPLIED OPTOELECTRONICS, INC.</v>
    <v>APPLIED OPTOELECTRONICS, INC.</v>
    <v>186.61</v>
    <v>0</v>
    <v>181.49</v>
    <v>185.35</v>
    <v>80242770</v>
    <v>AAOI</v>
    <v>APPLIED OPTOELECTRONICS, INC. (XNAS:AAOI)</v>
    <v>4849309</v>
    <v>11357824</v>
    <v>2013</v>
  </rv>
  <rv s="2">
    <v>100</v>
  </rv>
  <rv s="0">
    <v>https://www.bing.com/financeapi/forcetrigger?t=a23tz2&amp;q=XNAS%3aSWKS&amp;form=skydnc</v>
    <v>Learn more on Bing</v>
  </rv>
  <rv s="1">
    <v>en-GB</v>
    <v>a23tz2</v>
    <v>268435456</v>
    <v>1</v>
    <v>Powered by Refinitiv</v>
    <v>0</v>
    <v>SKYWORKS SOLUTIONS, INC. (XNAS:SWKS)</v>
    <v>2</v>
    <v>3</v>
    <v>Finance</v>
    <v>4</v>
    <v>90.9</v>
    <v>51.93</v>
    <v>1.5053000000000001</v>
    <v>1.53</v>
    <v>1.8725000000000002E-2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83.68</v>
    <v>Semiconductors &amp; Semiconductor Equipment</v>
    <v>Stock</v>
    <v>46168.605591608597</v>
    <v>102</v>
    <v>80</v>
    <v>12519787116</v>
    <v>SKYWORKS SOLUTIONS, INC.</v>
    <v>SKYWORKS SOLUTIONS, INC.</v>
    <v>82.54</v>
    <v>32.885599999999997</v>
    <v>81.709999999999994</v>
    <v>83.24</v>
    <v>150405900</v>
    <v>SWKS</v>
    <v>SKYWORKS SOLUTIONS, INC. (XNAS:SWKS)</v>
    <v>1011675</v>
    <v>4858739</v>
    <v>2002</v>
  </rv>
  <rv s="2">
    <v>103</v>
  </rv>
  <rv s="0">
    <v>https://www.bing.com/financeapi/forcetrigger?t=a21mim&amp;q=XNAS%3aQQQ&amp;form=skydnc</v>
    <v>Learn more on Bing</v>
  </rv>
  <rv s="4">
    <v>en-GB</v>
    <v>a21mim</v>
    <v>268435456</v>
    <v>1</v>
    <v>Powered by Refinitiv</v>
    <v>7</v>
    <v>Invesco QQQ Trust 1 (XNAS:QQQ)</v>
    <v>8</v>
    <v>9</v>
    <v>Finance</v>
    <v>10</v>
    <v>730.32</v>
    <v>511.93</v>
    <v>0.99850000000000005</v>
    <v>12.58</v>
    <v>1.7532000000000002E-2</v>
    <v>USD</v>
    <v>Nasdaq Stock Market</v>
    <v>XNAS</v>
    <v>1.8E-3</v>
    <v>730.32</v>
    <v>ETF</v>
    <v>46168.60551018516</v>
    <v>105</v>
    <v>724.16</v>
    <v>440257379466.70001</v>
    <v>Invesco QQQ Trust 1</v>
    <v>726</v>
    <v>717.54</v>
    <v>730.12</v>
    <v>QQQ</v>
    <v>Invesco QQQ Trust 1 (XNAS:QQQ)</v>
    <v>10796831</v>
    <v>39466245</v>
  </rv>
  <rv s="2">
    <v>106</v>
  </rv>
  <rv s="0">
    <v>https://www.bing.com/financeapi/forcetrigger?t=a1x3r7&amp;q=XNAS%3aLPTH&amp;form=skydnc</v>
    <v>Learn more on Bing</v>
  </rv>
  <rv s="1">
    <v>en-GB</v>
    <v>a1x3r7</v>
    <v>268435456</v>
    <v>1</v>
    <v>Powered by Refinitiv</v>
    <v>0</v>
    <v>LIGHTPATH TECHNOLOGIES, INC. (XNAS:LPTH)</v>
    <v>2</v>
    <v>3</v>
    <v>Finance</v>
    <v>4</v>
    <v>18.038</v>
    <v>2.2801999999999998</v>
    <v>1.3101</v>
    <v>0.26500000000000001</v>
    <v>1.5633999999999999E-2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18.038</v>
    <v>Computers, Phones &amp; Household Electronics</v>
    <v>Stock</v>
    <v>46168.605553367968</v>
    <v>108</v>
    <v>16.88</v>
    <v>1080919693</v>
    <v>LIGHTPATH TECHNOLOGIES, INC.</v>
    <v>LIGHTPATH TECHNOLOGIES, INC.</v>
    <v>17.96</v>
    <v>0</v>
    <v>16.95</v>
    <v>17.215</v>
    <v>62789410</v>
    <v>LPTH</v>
    <v>LIGHTPATH TECHNOLOGIES, INC. (XNAS:LPTH)</v>
    <v>2088124</v>
    <v>3805461</v>
    <v>1992</v>
  </rv>
  <rv s="2">
    <v>109</v>
  </rv>
  <rv s="0">
    <v>https://www.bing.com/financeapi/forcetrigger?t=a1vxfr&amp;q=ARCX%3aIWM&amp;form=skydnc</v>
    <v>Learn more on Bing</v>
  </rv>
  <rv s="4">
    <v>en-GB</v>
    <v>a1vxfr</v>
    <v>268435456</v>
    <v>1</v>
    <v>Powered by Refinitiv</v>
    <v>7</v>
    <v>iShares:Russ 2000 ETF (ARCX:IWM)</v>
    <v>8</v>
    <v>9</v>
    <v>Finance</v>
    <v>10</v>
    <v>290.51</v>
    <v>202.67</v>
    <v>0.99929999999999997</v>
    <v>4.415</v>
    <v>1.5485000000000001E-2</v>
    <v>USD</v>
    <v>NYSE Arca</v>
    <v>ARCX</v>
    <v>1.9E-3</v>
    <v>290.51</v>
    <v>ETF</v>
    <v>46168.605543147656</v>
    <v>111</v>
    <v>287.74</v>
    <v>76877810344.919998</v>
    <v>iShares:Russ 2000 ETF</v>
    <v>288.55</v>
    <v>285.12</v>
    <v>289.53500000000003</v>
    <v>IWM</v>
    <v>iShares:Russ 2000 ETF (ARCX:IWM)</v>
    <v>6969903</v>
    <v>26339211</v>
  </rv>
  <rv s="2">
    <v>112</v>
  </rv>
  <rv s="0">
    <v>https://www.bing.com/financeapi/forcetrigger?t=a1vmf2&amp;q=XNAS%3aINTC&amp;form=skydnc</v>
    <v>Learn more on Bing</v>
  </rv>
  <rv s="1">
    <v>en-GB</v>
    <v>a1vmf2</v>
    <v>268435456</v>
    <v>1</v>
    <v>Powered by Refinitiv</v>
    <v>0</v>
    <v>INTEL CORPORATION (XNAS:INTC)</v>
    <v>2</v>
    <v>3</v>
    <v>Finance</v>
    <v>4</v>
    <v>132.75</v>
    <v>18.965</v>
    <v>2.2282999999999999</v>
    <v>2.7549999999999999</v>
    <v>2.2989000000000002E-2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125.62</v>
    <v>Semiconductors &amp; Semiconductor Equipment</v>
    <v>Stock</v>
    <v>46168.605583541408</v>
    <v>114</v>
    <v>117.35</v>
    <v>616162470000</v>
    <v>INTEL CORPORATION</v>
    <v>INTEL CORPORATION</v>
    <v>122</v>
    <v>0</v>
    <v>119.84</v>
    <v>122.595</v>
    <v>5026000000</v>
    <v>INTC</v>
    <v>INTEL CORPORATION (XNAS:INTC)</v>
    <v>42953434</v>
    <v>151534568</v>
    <v>1989</v>
  </rv>
  <rv s="2">
    <v>115</v>
  </rv>
  <rv s="3">
    <v>en-GB</v>
    <v>ccqpyc</v>
    <v>268435456</v>
    <v>1</v>
    <v>Powered by Refinitiv</v>
    <v>5</v>
    <v>ASTERA LABS, INC. (XNAS:ALAB)</v>
    <v>6</v>
    <v>3</v>
    <v>Finance</v>
    <v>4</v>
    <v>316.5</v>
    <v>84.78</v>
    <v>2.5950000000000002</v>
    <v>2.2000000000000002</v>
    <v>7.169E-3</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316.5</v>
    <v>Semiconductors &amp; Semiconductor Equipment</v>
    <v>Stock</v>
    <v>46168.605609235936</v>
    <v>290.5</v>
    <v>52978753732</v>
    <v>ASTERA LABS, INC.</v>
    <v>ASTERA LABS, INC.</v>
    <v>315</v>
    <v>208.35919999999999</v>
    <v>306.88</v>
    <v>309.08</v>
    <v>171407900</v>
    <v>ALAB</v>
    <v>ASTERA LABS, INC. (XNAS:ALAB)</v>
    <v>3011391</v>
    <v>6287038</v>
    <v>2017</v>
  </rv>
  <rv s="2">
    <v>117</v>
  </rv>
  <rv s="3">
    <v>en-GB</v>
    <v>cgblqh</v>
    <v>268435456</v>
    <v>1</v>
    <v>Powered by Refinitiv</v>
    <v>5</v>
    <v>COREWEAVE, INC. (XNAS:CRWV)</v>
    <v>6</v>
    <v>3</v>
    <v>Finance</v>
    <v>4</v>
    <v>187</v>
    <v>63.8</v>
    <v>2.4460000000000002</v>
    <v>1.6</v>
    <v>1.5167E-2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109.2</v>
    <v>Software &amp; IT Services</v>
    <v>Stock</v>
    <v>46168.605494721873</v>
    <v>106.02</v>
    <v>58425134136</v>
    <v>COREWEAVE, INC.</v>
    <v>COREWEAVE, INC.</v>
    <v>108.23</v>
    <v>0</v>
    <v>105.49</v>
    <v>107.09</v>
    <v>545570400</v>
    <v>CRWV</v>
    <v>COREWEAVE, INC. (XNAS:CRWV)</v>
    <v>7686109</v>
    <v>28779618</v>
    <v>2017</v>
  </rv>
  <rv s="2">
    <v>119</v>
  </rv>
  <rv s="0">
    <v>https://www.bing.com/financeapi/forcetrigger?t=a1nq6h&amp;q=ARCX%3aARKK&amp;form=skydnc</v>
    <v>Learn more on Bing</v>
  </rv>
  <rv s="4">
    <v>en-GB</v>
    <v>a1nq6h</v>
    <v>268435456</v>
    <v>1</v>
    <v>Powered by Refinitiv</v>
    <v>7</v>
    <v>ARK Innovation (BATS:ARKK)</v>
    <v>8</v>
    <v>9</v>
    <v>Finance</v>
    <v>10</v>
    <v>92.65</v>
    <v>55.02</v>
    <v>2.0520999999999998</v>
    <v>0.97</v>
    <v>1.2696000000000001E-2</v>
    <v>USD</v>
    <v>CBOE BZX Exchange</v>
    <v>BATS</v>
    <v>7.4999999999999997E-3</v>
    <v>77.790000000000006</v>
    <v>ETF</v>
    <v>46168.605482777341</v>
    <v>121</v>
    <v>76.53</v>
    <v>6482466914.0900002</v>
    <v>ARK Innovation</v>
    <v>77.400000000000006</v>
    <v>76.400000000000006</v>
    <v>77.37</v>
    <v>ARKK</v>
    <v>ARK Innovation (BATS:ARKK)</v>
    <v>1211355</v>
    <v>7848548</v>
  </rv>
  <rv s="2">
    <v>122</v>
  </rv>
  <rv s="3">
    <v>en-GB</v>
    <v>cau7bh</v>
    <v>268435456</v>
    <v>1</v>
    <v>Powered by Refinitiv</v>
    <v>5</v>
    <v>ARM HOLDINGS PLC (XNAS:ARM)</v>
    <v>6</v>
    <v>3</v>
    <v>Finance</v>
    <v>4</v>
    <v>324.99990000000003</v>
    <v>100.02</v>
    <v>1.151</v>
    <v>7.37</v>
    <v>2.4045E-2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324.99990000000003</v>
    <v>Semiconductors &amp; Semiconductor Equipment</v>
    <v>Stock</v>
    <v>46168.60559679375</v>
    <v>300</v>
    <v>333968320000</v>
    <v>ARM HOLDINGS PLC</v>
    <v>ARM HOLDINGS PLC</v>
    <v>317.52</v>
    <v>370.84120000000001</v>
    <v>306.51</v>
    <v>313.88</v>
    <v>1064000000</v>
    <v>ARM</v>
    <v>ARM HOLDINGS PLC (XNAS:ARM)</v>
    <v>4451259</v>
    <v>12284536</v>
    <v>2018</v>
  </rv>
  <rv s="2">
    <v>124</v>
  </rv>
  <rv s="0">
    <v>http://en.wikipedia.org/wiki/Public_domain</v>
    <v>Public domain</v>
  </rv>
  <rv s="0">
    <v>http://pt.wikipedia.org/wiki/Oracle_Corporation</v>
    <v>Wikipedia</v>
  </rv>
  <rv s="7">
    <v>126</v>
    <v>127</v>
  </rv>
  <rv s="8">
    <v>17</v>
    <v>https://www.bing.com/th?id=AMMS_672116c618c664d13b2515d6587ba357&amp;qlt=95</v>
    <v>128</v>
    <v>0</v>
    <v>https://www.bing.com/images/search?form=xlimg&amp;q=oracle+corporation</v>
    <v>Image of ORACLE CORPORATION</v>
  </rv>
  <rv s="0">
    <v>https://www.bing.com/financeapi/forcetrigger?t=a1zbec&amp;q=XNYS%3aORCL&amp;form=skydnc</v>
    <v>Learn more on Bing</v>
  </rv>
  <rv s="9">
    <v>en-GB</v>
    <v>a1zbec</v>
    <v>268435456</v>
    <v>1</v>
    <v>Powered by Refinitiv</v>
    <v>13</v>
    <v>ORACLE CORPORATION (XNYS:ORCL)</v>
    <v>15</v>
    <v>16</v>
    <v>Finance</v>
    <v>4</v>
    <v>345.72</v>
    <v>134.57</v>
    <v>1.5724</v>
    <v>2.415</v>
    <v>1.2573000000000001E-2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195</v>
    <v>129</v>
    <v>Software &amp; IT Services</v>
    <v>Stock</v>
    <v>46168.605518784374</v>
    <v>130</v>
    <v>190.61</v>
    <v>559376566770</v>
    <v>ORACLE CORPORATION</v>
    <v>ORACLE CORPORATION</v>
    <v>193.30500000000001</v>
    <v>32.965800000000002</v>
    <v>192.08</v>
    <v>194.495</v>
    <v>2876046000</v>
    <v>ORCL</v>
    <v>ORACLE CORPORATION (XNYS:ORCL)</v>
    <v>3246479</v>
    <v>23762431</v>
    <v>2005</v>
  </rv>
  <rv s="2">
    <v>131</v>
  </rv>
  <rv s="0">
    <v>https://www.bing.com/financeapi/forcetrigger?t=a234r7&amp;q=XNAS%3aSMCI&amp;form=skydnc</v>
    <v>Learn more on Bing</v>
  </rv>
  <rv s="1">
    <v>en-GB</v>
    <v>a234r7</v>
    <v>268435456</v>
    <v>1</v>
    <v>Powered by Refinitiv</v>
    <v>0</v>
    <v>SUPER MICRO COMPUTER, INC. (XNAS:SMCI)</v>
    <v>2</v>
    <v>3</v>
    <v>Finance</v>
    <v>4</v>
    <v>62.357999999999997</v>
    <v>19.48</v>
    <v>1.7202</v>
    <v>0.47</v>
    <v>1.321E-2</v>
    <v>USD</v>
    <v>Super Micro Computer, Inc. is an application-optimized Total IT solutions provider including server, artificial intelligence (AI) systems, storage, information of technology (IoT) devices, switches, software, and support services. Total IT Solutions include complete servers, storage systems, modular blade servers, workstations, full-rack scale solutions, networking devices, server sub-systems, server management and security software. Its products are designed and manufactured in-house (in the United States, Taiwan, and the Netherlands). Its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SAN JOSE, CA, 95131 US</v>
    <v>36.36</v>
    <v>Computers, Phones &amp; Household Electronics</v>
    <v>Stock</v>
    <v>46168.605610219529</v>
    <v>133</v>
    <v>35.434699999999999</v>
    <v>21681136925</v>
    <v>SUPER MICRO COMPUTER, INC.</v>
    <v>SUPER MICRO COMPUTER, INC.</v>
    <v>36</v>
    <v>19.642600000000002</v>
    <v>35.58</v>
    <v>36.049999999999997</v>
    <v>601418500</v>
    <v>SMCI</v>
    <v>SUPER MICRO COMPUTER, INC. (XNAS:SMCI)</v>
    <v>10512235</v>
    <v>37059778</v>
    <v>2006</v>
  </rv>
  <rv s="2">
    <v>134</v>
  </rv>
  <rv s="0">
    <v>https://www.bing.com/financeapi/forcetrigger?t=c2mtww&amp;q=XNAS%3aHOOD&amp;form=skydnc</v>
    <v>Learn more on Bing</v>
  </rv>
  <rv s="1">
    <v>en-GB</v>
    <v>c2mtww</v>
    <v>268435456</v>
    <v>1</v>
    <v>Powered by Refinitiv</v>
    <v>0</v>
    <v>ROBINHOOD MARKETS, INC. (XNAS:HOOD)</v>
    <v>2</v>
    <v>3</v>
    <v>Finance</v>
    <v>4</v>
    <v>153.85990000000001</v>
    <v>62.92</v>
    <v>2.2747999999999999</v>
    <v>0.62990000000000002</v>
    <v>8.5540000000000008E-3</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76.025000000000006</v>
    <v>Financial Technology (Fintech) &amp; Infrastructure</v>
    <v>Stock</v>
    <v>46168.605560878903</v>
    <v>136</v>
    <v>73.819999999999993</v>
    <v>66880423726</v>
    <v>ROBINHOOD MARKETS, INC.</v>
    <v>ROBINHOOD MARKETS, INC.</v>
    <v>74.42</v>
    <v>41.316099999999999</v>
    <v>73.64</v>
    <v>74.269900000000007</v>
    <v>900505100</v>
    <v>HOOD</v>
    <v>ROBINHOOD MARKETS, INC. (XNAS:HOOD)</v>
    <v>6240183</v>
    <v>26479684</v>
    <v>2013</v>
  </rv>
  <rv s="2">
    <v>137</v>
  </rv>
  <rv s="0">
    <v>https://www.bing.com/financeapi/forcetrigger?t=a1u3p2&amp;q=XNAS%3aGOOG&amp;form=skydnc</v>
    <v>Learn more on Bing</v>
  </rv>
  <rv s="1">
    <v>en-GB</v>
    <v>a1u3p2</v>
    <v>268435456</v>
    <v>1</v>
    <v>Powered by Refinitiv</v>
    <v>0</v>
    <v>ALPHABET INC. (XNAS:GOOG)</v>
    <v>2</v>
    <v>3</v>
    <v>Finance</v>
    <v>4</v>
    <v>404.47</v>
    <v>163.33000000000001</v>
    <v>1.2525999999999999</v>
    <v>3.9701</v>
    <v>1.0465E-2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384.41250000000002</v>
    <v>Software &amp; IT Services</v>
    <v>Stock</v>
    <v>46168.605575624999</v>
    <v>139</v>
    <v>379.14</v>
    <v>4644669811600</v>
    <v>ALPHABET INC.</v>
    <v>ALPHABET INC.</v>
    <v>380.63</v>
    <v>29.277000000000001</v>
    <v>379.38</v>
    <v>383.3501</v>
    <v>12116000000</v>
    <v>GOOG</v>
    <v>ALPHABET INC. (XNAS:GOOG)</v>
    <v>3957341</v>
    <v>18429688</v>
    <v>2015</v>
  </rv>
  <rv s="2">
    <v>140</v>
  </rv>
  <rv s="0">
    <v>https://www.bing.com/financeapi/forcetrigger?t=brh6oc&amp;q=XNYS%3aNET&amp;form=skydnc</v>
    <v>Learn more on Bing</v>
  </rv>
  <rv s="10">
    <v>en-GB</v>
    <v>brh6oc</v>
    <v>268435456</v>
    <v>1</v>
    <v>Powered by Refinitiv</v>
    <v>18</v>
    <v>CLOUDFLARE, INC. (XNYS:NET)</v>
    <v>2</v>
    <v>19</v>
    <v>Finance</v>
    <v>4</v>
    <v>260</v>
    <v>158.83000000000001</v>
    <v>1.6654</v>
    <v>2.37</v>
    <v>1.0964E-2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219.06379999999999</v>
    <v>Software &amp; IT Services</v>
    <v>Stock</v>
    <v>46168.60551517344</v>
    <v>142</v>
    <v>208.24</v>
    <v>77246503348</v>
    <v>CLOUDFLARE, INC.</v>
    <v>CLOUDFLARE, INC.</v>
    <v>216.96</v>
    <v>216.17</v>
    <v>218.54</v>
    <v>353466200</v>
    <v>NET</v>
    <v>CLOUDFLARE, INC. (XNYS:NET)</v>
    <v>941066</v>
    <v>4332008</v>
    <v>2009</v>
  </rv>
  <rv s="2">
    <v>143</v>
  </rv>
  <rv s="0">
    <v>https://www.bing.com/financeapi/forcetrigger?t=a226jc&amp;q=XNYS%3aROK&amp;form=skydnc</v>
    <v>Learn more on Bing</v>
  </rv>
  <rv s="1">
    <v>en-GB</v>
    <v>a226jc</v>
    <v>268435456</v>
    <v>1</v>
    <v>Powered by Refinitiv</v>
    <v>0</v>
    <v>ROCKWELL AUTOMATION, INC. (XNYS:ROK)</v>
    <v>2</v>
    <v>3</v>
    <v>Finance</v>
    <v>4</v>
    <v>463.48500000000001</v>
    <v>305.44009999999997</v>
    <v>1.5677000000000001</v>
    <v>3.165</v>
    <v>6.9979999999999999E-3</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458.53</v>
    <v>Machinery, Equipment &amp; Components</v>
    <v>Stock</v>
    <v>46168.605602094533</v>
    <v>145</v>
    <v>452.28500000000003</v>
    <v>50680254124</v>
    <v>ROCKWELL AUTOMATION, INC.</v>
    <v>ROCKWELL AUTOMATION, INC.</v>
    <v>454.55</v>
    <v>47.314100000000003</v>
    <v>452.29</v>
    <v>455.45499999999998</v>
    <v>111273900</v>
    <v>ROK</v>
    <v>ROCKWELL AUTOMATION, INC. (XNYS:ROK)</v>
    <v>126285</v>
    <v>788597</v>
    <v>1996</v>
  </rv>
  <rv s="2">
    <v>146</v>
  </rv>
  <rv s="0">
    <v>https://www.bing.com/financeapi/forcetrigger?t=a1mou2&amp;q=XNAS%3aAAPL&amp;form=skydnc</v>
    <v>Learn more on Bing</v>
  </rv>
  <rv s="1">
    <v>en-GB</v>
    <v>a1mou2</v>
    <v>268435456</v>
    <v>1</v>
    <v>Powered by Refinitiv</v>
    <v>0</v>
    <v>APPLE INC. (XNAS:AAPL)</v>
    <v>2</v>
    <v>3</v>
    <v>Finance</v>
    <v>4</v>
    <v>311.82</v>
    <v>195.07</v>
    <v>1.0824</v>
    <v>2.68</v>
    <v>8.6779999999999999E-3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311.82</v>
    <v>Computers, Phones &amp; Household Electronics</v>
    <v>Stock</v>
    <v>46168.605603043747</v>
    <v>148</v>
    <v>309.35000000000002</v>
    <v>4575112640000</v>
    <v>APPLE INC.</v>
    <v>APPLE INC.</v>
    <v>309.57</v>
    <v>37.831899999999997</v>
    <v>308.82</v>
    <v>311.5</v>
    <v>14687360000</v>
    <v>AAPL</v>
    <v>APPLE INC. (XNAS:AAPL)</v>
    <v>9422483</v>
    <v>46783820</v>
    <v>1977</v>
  </rv>
  <rv s="2">
    <v>149</v>
  </rv>
  <rv s="0">
    <v>https://www.bing.com/financeapi/forcetrigger?t=a23hqh&amp;q=ARCX%3aSPY&amp;form=skydnc</v>
    <v>Learn more on Bing</v>
  </rv>
  <rv s="4">
    <v>en-GB</v>
    <v>a23hqh</v>
    <v>268435456</v>
    <v>1</v>
    <v>Powered by Refinitiv</v>
    <v>7</v>
    <v>State Street SPDR S&amp;P500 (ARCX:SPY)</v>
    <v>8</v>
    <v>9</v>
    <v>Finance</v>
    <v>10</v>
    <v>751.8691</v>
    <v>578.42999999999995</v>
    <v>0.99870000000000003</v>
    <v>5.9427000000000003</v>
    <v>7.9699999999999997E-3</v>
    <v>USD</v>
    <v>NYSE Arca</v>
    <v>ARCX</v>
    <v>9.4499999999999998E-4</v>
    <v>751.8691</v>
    <v>ETF</v>
    <v>46168.605606284378</v>
    <v>151</v>
    <v>749.15</v>
    <v>735060829033.51001</v>
    <v>State Street SPDR S&amp;P500</v>
    <v>750.14</v>
    <v>745.64</v>
    <v>751.58270000000005</v>
    <v>SPY</v>
    <v>State Street SPDR S&amp;P500 (ARCX:SPY)</v>
    <v>7271177</v>
    <v>47879214</v>
  </rv>
  <rv s="2">
    <v>152</v>
  </rv>
  <rv s="0">
    <v>https://www.bing.com/financeapi/forcetrigger?t=a1yv52&amp;q=XNAS%3aNVDA&amp;form=skydnc</v>
    <v>Learn more on Bing</v>
  </rv>
  <rv s="1">
    <v>en-GB</v>
    <v>a1yv52</v>
    <v>268435456</v>
    <v>1</v>
    <v>Powered by Refinitiv</v>
    <v>0</v>
    <v>NVIDIA CORPORATION (XNAS:NVDA)</v>
    <v>2</v>
    <v>3</v>
    <v>Finance</v>
    <v>4</v>
    <v>236.54</v>
    <v>132.91999999999999</v>
    <v>2.2374999999999998</v>
    <v>2.7349999999999999</v>
    <v>1.2701E-2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218.18</v>
    <v>Semiconductors &amp; Semiconductor Equipment</v>
    <v>Stock</v>
    <v>46168.605568043749</v>
    <v>154</v>
    <v>214.28</v>
    <v>5277173000000</v>
    <v>NVIDIA CORPORATION</v>
    <v>NVIDIA CORPORATION</v>
    <v>216.51</v>
    <v>33.394300000000001</v>
    <v>215.33</v>
    <v>218.065</v>
    <v>24200000000</v>
    <v>NVDA</v>
    <v>NVIDIA CORPORATION (XNAS:NVDA)</v>
    <v>49996640</v>
    <v>156622118</v>
    <v>1998</v>
  </rv>
  <rv s="2">
    <v>155</v>
  </rv>
  <rv s="0">
    <v>https://www.bing.com/financeapi/forcetrigger?t=c1db2w&amp;q=XNAS%3aRXRX&amp;form=skydnc</v>
    <v>Learn more on Bing</v>
  </rv>
  <rv s="1">
    <v>en-GB</v>
    <v>c1db2w</v>
    <v>268435456</v>
    <v>1</v>
    <v>Powered by Refinitiv</v>
    <v>0</v>
    <v>RECURSION PHARMACEUTICALS, INC. (XNAS:RXRX)</v>
    <v>2</v>
    <v>3</v>
    <v>Finance</v>
    <v>4</v>
    <v>7.18</v>
    <v>2.77</v>
    <v>1.0073000000000001</v>
    <v>3.5000000000000003E-2</v>
    <v>1.1628000000000001E-2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3.14</v>
    <v>Biotechnology &amp; Medical Research</v>
    <v>Stock</v>
    <v>46168.605593830471</v>
    <v>157</v>
    <v>2.99</v>
    <v>1613561334</v>
    <v>RECURSION PHARMACEUTICALS, INC.</v>
    <v>RECURSION PHARMACEUTICALS, INC.</v>
    <v>3.03</v>
    <v>0</v>
    <v>3.01</v>
    <v>3.0449999999999999</v>
    <v>529905200</v>
    <v>RXRX</v>
    <v>RECURSION PHARMACEUTICALS, INC. (XNAS:RXRX)</v>
    <v>9755377</v>
    <v>13106952</v>
    <v>2013</v>
  </rv>
  <rv s="2">
    <v>158</v>
  </rv>
  <rv s="0">
    <v>https://www.bing.com/financeapi/forcetrigger?t=bq8rqh&amp;q=XNAS%3aCRWD&amp;form=skydnc</v>
    <v>Learn more on Bing</v>
  </rv>
  <rv s="1">
    <v>en-GB</v>
    <v>bq8rqh</v>
    <v>268435456</v>
    <v>1</v>
    <v>Powered by Refinitiv</v>
    <v>0</v>
    <v>CROWDSTRIKE HOLDINGS, INC. (XNAS:CRWD)</v>
    <v>2</v>
    <v>3</v>
    <v>Finance</v>
    <v>4</v>
    <v>674.84</v>
    <v>342.72</v>
    <v>1.1557999999999999</v>
    <v>2.93</v>
    <v>4.4159999999999998E-3</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669.69</v>
    <v>Software &amp; IT Services</v>
    <v>Stock</v>
    <v>46168.60555172422</v>
    <v>160</v>
    <v>648</v>
    <v>169620578235</v>
    <v>CROWDSTRIKE HOLDINGS, INC.</v>
    <v>CROWDSTRIKE HOLDINGS, INC.</v>
    <v>664.38</v>
    <v>0</v>
    <v>663.46</v>
    <v>666.39</v>
    <v>254536500</v>
    <v>CRWD</v>
    <v>CROWDSTRIKE HOLDINGS, INC. (XNAS:CRWD)</v>
    <v>653576</v>
    <v>3021963</v>
    <v>2011</v>
  </rv>
  <rv s="2">
    <v>161</v>
  </rv>
  <rv s="3">
    <v>en-GB</v>
    <v>cdocfr</v>
    <v>268435456</v>
    <v>1</v>
    <v>Powered by Refinitiv</v>
    <v>20</v>
    <v>ATRIUM MORTGAGE INVESTMENT CORPORATION (NEOE:AI)</v>
    <v>6</v>
    <v>21</v>
    <v>Finance</v>
    <v>22</v>
    <v>12.24</v>
    <v>10.99</v>
    <v>0.84709999999999996</v>
    <v>0.05</v>
    <v>4.2339999999999999E-3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11.94</v>
    <v>Banking Services</v>
    <v>Stock</v>
    <v>46167.83323616875</v>
    <v>11.86</v>
    <v>570901736</v>
    <v>ATRIUM MORTGAGE INVESTMENT CORPORATION</v>
    <v>ATRIUM MORTGAGE INVESTMENT CORPORATION</v>
    <v>11.94</v>
    <v>11.2706</v>
    <v>11.81</v>
    <v>11.86</v>
    <v>48136740</v>
    <v>AI</v>
    <v>ATRIUM MORTGAGE INVESTMENT CORPORATION (NEOE:AI)</v>
    <v>6200</v>
    <v>108590</v>
    <v>2001</v>
  </rv>
  <rv s="2">
    <v>163</v>
  </rv>
  <rv s="0">
    <v>https://www.bing.com/financeapi/forcetrigger?t=c4efww&amp;q=XNYS%3aBBAI&amp;form=skydnc</v>
    <v>Learn more on Bing</v>
  </rv>
  <rv s="1">
    <v>en-GB</v>
    <v>c4efww</v>
    <v>268435456</v>
    <v>1</v>
    <v>Powered by Refinitiv</v>
    <v>0</v>
    <v>BIGBEAR.AI HOLDINGS, INC. (XNYS:BBAI)</v>
    <v>2</v>
    <v>3</v>
    <v>Finance</v>
    <v>4</v>
    <v>9.39</v>
    <v>3.01</v>
    <v>3.0284</v>
    <v>0.01</v>
    <v>2.392E-3</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4.29</v>
    <v>Software &amp; IT Services</v>
    <v>Stock</v>
    <v>46168.605603263284</v>
    <v>165</v>
    <v>4.1500000000000004</v>
    <v>2006798405</v>
    <v>BIGBEAR.AI HOLDINGS, INC.</v>
    <v>BIGBEAR.AI HOLDINGS, INC.</v>
    <v>4.25</v>
    <v>0</v>
    <v>4.18</v>
    <v>4.1900000000000004</v>
    <v>478949500</v>
    <v>BBAI</v>
    <v>BIGBEAR.AI HOLDINGS, INC. (XNYS:BBAI)</v>
    <v>13220114</v>
    <v>40816876</v>
    <v>2020</v>
  </rv>
  <rv s="2">
    <v>166</v>
  </rv>
  <rv s="0">
    <v>https://www.bing.com/financeapi/forcetrigger?t=a1yoa2&amp;q=XNYS%3aNOW&amp;form=skydnc</v>
    <v>Learn more on Bing</v>
  </rv>
  <rv s="1">
    <v>en-GB</v>
    <v>a1yoa2</v>
    <v>268435456</v>
    <v>1</v>
    <v>Powered by Refinitiv</v>
    <v>0</v>
    <v>SERVICENOW, INC. (XNYS:NOW)</v>
    <v>2</v>
    <v>3</v>
    <v>Finance</v>
    <v>4</v>
    <v>211.47800000000001</v>
    <v>81.239999999999995</v>
    <v>0.84519999999999995</v>
    <v>-1.01</v>
    <v>-9.8890000000000002E-3</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102.54</v>
    <v>Software &amp; IT Services</v>
    <v>Stock</v>
    <v>46168.605610532031</v>
    <v>168</v>
    <v>98.72</v>
    <v>104285864960</v>
    <v>SERVICENOW, INC.</v>
    <v>SERVICENOW, INC.</v>
    <v>100.6</v>
    <v>60.1404</v>
    <v>102.13</v>
    <v>101.12</v>
    <v>1031308000</v>
    <v>NOW</v>
    <v>SERVICENOW, INC. (XNYS:NOW)</v>
    <v>8290675</v>
    <v>30167244</v>
    <v>2012</v>
  </rv>
  <rv s="2">
    <v>169</v>
  </rv>
  <rv s="0">
    <v>https://en.wikipedia.org/wiki/Microsoft</v>
    <v>Wikipedia</v>
  </rv>
  <rv s="7">
    <v>126</v>
    <v>171</v>
  </rv>
  <rv s="8">
    <v>17</v>
    <v>https://www.bing.com/th?id=AMMS_e6e837c7bf3a77408619758b7447855a&amp;qlt=95</v>
    <v>172</v>
    <v>0</v>
    <v>https://www.bing.com/images/search?form=xlimg&amp;q=microsoft</v>
    <v>Image of MICROSOFT CORPORATION</v>
  </rv>
  <rv s="0">
    <v>https://www.bing.com/financeapi/forcetrigger?t=a1xzim&amp;q=XNAS%3aMSFT&amp;form=skydnc</v>
    <v>Learn more on Bing</v>
  </rv>
  <rv s="9">
    <v>en-GB</v>
    <v>a1xzim</v>
    <v>268435456</v>
    <v>1</v>
    <v>Powered by Refinitiv</v>
    <v>13</v>
    <v>MICROSOFT CORPORATION (XNAS:MSFT)</v>
    <v>15</v>
    <v>16</v>
    <v>Finance</v>
    <v>4</v>
    <v>555.45000000000005</v>
    <v>356.28</v>
    <v>1.0896999999999999</v>
    <v>-0.62990000000000002</v>
    <v>-1.505E-3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419.77</v>
    <v>173</v>
    <v>Software &amp; IT Services</v>
    <v>Stock</v>
    <v>46168.605549883592</v>
    <v>174</v>
    <v>413.17</v>
    <v>3104640866743</v>
    <v>MICROSOFT CORPORATION</v>
    <v>MICROSOFT CORPORATION</v>
    <v>416.5</v>
    <v>24.892800000000001</v>
    <v>418.57</v>
    <v>417.94009999999997</v>
    <v>7428435000</v>
    <v>MSFT</v>
    <v>MICROSOFT CORPORATION (XNAS:MSFT)</v>
    <v>9383019</v>
    <v>33521115</v>
    <v>1993</v>
  </rv>
  <rv s="2">
    <v>175</v>
  </rv>
  <rv s="0">
    <v>https://www.bing.com/financeapi/forcetrigger?t=a24kar&amp;q=XNAS%3aTSLA&amp;form=skydnc</v>
    <v>Learn more on Bing</v>
  </rv>
  <rv s="1">
    <v>en-GB</v>
    <v>a24kar</v>
    <v>268435456</v>
    <v>1</v>
    <v>Powered by Refinitiv</v>
    <v>0</v>
    <v>TESLA, INC. (XNAS:TSLA)</v>
    <v>2</v>
    <v>3</v>
    <v>Finance</v>
    <v>4</v>
    <v>498.83</v>
    <v>273.20999999999998</v>
    <v>1.7970999999999999</v>
    <v>0.41</v>
    <v>9.6240000000000008E-4</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433.67</v>
    <v>Automobiles &amp; Auto Parts</v>
    <v>Stock</v>
    <v>46168.605548240623</v>
    <v>177</v>
    <v>426.12</v>
    <v>1601515828080</v>
    <v>TESLA, INC.</v>
    <v>TESLA, INC.</v>
    <v>430</v>
    <v>389.745</v>
    <v>426.01</v>
    <v>426.42</v>
    <v>3755724000</v>
    <v>TSLA</v>
    <v>TESLA, INC. (XNAS:TSLA)</v>
    <v>11914353</v>
    <v>57284541</v>
    <v>2024</v>
  </rv>
  <rv s="2">
    <v>178</v>
  </rv>
  <rv s="0">
    <v>https://www.bing.com/financeapi/forcetrigger?t=aodipr&amp;q=XLON%3aSGE&amp;form=skydnc</v>
    <v>Learn more on Bing</v>
  </rv>
  <rv s="1">
    <v>en-GB</v>
    <v>aodipr</v>
    <v>268435456</v>
    <v>1</v>
    <v>Powered by Refinitiv</v>
    <v>0</v>
    <v>THE SAGE GROUP PLC. (XLON:SGE)</v>
    <v>2</v>
    <v>23</v>
    <v>Finance</v>
    <v>24</v>
    <v>1335</v>
    <v>771.66</v>
    <v>0.35249999999999998</v>
    <v>1.8</v>
    <v>2.0479999999999999E-3</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884.6</v>
    <v>Software &amp; IT Services</v>
    <v>Stock</v>
    <v>46168.59489649297</v>
    <v>180</v>
    <v>870.8</v>
    <v>10571700000</v>
    <v>THE SAGE GROUP PLC.</v>
    <v>THE SAGE GROUP PLC.</v>
    <v>880.8</v>
    <v>25.2393</v>
    <v>878.8</v>
    <v>880.6</v>
    <v>909118800</v>
    <v>SGE</v>
    <v>THE SAGE GROUP PLC. (XLON:SGE)</v>
    <v>1471744</v>
    <v>5328690</v>
    <v>1988</v>
  </rv>
  <rv s="2">
    <v>181</v>
  </rv>
  <rv s="0">
    <v>https://www.bing.com/financeapi/forcetrigger?t=brjvjc&amp;q=XNAS%3aDDOG&amp;form=skydnc</v>
    <v>Learn more on Bing</v>
  </rv>
  <rv s="1">
    <v>en-GB</v>
    <v>brjvjc</v>
    <v>268435456</v>
    <v>1</v>
    <v>Powered by Refinitiv</v>
    <v>0</v>
    <v>DATADOG, INC. (XNAS:DDOG)</v>
    <v>2</v>
    <v>3</v>
    <v>Finance</v>
    <v>4</v>
    <v>224.76929999999999</v>
    <v>98.010099999999994</v>
    <v>1.4319999999999999</v>
    <v>-1.3</v>
    <v>-5.8469999999999998E-3</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223.93</v>
    <v>Software &amp; IT Services</v>
    <v>Stock</v>
    <v>46168.605621885938</v>
    <v>183</v>
    <v>218.33</v>
    <v>78674323404</v>
    <v>DATADOG, INC.</v>
    <v>DATADOG, INC.</v>
    <v>222.39</v>
    <v>559.96960000000001</v>
    <v>222.32</v>
    <v>221.02</v>
    <v>355960200</v>
    <v>DDOG</v>
    <v>DATADOG, INC. (XNAS:DDOG)</v>
    <v>915483</v>
    <v>6380940</v>
    <v>2010</v>
  </rv>
  <rv s="2">
    <v>184</v>
  </rv>
  <rv s="0">
    <v>https://www.bing.com/financeapi/forcetrigger?t=a1slm7&amp;q=XNAS%3aMETA&amp;form=skydnc</v>
    <v>Learn more on Bing</v>
  </rv>
  <rv s="1">
    <v>en-GB</v>
    <v>a1slm7</v>
    <v>268435456</v>
    <v>1</v>
    <v>Powered by Refinitiv</v>
    <v>0</v>
    <v>META PLATFORMS, INC. (XNAS:META)</v>
    <v>2</v>
    <v>3</v>
    <v>Finance</v>
    <v>4</v>
    <v>796.25</v>
    <v>520.26</v>
    <v>1.2312000000000001</v>
    <v>-2.1</v>
    <v>-3.441E-3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614.47</v>
    <v>Software &amp; IT Services</v>
    <v>Stock</v>
    <v>46168.60560993047</v>
    <v>186</v>
    <v>605.58500000000004</v>
    <v>1543767331680</v>
    <v>META PLATFORMS, INC.</v>
    <v>META PLATFORMS, INC.</v>
    <v>608.98</v>
    <v>18.446400000000001</v>
    <v>610.26</v>
    <v>608.16</v>
    <v>2538423000</v>
    <v>META</v>
    <v>META PLATFORMS, INC. (XNAS:META)</v>
    <v>3551414</v>
    <v>15159019</v>
    <v>2004</v>
  </rv>
  <rv s="2">
    <v>187</v>
  </rv>
  <rv s="0">
    <v>https://www.bing.com/financeapi/forcetrigger?t=a1nhlh&amp;q=XNAS%3aAMZN&amp;form=skydnc</v>
    <v>Learn more on Bing</v>
  </rv>
  <rv s="1">
    <v>en-GB</v>
    <v>a1nhlh</v>
    <v>268435456</v>
    <v>1</v>
    <v>Powered by Refinitiv</v>
    <v>0</v>
    <v>AMAZON.COM, INC. (XNAS:AMZN)</v>
    <v>2</v>
    <v>3</v>
    <v>Finance</v>
    <v>4</v>
    <v>278.56</v>
    <v>196</v>
    <v>1.4549000000000001</v>
    <v>-1.44</v>
    <v>-5.4069999999999995E-3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269.3</v>
    <v>Diversified Retail</v>
    <v>Stock</v>
    <v>46168.605584270314</v>
    <v>189</v>
    <v>264.68</v>
    <v>2849343296800</v>
    <v>AMAZON.COM, INC.</v>
    <v>AMAZON.COM, INC.</v>
    <v>267.58999999999997</v>
    <v>31.655100000000001</v>
    <v>266.32</v>
    <v>264.88</v>
    <v>10757110000</v>
    <v>AMZN</v>
    <v>AMAZON.COM, INC. (XNAS:AMZN)</v>
    <v>8866444</v>
    <v>43543716</v>
    <v>1996</v>
  </rv>
  <rv s="2">
    <v>190</v>
  </rv>
  <rv s="0">
    <v>https://www.bing.com/financeapi/forcetrigger?t=a1ntlh&amp;q=XNAS%3aASML&amp;form=skydnc</v>
    <v>Learn more on Bing</v>
  </rv>
  <rv s="1">
    <v>en-GB</v>
    <v>a1ntlh</v>
    <v>268435456</v>
    <v>1</v>
    <v>Powered by Refinitiv</v>
    <v>0</v>
    <v>ASML Holding NV (XNAS:ASML)</v>
    <v>2</v>
    <v>3</v>
    <v>Finance</v>
    <v>4</v>
    <v>1653.53</v>
    <v>683.48</v>
    <v>1.8283</v>
    <v>4.17</v>
    <v>2.5540000000000003E-3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1648.01</v>
    <v>Semiconductors &amp; Semiconductor Equipment</v>
    <v>Stock</v>
    <v>46168.605590647654</v>
    <v>192</v>
    <v>1617.86</v>
    <v>635424955239</v>
    <v>ASML Holding NV</v>
    <v>ASML Holding NV</v>
    <v>1642.92</v>
    <v>56.282200000000003</v>
    <v>1632.9</v>
    <v>1637.07</v>
    <v>388147700</v>
    <v>ASML</v>
    <v>ASML Holding NV (XNAS:ASML)</v>
    <v>536781</v>
    <v>1666315</v>
    <v>1994</v>
  </rv>
  <rv s="2">
    <v>193</v>
  </rv>
  <rv s="0">
    <v>https://www.bing.com/financeapi/forcetrigger?t=a22n4c&amp;q=XNYS%3aSCHW&amp;form=skydnc</v>
    <v>Learn more on Bing</v>
  </rv>
  <rv s="1">
    <v>en-GB</v>
    <v>a22n4c</v>
    <v>268435456</v>
    <v>1</v>
    <v>Powered by Refinitiv</v>
    <v>0</v>
    <v>THE CHARLES SCHWAB CORPORATION (XNYS:SCHW)</v>
    <v>2</v>
    <v>3</v>
    <v>Finance</v>
    <v>4</v>
    <v>107.5</v>
    <v>85.760099999999994</v>
    <v>0.78939999999999999</v>
    <v>-0.36499999999999999</v>
    <v>-4.0489999999999996E-3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90.42</v>
    <v>Investment Banking &amp; Investment Services</v>
    <v>Stock</v>
    <v>46168.605626457815</v>
    <v>195</v>
    <v>89.49</v>
    <v>156148235975</v>
    <v>THE CHARLES SCHWAB CORPORATION</v>
    <v>THE CHARLES SCHWAB CORPORATION</v>
    <v>89.75</v>
    <v>17.804600000000001</v>
    <v>90.15</v>
    <v>89.784999999999997</v>
    <v>1739135000</v>
    <v>SCHW</v>
    <v>THE CHARLES SCHWAB CORPORATION (XNYS:SCHW)</v>
    <v>1041144</v>
    <v>10307089</v>
    <v>1986</v>
  </rv>
  <rv s="2">
    <v>196</v>
  </rv>
  <rv s="0">
    <v>https://www.bing.com/financeapi/forcetrigger?t=a24nyc&amp;q=XNYS%3aTWLO&amp;form=skydnc</v>
    <v>Learn more on Bing</v>
  </rv>
  <rv s="1">
    <v>en-GB</v>
    <v>a24nyc</v>
    <v>268435456</v>
    <v>1</v>
    <v>Powered by Refinitiv</v>
    <v>0</v>
    <v>TWILIO INC. (XNYS:TWLO)</v>
    <v>2</v>
    <v>3</v>
    <v>Finance</v>
    <v>4</v>
    <v>203.71</v>
    <v>91.84</v>
    <v>1.3674999999999999</v>
    <v>-1.07</v>
    <v>-5.6950000000000004E-3</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188.34</v>
    <v>Software &amp; IT Services</v>
    <v>Stock</v>
    <v>46168.605593356253</v>
    <v>198</v>
    <v>180.36</v>
    <v>28352882259</v>
    <v>TWILIO INC.</v>
    <v>TWILIO INC.</v>
    <v>188.34</v>
    <v>290.39330000000001</v>
    <v>187.88</v>
    <v>186.81</v>
    <v>151773900</v>
    <v>TWLO</v>
    <v>TWILIO INC. (XNYS:TWLO)</v>
    <v>463657</v>
    <v>2986723</v>
    <v>2008</v>
  </rv>
  <rv s="2">
    <v>199</v>
  </rv>
  <rv s="0">
    <v>https://www.bing.com/financeapi/forcetrigger?t=a21m4c&amp;q=XNAS%3aQLYS&amp;form=skydnc</v>
    <v>Learn more on Bing</v>
  </rv>
  <rv s="1">
    <v>en-GB</v>
    <v>a21m4c</v>
    <v>268435456</v>
    <v>1</v>
    <v>Powered by Refinitiv</v>
    <v>0</v>
    <v>QUALYS, INC. (XNAS:QLYS)</v>
    <v>2</v>
    <v>3</v>
    <v>Finance</v>
    <v>4</v>
    <v>155.47</v>
    <v>74.510000000000005</v>
    <v>0.61119999999999997</v>
    <v>-0.59</v>
    <v>-5.7630000000000008E-3</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102.5</v>
    <v>Software &amp; IT Services</v>
    <v>Stock</v>
    <v>46168.605605937497</v>
    <v>201</v>
    <v>99.694999999999993</v>
    <v>3584387277</v>
    <v>QUALYS, INC.</v>
    <v>QUALYS, INC.</v>
    <v>101.4</v>
    <v>18.276499999999999</v>
    <v>102.37</v>
    <v>101.78</v>
    <v>35217010</v>
    <v>QLYS</v>
    <v>QUALYS, INC. (XNAS:QLYS)</v>
    <v>41616</v>
    <v>829984</v>
    <v>1999</v>
  </rv>
  <rv s="2">
    <v>202</v>
  </rv>
  <rv s="0">
    <v>http://es.wikipedia.org/wiki/Adobe_(empresa)</v>
    <v>Wikipedia</v>
  </rv>
  <rv s="7">
    <v>126</v>
    <v>204</v>
  </rv>
  <rv s="8">
    <v>17</v>
    <v>https://www.bing.com/th?id=AMMS_503c684ccc667ad525fe1d703881df2c&amp;qlt=95</v>
    <v>205</v>
    <v>0</v>
    <v>https://www.bing.com/images/search?form=xlimg&amp;q=adobe+systems</v>
    <v>Image of ADOBE INC.</v>
  </rv>
  <rv s="0">
    <v>https://www.bing.com/financeapi/forcetrigger?t=a1mv7w&amp;q=XNAS%3aADBE&amp;form=skydnc</v>
    <v>Learn more on Bing</v>
  </rv>
  <rv s="9">
    <v>en-GB</v>
    <v>a1mv7w</v>
    <v>268435456</v>
    <v>1</v>
    <v>Powered by Refinitiv</v>
    <v>13</v>
    <v>ADOBE INC. (XNAS:ADBE)</v>
    <v>15</v>
    <v>16</v>
    <v>Finance</v>
    <v>4</v>
    <v>421.48</v>
    <v>224.13</v>
    <v>1.4095</v>
    <v>-2.7749999999999999</v>
    <v>-1.1337999999999999E-2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243.57</v>
    <v>206</v>
    <v>Software &amp; IT Services</v>
    <v>Stock</v>
    <v>46168.605597152346</v>
    <v>207</v>
    <v>238.57</v>
    <v>97810337000</v>
    <v>ADOBE INC.</v>
    <v>ADOBE INC.</v>
    <v>242</v>
    <v>14.103899999999999</v>
    <v>244.76</v>
    <v>241.98500000000001</v>
    <v>404200000</v>
    <v>ADBE</v>
    <v>ADOBE INC. (XNAS:ADBE)</v>
    <v>900682</v>
    <v>4992158</v>
    <v>1997</v>
  </rv>
  <rv s="2">
    <v>208</v>
  </rv>
  <rv s="0">
    <v>https://www.bing.com/financeapi/forcetrigger?t=br39hw&amp;q=XNYS%3aDT&amp;form=skydnc</v>
    <v>Learn more on Bing</v>
  </rv>
  <rv s="1">
    <v>en-GB</v>
    <v>br39hw</v>
    <v>268435456</v>
    <v>1</v>
    <v>Powered by Refinitiv</v>
    <v>0</v>
    <v>DYNATRACE, INC. (XNYS:DT)</v>
    <v>2</v>
    <v>3</v>
    <v>Finance</v>
    <v>4</v>
    <v>57.55</v>
    <v>31.635000000000002</v>
    <v>0.72819999999999996</v>
    <v>-0.51</v>
    <v>-1.2376E-2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40.984999999999999</v>
    <v>Software &amp; IT Services</v>
    <v>Stock</v>
    <v>46168.605605578123</v>
    <v>210</v>
    <v>39.984999999999999</v>
    <v>11863060990</v>
    <v>DYNATRACE, INC.</v>
    <v>DYNATRACE, INC.</v>
    <v>40.880000000000003</v>
    <v>75.961200000000005</v>
    <v>41.21</v>
    <v>40.700000000000003</v>
    <v>291475700</v>
    <v>DT</v>
    <v>DYNATRACE, INC. (XNYS:DT)</v>
    <v>539643</v>
    <v>7111700</v>
    <v>2014</v>
  </rv>
  <rv s="2">
    <v>211</v>
  </rv>
  <rv s="0">
    <v>https://www.bing.com/financeapi/forcetrigger?t=a1tg3m&amp;q=XNAS%3aFTNT&amp;form=skydnc</v>
    <v>Learn more on Bing</v>
  </rv>
  <rv s="1">
    <v>en-GB</v>
    <v>a1tg3m</v>
    <v>268435456</v>
    <v>1</v>
    <v>Powered by Refinitiv</v>
    <v>0</v>
    <v>FORTINET, INC. (XNAS:FTNT)</v>
    <v>2</v>
    <v>3</v>
    <v>Finance</v>
    <v>4</v>
    <v>134.19</v>
    <v>70.12</v>
    <v>1.038</v>
    <v>-1.4300999999999999</v>
    <v>-1.0678E-2</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133.59020000000001</v>
    <v>Software &amp; IT Services</v>
    <v>Stock</v>
    <v>46168.605609640625</v>
    <v>213</v>
    <v>130.6</v>
    <v>97075839735</v>
    <v>FORTINET, INC.</v>
    <v>FORTINET, INC.</v>
    <v>133.37</v>
    <v>51.189900000000002</v>
    <v>133.93</v>
    <v>132.4999</v>
    <v>732648400</v>
    <v>FTNT</v>
    <v>FORTINET, INC. (XNAS:FTNT)</v>
    <v>807410</v>
    <v>5987731</v>
    <v>2000</v>
  </rv>
  <rv s="2">
    <v>214</v>
  </rv>
  <rv s="0">
    <v>https://www.bing.com/financeapi/forcetrigger?t=c1db5r&amp;q=XNAS%3aSKYT&amp;form=skydnc</v>
    <v>Learn more on Bing</v>
  </rv>
  <rv s="1">
    <v>en-GB</v>
    <v>c1db5r</v>
    <v>268435456</v>
    <v>1</v>
    <v>Powered by Refinitiv</v>
    <v>0</v>
    <v>SKYWATER TECHNOLOGY, INC. (XNAS:SKYT)</v>
    <v>2</v>
    <v>3</v>
    <v>Finance</v>
    <v>4</v>
    <v>38.39</v>
    <v>8.18</v>
    <v>3.3182</v>
    <v>-0.5</v>
    <v>-1.3436999999999999E-2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37.5</v>
    <v>Semiconductors &amp; Semiconductor Equipment</v>
    <v>Stock</v>
    <v>46168.605593957815</v>
    <v>216</v>
    <v>36.450000000000003</v>
    <v>1806300866</v>
    <v>SKYWATER TECHNOLOGY, INC.</v>
    <v>SKYWATER TECHNOLOGY, INC.</v>
    <v>37.270000000000003</v>
    <v>15.735799999999999</v>
    <v>37.21</v>
    <v>36.71</v>
    <v>49204600</v>
    <v>SKYT</v>
    <v>SKYWATER TECHNOLOGY, INC. (XNAS:SKYT)</v>
    <v>194305</v>
    <v>1272966</v>
    <v>2016</v>
  </rv>
  <rv s="2">
    <v>217</v>
  </rv>
  <rv s="0">
    <v>https://www.bing.com/financeapi/forcetrigger?t=a1wljc&amp;q=XNYS%3aKO&amp;form=skydnc</v>
    <v>Learn more on Bing</v>
  </rv>
  <rv s="1">
    <v>en-GB</v>
    <v>a1wljc</v>
    <v>268435456</v>
    <v>1</v>
    <v>Powered by Refinitiv</v>
    <v>0</v>
    <v>THE COCA-COLA COMPANY (XNYS:KO)</v>
    <v>2</v>
    <v>3</v>
    <v>Finance</v>
    <v>4</v>
    <v>82.663499999999999</v>
    <v>65.353800000000007</v>
    <v>0.36109999999999998</v>
    <v>-0.98499999999999999</v>
    <v>-1.2089000000000001E-2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81.599999999999994</v>
    <v>Beverages</v>
    <v>Stock</v>
    <v>46168.60563905078</v>
    <v>219</v>
    <v>80.305000000000007</v>
    <v>346328288590</v>
    <v>THE COCA-COLA COMPANY</v>
    <v>THE COCA-COLA COMPANY</v>
    <v>80.97</v>
    <v>25.340800000000002</v>
    <v>81.48</v>
    <v>80.495000000000005</v>
    <v>4302482000</v>
    <v>KO</v>
    <v>THE COCA-COLA COMPANY (XNYS:KO)</v>
    <v>2980022</v>
    <v>14263576</v>
    <v>1919</v>
  </rv>
  <rv s="2">
    <v>220</v>
  </rv>
  <rv s="0">
    <v>https://www.bing.com/financeapi/forcetrigger?t=bzwqf2&amp;q=XNAS%3aSYM&amp;form=skydnc</v>
    <v>Learn more on Bing</v>
  </rv>
  <rv s="1">
    <v>en-GB</v>
    <v>bzwqf2</v>
    <v>268435456</v>
    <v>1</v>
    <v>Powered by Refinitiv</v>
    <v>0</v>
    <v>SYMBOTIC INC. (XNAS:SYM)</v>
    <v>2</v>
    <v>3</v>
    <v>Finance</v>
    <v>4</v>
    <v>87.88</v>
    <v>27.26</v>
    <v>1.9946999999999999</v>
    <v>-0.69</v>
    <v>-1.2770999999999999E-2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56.36</v>
    <v>Machinery, Equipment &amp; Components</v>
    <v>Stock</v>
    <v>46168.605617164059</v>
    <v>222</v>
    <v>52.8</v>
    <v>32148380712</v>
    <v>SYMBOTIC INC.</v>
    <v>SYMBOTIC INC.</v>
    <v>55.52</v>
    <v>0</v>
    <v>54.03</v>
    <v>53.34</v>
    <v>602706800</v>
    <v>SYM</v>
    <v>SYMBOTIC INC. (XNAS:SYM)</v>
    <v>952793</v>
    <v>1811267</v>
    <v>2022</v>
  </rv>
  <rv s="2">
    <v>223</v>
  </rv>
  <rv s="0">
    <v>https://www.bing.com/financeapi/forcetrigger?t=a25rkr&amp;q=XNAS%3aWDAY&amp;form=skydnc</v>
    <v>Learn more on Bing</v>
  </rv>
  <rv s="1">
    <v>en-GB</v>
    <v>a25rkr</v>
    <v>268435456</v>
    <v>1</v>
    <v>Powered by Refinitiv</v>
    <v>0</v>
    <v>WORKDAY, INC. (XNAS:WDAY)</v>
    <v>2</v>
    <v>3</v>
    <v>Finance</v>
    <v>4</v>
    <v>257.08999999999997</v>
    <v>110.36</v>
    <v>1.0374000000000001</v>
    <v>-2.94</v>
    <v>-2.2943999999999999E-2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127.06</v>
    <v>Software &amp; IT Services</v>
    <v>Stock</v>
    <v>46168.605627036719</v>
    <v>225</v>
    <v>122.18</v>
    <v>30924400000</v>
    <v>WORKDAY, INC.</v>
    <v>WORKDAY, INC.</v>
    <v>126.07</v>
    <v>39.082299999999996</v>
    <v>128.13999999999999</v>
    <v>125.2</v>
    <v>247000000</v>
    <v>WDAY</v>
    <v>WORKDAY, INC. (XNAS:WDAY)</v>
    <v>1157261</v>
    <v>5179599</v>
    <v>2012</v>
  </rv>
  <rv s="2">
    <v>226</v>
  </rv>
  <rv s="0">
    <v>https://www.bing.com/financeapi/forcetrigger?t=c2kadm&amp;q=XNYS%3aS&amp;form=skydnc</v>
    <v>Learn more on Bing</v>
  </rv>
  <rv s="10">
    <v>en-GB</v>
    <v>c2kadm</v>
    <v>268435456</v>
    <v>1</v>
    <v>Powered by Refinitiv</v>
    <v>18</v>
    <v>SENTINELONE, INC. (XNYS:S)</v>
    <v>2</v>
    <v>19</v>
    <v>Finance</v>
    <v>4</v>
    <v>21.4</v>
    <v>11.81</v>
    <v>0.85129999999999995</v>
    <v>-0.34</v>
    <v>-1.8172000000000001E-2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2900</v>
    <v>New York Stock Exchange</v>
    <v>XNYS</v>
    <v>XNYS</v>
    <v>444 Castro Street, Suite 400, MOUNTAIN VIEW, CA, 94041 US</v>
    <v>18.669799999999999</v>
    <v>Software &amp; IT Services</v>
    <v>Stock</v>
    <v>46168.605586226564</v>
    <v>228</v>
    <v>18.21</v>
    <v>6273026177</v>
    <v>SENTINELONE, INC.</v>
    <v>SENTINELONE, INC.</v>
    <v>18.649999999999999</v>
    <v>18.71</v>
    <v>18.37</v>
    <v>341482100</v>
    <v>S</v>
    <v>SENTINELONE, INC. (XNYS:S)</v>
    <v>2210641</v>
    <v>6933336</v>
    <v>2013</v>
  </rv>
  <rv s="2">
    <v>229</v>
  </rv>
  <rv s="0">
    <v>https://www.bing.com/financeapi/forcetrigger?t=a1qe5r&amp;q=XNAS%3aCSCO&amp;form=skydnc</v>
    <v>Learn more on Bing</v>
  </rv>
  <rv s="1">
    <v>en-GB</v>
    <v>a1qe5r</v>
    <v>268435456</v>
    <v>1</v>
    <v>Powered by Refinitiv</v>
    <v>0</v>
    <v>CISCO SYSTEMS, INC. (XNAS:CSCO)</v>
    <v>2</v>
    <v>3</v>
    <v>Finance</v>
    <v>4</v>
    <v>120.79</v>
    <v>62.3</v>
    <v>0.97330000000000005</v>
    <v>-2.73</v>
    <v>-2.2673000000000002E-2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120.77</v>
    <v>Communications &amp; Networking</v>
    <v>Stock</v>
    <v>46168.60562790469</v>
    <v>231</v>
    <v>117.095</v>
    <v>463828070800</v>
    <v>CISCO SYSTEMS, INC.</v>
    <v>CISCO SYSTEMS, INC.</v>
    <v>120.48</v>
    <v>39.2136</v>
    <v>120.41</v>
    <v>117.68</v>
    <v>3941435000</v>
    <v>CSCO</v>
    <v>CISCO SYSTEMS, INC. (XNAS:CSCO)</v>
    <v>6543783</v>
    <v>24599703</v>
    <v>2021</v>
  </rv>
  <rv s="2">
    <v>232</v>
  </rv>
  <rv s="0">
    <v>https://www.bing.com/financeapi/forcetrigger?t=a1zgm7&amp;q=XNAS%3aPANW&amp;form=skydnc</v>
    <v>Learn more on Bing</v>
  </rv>
  <rv s="1">
    <v>en-GB</v>
    <v>a1zgm7</v>
    <v>268435456</v>
    <v>1</v>
    <v>Powered by Refinitiv</v>
    <v>0</v>
    <v>PALO ALTO NETWORKS, INC. (XNAS:PANW)</v>
    <v>2</v>
    <v>3</v>
    <v>Finance</v>
    <v>4</v>
    <v>261.41199999999998</v>
    <v>139.57060000000001</v>
    <v>0.85740000000000005</v>
    <v>-6.94</v>
    <v>-2.6633E-2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259.83999999999997</v>
    <v>Software &amp; IT Services</v>
    <v>Stock</v>
    <v>46168.605639247653</v>
    <v>234</v>
    <v>250.77</v>
    <v>205702040000</v>
    <v>PALO ALTO NETWORKS, INC.</v>
    <v>PALO ALTO NETWORKS, INC.</v>
    <v>257.89999999999998</v>
    <v>140.44300000000001</v>
    <v>260.58</v>
    <v>253.64</v>
    <v>811000000</v>
    <v>PANW</v>
    <v>PALO ALTO NETWORKS, INC. (XNAS:PANW)</v>
    <v>1873687</v>
    <v>7476247</v>
    <v>2005</v>
  </rv>
  <rv s="2">
    <v>235</v>
  </rv>
  <rv s="0">
    <v>http://en.wikipedia.org/wiki/IBM</v>
    <v>Wikipedia</v>
  </rv>
  <rv s="7">
    <v>126</v>
    <v>237</v>
  </rv>
  <rv s="8">
    <v>17</v>
    <v>https://www.bing.com/th?id=AMMS_41da901be1b295dc42c72dadb9c0f67d&amp;qlt=95</v>
    <v>238</v>
    <v>0</v>
    <v>https://www.bing.com/images/search?form=xlimg&amp;q=ibm</v>
    <v>Image of INTERNATIONAL BUSINESS MACHINES CORPORATION</v>
  </rv>
  <rv s="0">
    <v>https://www.bing.com/financeapi/forcetrigger?t=a1v6nm&amp;q=XNYS%3aIBM&amp;form=skydnc</v>
    <v>Learn more on Bing</v>
  </rv>
  <rv s="9">
    <v>en-GB</v>
    <v>a1v6nm</v>
    <v>268435456</v>
    <v>1</v>
    <v>Powered by Refinitiv</v>
    <v>13</v>
    <v>INTERNATIONAL BUSINESS MACHINES CORPORATION (XNYS:IBM)</v>
    <v>15</v>
    <v>16</v>
    <v>Finance</v>
    <v>4</v>
    <v>324.89999999999998</v>
    <v>212.34</v>
    <v>0.58960000000000001</v>
    <v>-7.3</v>
    <v>-2.8757999999999999E-2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254.73</v>
    <v>239</v>
    <v>Software &amp; IT Services</v>
    <v>Stock</v>
    <v>46168.605640068752</v>
    <v>240</v>
    <v>245.45</v>
    <v>231719321862</v>
    <v>INTERNATIONAL BUSINESS MACHINES CORPORATION</v>
    <v>INTERNATIONAL BUSINESS MACHINES CORPORATION</v>
    <v>254.73</v>
    <v>19.729500000000002</v>
    <v>253.84</v>
    <v>246.54</v>
    <v>939885300</v>
    <v>IBM</v>
    <v>INTERNATIONAL BUSINESS MACHINES CORPORATION (XNYS:IBM)</v>
    <v>3399060</v>
    <v>8239166</v>
    <v>1911</v>
  </rv>
  <rv s="2">
    <v>241</v>
  </rv>
  <rv s="0">
    <v>https://www.bing.com/financeapi/forcetrigger?t=bxb5m7&amp;q=XNYS%3aIONQ&amp;form=skydnc</v>
    <v>Learn more on Bing</v>
  </rv>
  <rv s="1">
    <v>en-GB</v>
    <v>bxb5m7</v>
    <v>268435456</v>
    <v>1</v>
    <v>Powered by Refinitiv</v>
    <v>0</v>
    <v>IONQ, INC. (XNYS:IONQ)</v>
    <v>2</v>
    <v>3</v>
    <v>Finance</v>
    <v>4</v>
    <v>84.64</v>
    <v>25.89</v>
    <v>3.1023000000000001</v>
    <v>-2.11</v>
    <v>-3.3155000000000004E-2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65</v>
    <v>Computers, Phones &amp; Household Electronics</v>
    <v>Stock</v>
    <v>46168.605618344533</v>
    <v>243</v>
    <v>60.52</v>
    <v>22967303100</v>
    <v>IONQ, INC.</v>
    <v>IONQ, INC.</v>
    <v>64.28</v>
    <v>1050</v>
    <v>63.64</v>
    <v>61.53</v>
    <v>373270000</v>
    <v>IONQ</v>
    <v>IONQ, INC. (XNYS:IONQ)</v>
    <v>12466432</v>
    <v>34430022</v>
    <v>2020</v>
  </rv>
  <rv s="2">
    <v>244</v>
  </rv>
  <rv s="0">
    <v>http://commons.wikimedia.org/wiki/File:MongoDB_Logo.svg</v>
    <v>&lt;a rel="nofollow" class="external text" href="https://www.mongodb.com/legal/trademark-usage-guidelines"&gt;MongoDB, Inc.&lt;/a&gt;</v>
  </rv>
  <rv s="0">
    <v>http://en.wikipedia.org/wiki/MongoDB_Inc.</v>
    <v>Wikipedia</v>
  </rv>
  <rv s="7">
    <v>246</v>
    <v>247</v>
  </rv>
  <rv s="8">
    <v>17</v>
    <v>https://www.bing.com/th?id=AMMS_e1db2e3234bc1bb199e8aee07d2a0340&amp;qlt=95</v>
    <v>248</v>
    <v>0</v>
    <v>https://www.bing.com/images/search?form=xlimg&amp;q=10gen</v>
    <v>Image of MONGODB, INC.</v>
  </rv>
  <rv s="0">
    <v>https://www.bing.com/financeapi/forcetrigger?t=a1xf1h&amp;q=XNAS%3aMDB&amp;form=skydnc</v>
    <v>Learn more on Bing</v>
  </rv>
  <rv s="9">
    <v>en-GB</v>
    <v>a1xf1h</v>
    <v>268435456</v>
    <v>1</v>
    <v>Powered by Refinitiv</v>
    <v>13</v>
    <v>MONGODB, INC. (XNAS:MDB)</v>
    <v>15</v>
    <v>16</v>
    <v>Finance</v>
    <v>4</v>
    <v>444.72</v>
    <v>182.43</v>
    <v>1.5371999999999999</v>
    <v>-16.63</v>
    <v>-5.0991999999999996E-2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317.45499999999998</v>
    <v>249</v>
    <v>Software &amp; IT Services</v>
    <v>Stock</v>
    <v>46168.605586863283</v>
    <v>250</v>
    <v>307.81</v>
    <v>24914728335</v>
    <v>MONGODB, INC.</v>
    <v>MONGODB, INC.</v>
    <v>313.04000000000002</v>
    <v>0</v>
    <v>326.13</v>
    <v>309.5</v>
    <v>80499930</v>
    <v>MDB</v>
    <v>MONGODB, INC. (XNAS:MDB)</v>
    <v>814118</v>
    <v>1596784</v>
    <v>2007</v>
  </rv>
  <rv s="2">
    <v>251</v>
  </rv>
  <rv s="0">
    <v>https://www.bing.com/financeapi/forcetrigger?t=a2nk77&amp;q=XNAS%3aLWLG&amp;form=skydnc</v>
    <v>Learn more on Bing</v>
  </rv>
  <rv s="1">
    <v>en-GB</v>
    <v>a2nk77</v>
    <v>268435456</v>
    <v>1</v>
    <v>Powered by Refinitiv</v>
    <v>0</v>
    <v>LIGHTWAVE LOGIC, INC. (XNAS:LWLG)</v>
    <v>2</v>
    <v>3</v>
    <v>Finance</v>
    <v>4</v>
    <v>18.709</v>
    <v>0.91510000000000002</v>
    <v>3.1711</v>
    <v>-0.66910000000000003</v>
    <v>-5.2069999999999998E-2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13.3</v>
    <v>Electronic Equipment &amp; Parts</v>
    <v>Stock</v>
    <v>46168.60554841406</v>
    <v>253</v>
    <v>11.81</v>
    <v>1876828199</v>
    <v>LIGHTWAVE LOGIC, INC.</v>
    <v>LIGHTWAVE LOGIC, INC.</v>
    <v>13.1</v>
    <v>0</v>
    <v>12.85</v>
    <v>12.180899999999999</v>
    <v>154079600</v>
    <v>LWLG</v>
    <v>LIGHTWAVE LOGIC, INC. (XNAS:LWLG)</v>
    <v>2747657</v>
    <v>9859144</v>
    <v>1997</v>
  </rv>
  <rv s="2">
    <v>254</v>
  </rv>
  <rv s="0">
    <v>https://www.bing.com/financeapi/forcetrigger?t=a2si9c&amp;q=XNAS%3aPOET&amp;form=skydnc</v>
    <v>Learn more on Bing</v>
  </rv>
  <rv s="1">
    <v>en-GB</v>
    <v>a2si9c</v>
    <v>268435456</v>
    <v>1</v>
    <v>Powered by Refinitiv</v>
    <v>0</v>
    <v>POET Technologies Inc. (XNAS:POET)</v>
    <v>2</v>
    <v>3</v>
    <v>Finance</v>
    <v>4</v>
    <v>20.81</v>
    <v>3.87</v>
    <v>0.75739999999999996</v>
    <v>-1.085</v>
    <v>-7.4366000000000002E-2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15.074999999999999</v>
    <v>Semiconductors &amp; Semiconductor Equipment</v>
    <v>Stock</v>
    <v>46168.605639710157</v>
    <v>256</v>
    <v>13.11</v>
    <v>2330900877</v>
    <v>POET Technologies Inc.</v>
    <v>POET Technologies Inc.</v>
    <v>15</v>
    <v>0</v>
    <v>14.59</v>
    <v>13.505000000000001</v>
    <v>172595400</v>
    <v>POET</v>
    <v>POET Technologies Inc. (XNAS:POET)</v>
    <v>21230342</v>
    <v>70503017</v>
    <v>2010</v>
  </rv>
  <rv s="2">
    <v>257</v>
  </rv>
  <rv s="1">
    <v>en-GB</v>
    <v>a1mou2</v>
    <v>268435456</v>
    <v>1</v>
    <v>Powered by Refinitiv</v>
    <v>0</v>
    <v>APPLE INC. (XNAS:AAPL)</v>
    <v>2</v>
    <v>3</v>
    <v>Finance</v>
    <v>4</v>
    <v>303.2</v>
    <v>193.46</v>
    <v>1.0683</v>
    <v>2.2450000000000001</v>
    <v>7.509E-3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302.37</v>
    <v>Computers, Phones &amp; Household Electronics</v>
    <v>Stock</v>
    <v>46162.757255693752</v>
    <v>148</v>
    <v>298.08999999999997</v>
    <v>4424053142400</v>
    <v>APPLE INC.</v>
    <v>APPLE INC.</v>
    <v>298.38</v>
    <v>36.582700000000003</v>
    <v>298.97000000000003</v>
    <v>301.21499999999997</v>
    <v>14687360000</v>
    <v>AAPL</v>
    <v>APPLE INC. (XNAS:AAPL)</v>
    <v>18926461</v>
    <v>47976127</v>
    <v>1977</v>
  </rv>
  <rv s="2">
    <v>259</v>
  </rv>
  <rv s="1">
    <v>en-GB</v>
    <v>a1slm7</v>
    <v>268435456</v>
    <v>1</v>
    <v>Powered by Refinitiv</v>
    <v>0</v>
    <v>META PLATFORMS, INC. (XNAS:META)</v>
    <v>2</v>
    <v>3</v>
    <v>Finance</v>
    <v>4</v>
    <v>796.25</v>
    <v>520.26</v>
    <v>1.2390000000000001</v>
    <v>2.0036999999999998</v>
    <v>3.3250000000000003E-3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608</v>
    <v>Software &amp; IT Services</v>
    <v>Stock</v>
    <v>46162.757256921097</v>
    <v>186</v>
    <v>597.80999999999995</v>
    <v>1534765322195</v>
    <v>META PLATFORMS, INC.</v>
    <v>META PLATFORMS, INC.</v>
    <v>600.28</v>
    <v>18.338899999999999</v>
    <v>602.61</v>
    <v>604.61369999999999</v>
    <v>2538423000</v>
    <v>META</v>
    <v>META PLATFORMS, INC. (XNAS:META)</v>
    <v>6912875</v>
    <v>15330478</v>
    <v>2004</v>
  </rv>
  <rv s="2">
    <v>261</v>
  </rv>
  <rv s="1">
    <v>en-GB</v>
    <v>c2mtww</v>
    <v>268435456</v>
    <v>1</v>
    <v>Powered by Refinitiv</v>
    <v>0</v>
    <v>ROBINHOOD MARKETS, INC. (XNAS:HOOD)</v>
    <v>2</v>
    <v>3</v>
    <v>Finance</v>
    <v>4</v>
    <v>153.85990000000001</v>
    <v>62.631799999999998</v>
    <v>2.29</v>
    <v>2.0249999999999999</v>
    <v>2.7306E-2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76.349999999999994</v>
    <v>Financial Technology (Fintech) &amp; Infrastructure</v>
    <v>Stock</v>
    <v>46162.757236967191</v>
    <v>136</v>
    <v>73.75</v>
    <v>68604981043</v>
    <v>ROBINHOOD MARKETS, INC.</v>
    <v>ROBINHOOD MARKETS, INC.</v>
    <v>74.75</v>
    <v>42.381500000000003</v>
    <v>74.16</v>
    <v>76.185000000000002</v>
    <v>900505100</v>
    <v>HOOD</v>
    <v>ROBINHOOD MARKETS, INC. (XNAS:HOOD)</v>
    <v>11478018</v>
    <v>31280816</v>
    <v>2013</v>
  </rv>
  <rv s="2">
    <v>263</v>
  </rv>
  <rv s="1">
    <v>en-GB</v>
    <v>a1yv52</v>
    <v>268435456</v>
    <v>1</v>
    <v>Powered by Refinitiv</v>
    <v>0</v>
    <v>NVIDIA CORPORATION (XNAS:NVDA)</v>
    <v>2</v>
    <v>3</v>
    <v>Finance</v>
    <v>4</v>
    <v>236.54</v>
    <v>129.16</v>
    <v>2.2471999999999999</v>
    <v>4.05</v>
    <v>1.8357999999999999E-2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226.13</v>
    <v>Semiconductors &amp; Semiconductor Equipment</v>
    <v>Stock</v>
    <v>46162.757250613278</v>
    <v>154</v>
    <v>220.495</v>
    <v>5441384269800</v>
    <v>NVIDIA CORPORATION</v>
    <v>NVIDIA CORPORATION</v>
    <v>223</v>
    <v>45.832099999999997</v>
    <v>220.61</v>
    <v>224.66</v>
    <v>24220530000</v>
    <v>NVDA</v>
    <v>NVIDIA CORPORATION (XNAS:NVDA)</v>
    <v>91813288</v>
    <v>153534782</v>
    <v>1998</v>
  </rv>
  <rv s="2">
    <v>265</v>
  </rv>
  <rv s="1">
    <v>en-GB</v>
    <v>a1ndww</v>
    <v>268435456</v>
    <v>1</v>
    <v>Powered by Refinitiv</v>
    <v>0</v>
    <v>ADVANCED MICRO DEVICES, INC. (XNAS:AMD)</v>
    <v>2</v>
    <v>3</v>
    <v>Finance</v>
    <v>4</v>
    <v>469.21499999999997</v>
    <v>107.6671</v>
    <v>2.4043999999999999</v>
    <v>32.049999999999997</v>
    <v>7.7406000000000003E-2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448.75</v>
    <v>Semiconductors &amp; Semiconductor Equipment</v>
    <v>Stock</v>
    <v>46162.757188923439</v>
    <v>37</v>
    <v>426.05</v>
    <v>727411106100</v>
    <v>ADVANCED MICRO DEVICES, INC.</v>
    <v>ADVANCED MICRO DEVICES, INC.</v>
    <v>429.23</v>
    <v>148.70500000000001</v>
    <v>414.05</v>
    <v>446.1</v>
    <v>1630601000</v>
    <v>AMD</v>
    <v>ADVANCED MICRO DEVICES, INC. (XNAS:AMD)</v>
    <v>24025881</v>
    <v>44995947</v>
    <v>1969</v>
  </rv>
  <rv s="2">
    <v>267</v>
  </rv>
  <rv s="3">
    <v>en-GB</v>
    <v>cgblqh</v>
    <v>268435456</v>
    <v>1</v>
    <v>Powered by Refinitiv</v>
    <v>5</v>
    <v>COREWEAVE, INC. (XNAS:CRWV)</v>
    <v>6</v>
    <v>3</v>
    <v>Finance</v>
    <v>4</v>
    <v>187</v>
    <v>63.8</v>
    <v>2.4279999999999999</v>
    <v>2.3801000000000001</v>
    <v>2.3845999999999999E-2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102.74</v>
    <v>Software &amp; IT Services</v>
    <v>Stock</v>
    <v>46162.757246828121</v>
    <v>98.1</v>
    <v>55751893733</v>
    <v>COREWEAVE, INC.</v>
    <v>COREWEAVE, INC.</v>
    <v>101.35</v>
    <v>0</v>
    <v>99.81</v>
    <v>102.1901</v>
    <v>545570400</v>
    <v>CRWV</v>
    <v>COREWEAVE, INC. (XNAS:CRWV)</v>
    <v>13757481</v>
    <v>29714473</v>
    <v>2017</v>
  </rv>
  <rv s="2">
    <v>269</v>
  </rv>
  <rv s="1">
    <v>en-GB</v>
    <v>a24kar</v>
    <v>268435456</v>
    <v>1</v>
    <v>Powered by Refinitiv</v>
    <v>0</v>
    <v>TESLA, INC. (XNAS:TSLA)</v>
    <v>2</v>
    <v>3</v>
    <v>Finance</v>
    <v>4</v>
    <v>498.83</v>
    <v>273.20999999999998</v>
    <v>1.7888999999999999</v>
    <v>8.4499999999999993</v>
    <v>2.0910000000000002E-2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415.15</v>
    <v>Automobiles &amp; Auto Parts</v>
    <v>Stock</v>
    <v>46162.757200671091</v>
    <v>177</v>
    <v>406.39</v>
    <v>1549461493440</v>
    <v>TESLA, INC.</v>
    <v>TESLA, INC.</v>
    <v>407.69</v>
    <v>377.077</v>
    <v>404.11</v>
    <v>412.56</v>
    <v>3755724000</v>
    <v>TSLA</v>
    <v>TESLA, INC. (XNAS:TSLA)</v>
    <v>29361376</v>
    <v>62641710</v>
    <v>2024</v>
  </rv>
  <rv s="2">
    <v>271</v>
  </rv>
  <rv s="1">
    <v>en-GB</v>
    <v>a2nk77</v>
    <v>268435456</v>
    <v>1</v>
    <v>Powered by Refinitiv</v>
    <v>0</v>
    <v>LIGHTWAVE LOGIC, INC. (XNAS:LWLG)</v>
    <v>2</v>
    <v>3</v>
    <v>Finance</v>
    <v>4</v>
    <v>18.709</v>
    <v>0.91510000000000002</v>
    <v>3.2101000000000002</v>
    <v>0.15</v>
    <v>1.2942E-2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12.15</v>
    <v>Electronic Equipment &amp; Parts</v>
    <v>Stock</v>
    <v>46162.757242407031</v>
    <v>253</v>
    <v>11.01</v>
    <v>1808894504</v>
    <v>LIGHTWAVE LOGIC, INC.</v>
    <v>LIGHTWAVE LOGIC, INC.</v>
    <v>11.8</v>
    <v>0</v>
    <v>11.59</v>
    <v>11.74</v>
    <v>154079600</v>
    <v>LWLG</v>
    <v>LIGHTWAVE LOGIC, INC. (XNAS:LWLG)</v>
    <v>3965799</v>
    <v>10253177</v>
    <v>1997</v>
  </rv>
  <rv s="2">
    <v>273</v>
  </rv>
  <rv s="1">
    <v>en-GB</v>
    <v>a2si9c</v>
    <v>268435456</v>
    <v>1</v>
    <v>Powered by Refinitiv</v>
    <v>0</v>
    <v>POET Technologies Inc. (XNAS:POET)</v>
    <v>2</v>
    <v>3</v>
    <v>Finance</v>
    <v>4</v>
    <v>20.81</v>
    <v>3.87</v>
    <v>0.60660000000000003</v>
    <v>0.99109999999999998</v>
    <v>7.5830000000000009E-2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14.88</v>
    <v>Semiconductors &amp; Semiconductor Equipment</v>
    <v>Stock</v>
    <v>46162.757173946091</v>
    <v>256</v>
    <v>13.5801</v>
    <v>2426881178</v>
    <v>POET Technologies Inc.</v>
    <v>POET Technologies Inc.</v>
    <v>14.7</v>
    <v>0</v>
    <v>13.07</v>
    <v>14.0611</v>
    <v>172595400</v>
    <v>POET</v>
    <v>POET Technologies Inc. (XNAS:POET)</v>
    <v>37876658</v>
    <v>66226770</v>
    <v>2010</v>
  </rv>
  <rv s="2">
    <v>275</v>
  </rv>
  <rv s="1">
    <v>en-GB</v>
    <v>aodipr</v>
    <v>268435456</v>
    <v>1</v>
    <v>Powered by Refinitiv</v>
    <v>0</v>
    <v>THE SAGE GROUP PLC. (XLON:SGE)</v>
    <v>2</v>
    <v>23</v>
    <v>Finance</v>
    <v>24</v>
    <v>1335</v>
    <v>771.66</v>
    <v>0.3478</v>
    <v>-11</v>
    <v>-1.2115000000000001E-2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900</v>
    <v>Software &amp; IT Services</v>
    <v>Stock</v>
    <v>46162.578735647658</v>
    <v>180</v>
    <v>871</v>
    <v>10571700000</v>
    <v>THE SAGE GROUP PLC.</v>
    <v>THE SAGE GROUP PLC.</v>
    <v>894.8</v>
    <v>26.0246</v>
    <v>908</v>
    <v>897</v>
    <v>910494500</v>
    <v>SGE</v>
    <v>THE SAGE GROUP PLC. (XLON:SGE)</v>
    <v>4716965</v>
    <v>5570840</v>
    <v>1988</v>
  </rv>
  <rv s="2">
    <v>277</v>
  </rv>
  <rv s="11">
    <v>en-GB</v>
    <v>avyu4c</v>
    <v>268435456</v>
    <v>1</v>
    <v>Powered by Refinitiv</v>
    <v>25</v>
    <v>USD/GBP</v>
    <v>26</v>
    <v>27</v>
    <v>Finance</v>
    <v>28</v>
    <v>0.76859999999999995</v>
    <v>0.72099999999999997</v>
    <v>2.3640000000000002E-3</v>
    <v>3.1929999999999997E-3</v>
    <v>GBP</v>
    <v>USD</v>
    <v>0.74309999999999998</v>
    <v>Currency Pair</v>
    <v>46168.605624999997</v>
    <v>0.74039999999999995</v>
    <v>US Dollar/UK Pound Sterling FX Cross Rate</v>
    <v>0.74050000000000005</v>
    <v>0.74039999999999995</v>
    <v>0.74280000000000002</v>
    <v>USDGBP</v>
    <v>USD/GBP</v>
  </rv>
  <rv s="2">
    <v>279</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2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5">
      <v>1</v>
      <v>Name</v>
    </spb>
    <spb s="6">
      <v>1</v>
      <v>1</v>
      <v>1</v>
    </spb>
    <spb s="0">
      <v>2</v>
      <v>Name</v>
      <v>LearnMoreOnLink</v>
    </spb>
    <spb s="7">
      <v>1</v>
      <v>1</v>
      <v>1</v>
    </spb>
    <spb s="8">
      <v>1</v>
      <v>2</v>
      <v>1</v>
      <v>3</v>
      <v>1</v>
      <v>1</v>
      <v>1</v>
      <v>4</v>
      <v>5</v>
      <v>6</v>
      <v>1</v>
      <v>1</v>
      <v>5</v>
      <v>1</v>
      <v>4</v>
      <v>7</v>
      <v>9</v>
    </spb>
    <spb s="9">
      <v>Real-Time Nasdaq Last Sale</v>
      <v>from previous close</v>
      <v>Source: Nasdaq Last Sale</v>
      <v>from previous close</v>
      <v>GMT</v>
    </spb>
    <spb s="0">
      <v>3</v>
      <v>Name</v>
      <v>LearnMoreOnLink</v>
    </spb>
    <spb s="10">
      <v>1</v>
      <v>2</v>
      <v>2</v>
      <v>1</v>
      <v>3</v>
      <v>1</v>
      <v>1</v>
      <v>1</v>
      <v>4</v>
      <v>4</v>
      <v>5</v>
      <v>6</v>
      <v>1</v>
      <v>1</v>
      <v>1</v>
      <v>4</v>
      <v>7</v>
      <v>9</v>
      <v>4</v>
    </spb>
    <spb s="0">
      <v>4</v>
      <v>Name</v>
      <v>LearnMoreOnLink</v>
    </spb>
    <spb s="11">
      <v>0</v>
      <v>0</v>
    </spb>
    <spb s="12">
      <v>14</v>
      <v>1</v>
      <v>1</v>
      <v>1</v>
      <v>1</v>
    </spb>
    <spb s="13">
      <v>1</v>
      <v>2</v>
      <v>2</v>
      <v>1</v>
      <v>3</v>
      <v>1</v>
      <v>10</v>
      <v>1</v>
      <v>1</v>
      <v>4</v>
      <v>4</v>
      <v>5</v>
      <v>6</v>
      <v>1</v>
      <v>1</v>
      <v>1</v>
      <v>4</v>
      <v>7</v>
      <v>8</v>
      <v>9</v>
      <v>4</v>
    </spb>
    <spb s="14">
      <v>Powered by Refinitiv</v>
    </spb>
    <spb s="0">
      <v>5</v>
      <v>Name</v>
      <v>LearnMoreOnLink</v>
    </spb>
    <spb s="15">
      <v>1</v>
      <v>2</v>
      <v>1</v>
      <v>3</v>
      <v>1</v>
      <v>1</v>
      <v>1</v>
      <v>4</v>
      <v>4</v>
      <v>5</v>
      <v>6</v>
      <v>1</v>
      <v>1</v>
      <v>1</v>
      <v>4</v>
      <v>7</v>
      <v>8</v>
      <v>9</v>
      <v>4</v>
    </spb>
    <spb s="5">
      <v>6</v>
      <v>Name</v>
    </spb>
    <spb s="3">
      <v>11</v>
      <v>2</v>
      <v>2</v>
      <v>11</v>
      <v>3</v>
      <v>11</v>
      <v>11</v>
      <v>11</v>
      <v>4</v>
      <v>4</v>
      <v>5</v>
      <v>12</v>
      <v>11</v>
      <v>11</v>
      <v>11</v>
      <v>4</v>
      <v>7</v>
      <v>8</v>
      <v>9</v>
      <v>4</v>
    </spb>
    <spb s="16">
      <v>from previous close</v>
      <v>from previous close</v>
      <v>GMT</v>
    </spb>
    <spb s="3">
      <v>13</v>
      <v>2</v>
      <v>2</v>
      <v>13</v>
      <v>3</v>
      <v>13</v>
      <v>13</v>
      <v>13</v>
      <v>4</v>
      <v>4</v>
      <v>5</v>
      <v>14</v>
      <v>13</v>
      <v>13</v>
      <v>13</v>
      <v>4</v>
      <v>7</v>
      <v>8</v>
      <v>9</v>
      <v>4</v>
    </spb>
    <spb s="4">
      <v>Delayed 15 minutes</v>
      <v>from previous close</v>
      <v>from previous close</v>
      <v>LSE</v>
      <v>GMT</v>
    </spb>
    <spb s="5">
      <v>7</v>
      <v>Name</v>
    </spb>
    <spb s="17">
      <v>1</v>
      <v>1</v>
    </spb>
    <spb s="18">
      <v>15</v>
      <v>15</v>
      <v>3</v>
      <v>15</v>
      <v>15</v>
      <v>15</v>
      <v>5</v>
      <v>15</v>
      <v>15</v>
      <v>15</v>
      <v>7</v>
      <v>9</v>
    </spb>
    <spb s="19">
      <v>GMT</v>
    </spb>
  </spbData>
</supportingPropertyBags>
</file>

<file path=xl/richData/rdsupportingpropertybagstructure.xml><?xml version="1.0" encoding="utf-8"?>
<spbStructures xmlns="http://schemas.microsoft.com/office/spreadsheetml/2017/richdata2" count="2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Order" t="spba"/>
    <k n="TitleProperty" t="s"/>
  </s>
  <s>
    <k n="ExchangeID" t="spb"/>
    <k n="UniqueName" t="spb"/>
    <k n="`%ProviderInfo" t="sp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2" totalsRowShown="0">
  <autoFilter ref="A1:AE82" xr:uid="{00000000-0009-0000-0100-000001000000}"/>
  <sortState xmlns:xlrd2="http://schemas.microsoft.com/office/spreadsheetml/2017/richdata2" ref="A2:AE82">
    <sortCondition descending="1" ref="F1:F82"/>
  </sortState>
  <tableColumns count="31">
    <tableColumn id="1" xr3:uid="{00000000-0010-0000-0000-000001000000}" name="symbol"/>
    <tableColumn id="2" xr3:uid="{00000000-0010-0000-0000-000002000000}" name="StockName"/>
    <tableColumn id="3" xr3:uid="{00000000-0010-0000-0000-000003000000}" name="LastTradeTime" dataDxfId="51">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50">
      <calculatedColumnFormula array="1">_FV(B2,"Price")</calculatedColumnFormula>
    </tableColumn>
    <tableColumn id="6" xr3:uid="{00000000-0010-0000-0000-000006000000}" name="ChangePercent" dataDxfId="49">
      <calculatedColumnFormula array="1">_FV(B2,"Change (%)",TRUE)</calculatedColumnFormula>
    </tableColumn>
    <tableColumn id="7" xr3:uid="{00000000-0010-0000-0000-000007000000}" name="Change" dataDxfId="48">
      <calculatedColumnFormula array="1">_FV(B2,"Change")</calculatedColumnFormula>
    </tableColumn>
    <tableColumn id="8" xr3:uid="{00000000-0010-0000-0000-000008000000}" name="P/E" dataDxfId="47">
      <calculatedColumnFormula array="1">_FV(B2,"P/E",TRUE)</calculatedColumnFormula>
    </tableColumn>
    <tableColumn id="9" xr3:uid="{00000000-0010-0000-0000-000009000000}" name="Beta" dataDxfId="46">
      <calculatedColumnFormula array="1">_FV(B2,"Beta")</calculatedColumnFormula>
    </tableColumn>
    <tableColumn id="10" xr3:uid="{00000000-0010-0000-0000-00000A000000}" name="52WkHigh" dataDxfId="45">
      <calculatedColumnFormula array="1">_FV(B2,"52 week high",TRUE)</calculatedColumnFormula>
    </tableColumn>
    <tableColumn id="11" xr3:uid="{00000000-0010-0000-0000-00000B000000}" name="52WkLow" dataDxfId="44">
      <calculatedColumnFormula array="1">_FV(B2,"52 week low",TRUE)</calculatedColumnFormula>
    </tableColumn>
    <tableColumn id="12" xr3:uid="{00000000-0010-0000-0000-00000C000000}" name="DayHigh" dataDxfId="43">
      <calculatedColumnFormula array="1">_FV(B2,"High")</calculatedColumnFormula>
    </tableColumn>
    <tableColumn id="13" xr3:uid="{00000000-0010-0000-0000-00000D000000}" name="DayLow" dataDxfId="42">
      <calculatedColumnFormula array="1">_FV(B2,"Low")</calculatedColumnFormula>
    </tableColumn>
    <tableColumn id="14" xr3:uid="{00000000-0010-0000-0000-00000E000000}" name="Open" dataDxfId="41">
      <calculatedColumnFormula array="1">_FV(B2,"Open")</calculatedColumnFormula>
    </tableColumn>
    <tableColumn id="15" xr3:uid="{00000000-0010-0000-0000-00000F000000}" name="PreviousClose" dataDxfId="40">
      <calculatedColumnFormula array="1">_FV(B2,"Previous close",TRUE)</calculatedColumnFormula>
    </tableColumn>
    <tableColumn id="16" xr3:uid="{00000000-0010-0000-0000-000010000000}" name="Volume" dataDxfId="39">
      <calculatedColumnFormula array="1">_FV(B2,"Volume")</calculatedColumnFormula>
    </tableColumn>
    <tableColumn id="17" xr3:uid="{00000000-0010-0000-0000-000011000000}" name="AverageVolume" dataDxfId="38">
      <calculatedColumnFormula array="1">_FV(B2,"Volume average",TRUE)</calculatedColumnFormula>
    </tableColumn>
    <tableColumn id="18" xr3:uid="{00000000-0010-0000-0000-000012000000}" name="YearIncorported" dataDxfId="37">
      <calculatedColumnFormula array="1">_FV(B2,"Year incorporated",TRUE)</calculatedColumnFormula>
    </tableColumn>
    <tableColumn id="19" xr3:uid="{00000000-0010-0000-0000-000013000000}" name="Employees" dataDxfId="36">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35">
      <calculatedColumnFormula array="1">_FV(B2,"Market cap",TRUE)</calculatedColumnFormula>
    </tableColumn>
    <tableColumn id="22" xr3:uid="{00000000-0010-0000-0000-000016000000}" name="SharesOutstanding" dataDxfId="34">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M11" totalsRowShown="0" headerRowDxfId="33" dataDxfId="32" tableBorderDxfId="31">
  <autoFilter ref="A1:M11" xr:uid="{D39CE96F-8D2C-4A60-A43A-B3602E27FDC2}"/>
  <tableColumns count="13">
    <tableColumn id="1" xr3:uid="{AE3CE10F-629F-414E-93DE-8949C4E58E7D}" name="Symbol" dataDxfId="30"/>
    <tableColumn id="2" xr3:uid="{40700DF4-EB97-4DB9-BA32-772C3F8E34CC}" name="StockName" dataDxfId="29">
      <calculatedColumnFormula>IFERROR(_xlfn.XLOOKUP(A2,[1]!tblWatchlist[Symbol],[1]!tblWatchlist[StockName]),"")</calculatedColumnFormula>
    </tableColumn>
    <tableColumn id="3" xr3:uid="{BED1527E-0498-4FF1-8E69-ECDB2EB30C25}" name="TradeCurrency" dataDxfId="28">
      <calculatedColumnFormula>_FV(B2,"Currency")</calculatedColumnFormula>
    </tableColumn>
    <tableColumn id="4" xr3:uid="{2218CAC2-8A57-48EA-B1D3-CD7E0BA08ECA}" name="TotalBought" dataDxfId="27"/>
    <tableColumn id="5" xr3:uid="{77160EAF-769F-4559-B5AE-C08A0AC76566}" name="TotalSold" dataDxfId="26"/>
    <tableColumn id="6" xr3:uid="{324BA50C-3A95-4946-A384-C4EF731BD7F3}" name="NetPosition" dataDxfId="25"/>
    <tableColumn id="7" xr3:uid="{24A211AE-9FE1-4D72-98D4-96F240F7DCFD}" name="AvgCost" dataDxfId="24"/>
    <tableColumn id="8" xr3:uid="{E1C8BF44-8957-447E-B3C1-A76A00A619B8}" name="AvgBuyCost" dataDxfId="23">
      <calculatedColumnFormula>F2*G2</calculatedColumnFormula>
    </tableColumn>
    <tableColumn id="9" xr3:uid="{73ED87C5-FB66-49D5-B1EF-4BE32DC6D51F}" name="StockPrice" dataDxfId="22">
      <calculatedColumnFormula>_FV(B2,"Price")</calculatedColumnFormula>
    </tableColumn>
    <tableColumn id="10" xr3:uid="{1E08B942-A194-43F5-A7DB-404EC54A5C02}" name="FXRate" dataDxfId="21">
      <calculatedColumnFormula>Config!$C$1</calculatedColumnFormula>
    </tableColumn>
    <tableColumn id="11" xr3:uid="{96D6E4C8-F5BD-4A3E-88A2-BF403C882136}" name="MarketValue" dataDxfId="20">
      <calculatedColumnFormula>F2*I2*J2</calculatedColumnFormula>
    </tableColumn>
    <tableColumn id="12" xr3:uid="{E928C781-D2C4-42A1-A053-38B541581BCB}" name="P&amp;L" dataDxfId="19">
      <calculatedColumnFormula>K2-H2</calculatedColumnFormula>
    </tableColumn>
    <tableColumn id="13" xr3:uid="{53BE744D-B35A-4E6B-8EA9-E422203F974E}" name="P&amp;LPercent" dataDxfId="18">
      <calculatedColumnFormula>IF(H2=0,"",L2/H2)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
  <sheetViews>
    <sheetView workbookViewId="0">
      <selection activeCell="I19" sqref="I19"/>
    </sheetView>
  </sheetViews>
  <sheetFormatPr defaultRowHeight="13.5"/>
  <cols>
    <col min="1" max="1" width="10.4375" style="1" bestFit="1" customWidth="1"/>
    <col min="2" max="2" width="10.4375" bestFit="1" customWidth="1"/>
    <col min="9" max="9" width="13.56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row r="11" spans="1:10">
      <c r="A11" s="1">
        <v>45292</v>
      </c>
      <c r="B11" t="s">
        <v>92</v>
      </c>
      <c r="C11" t="s">
        <v>81</v>
      </c>
      <c r="D11" t="s">
        <v>90</v>
      </c>
      <c r="E11">
        <v>100</v>
      </c>
      <c r="F11" t="s">
        <v>12</v>
      </c>
      <c r="G11">
        <v>10</v>
      </c>
      <c r="H11">
        <v>0.12</v>
      </c>
      <c r="I11">
        <v>0.75</v>
      </c>
    </row>
    <row r="12" spans="1:10">
      <c r="A12" s="1">
        <v>45323</v>
      </c>
      <c r="B12" t="s">
        <v>92</v>
      </c>
      <c r="C12" t="s">
        <v>81</v>
      </c>
      <c r="D12" t="s">
        <v>396</v>
      </c>
      <c r="E12">
        <v>40</v>
      </c>
      <c r="F12" t="s">
        <v>12</v>
      </c>
      <c r="G12">
        <v>12</v>
      </c>
      <c r="H12">
        <v>0.12</v>
      </c>
      <c r="I12">
        <v>0.75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82"/>
  <sheetViews>
    <sheetView tabSelected="1" topLeftCell="A61" workbookViewId="0">
      <selection activeCell="A2" sqref="A2"/>
    </sheetView>
  </sheetViews>
  <sheetFormatPr defaultRowHeight="13.5"/>
  <cols>
    <col min="1" max="1" width="9.875" customWidth="1"/>
    <col min="2" max="2" width="13.4375" customWidth="1"/>
    <col min="3" max="3" width="16.3125" customWidth="1"/>
    <col min="4" max="4" width="16.6875" bestFit="1" customWidth="1"/>
    <col min="5" max="5" width="12.6875" customWidth="1"/>
    <col min="6" max="6" width="17" customWidth="1"/>
    <col min="7" max="7" width="10" customWidth="1"/>
    <col min="10" max="10" width="12.125" customWidth="1"/>
    <col min="11" max="11" width="11.5625" customWidth="1"/>
    <col min="12" max="12" width="10.6875" customWidth="1"/>
    <col min="13" max="13" width="10.125" customWidth="1"/>
    <col min="15" max="15" width="16.3125" customWidth="1"/>
    <col min="16" max="16" width="11.125" bestFit="1" customWidth="1"/>
    <col min="17" max="17" width="17.125" customWidth="1"/>
    <col min="18" max="18" width="17.6875" customWidth="1"/>
    <col min="19" max="19" width="13.125" customWidth="1"/>
    <col min="20" max="20" width="43.3125" bestFit="1" customWidth="1"/>
    <col min="21" max="21" width="16.4375" bestFit="1" customWidth="1"/>
    <col min="22" max="22" width="20.3125" customWidth="1"/>
    <col min="24" max="26" width="10" customWidth="1"/>
    <col min="30" max="31" width="10.87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67</v>
      </c>
      <c r="B2" t="e" vm="1">
        <v>#VALUE!</v>
      </c>
      <c r="C2" s="2">
        <f t="array" aca="1" ref="C2" ca="1">_FV(B2,"Last trade time",TRUE)</f>
        <v>46168.605484501561</v>
      </c>
      <c r="D2" t="str">
        <f t="array" aca="1" ref="D2" ca="1">_FV(B2,"Currency")</f>
        <v>USD</v>
      </c>
      <c r="E2" s="3">
        <f t="array" aca="1" ref="E2" ca="1">_FV(B2,"Price")</f>
        <v>879.83</v>
      </c>
      <c r="F2" s="4">
        <f t="array" aca="1" ref="F2" ca="1">_FV(B2,"Change (%)",TRUE)</f>
        <v>0.17154499999999998</v>
      </c>
      <c r="G2" s="5">
        <f t="array" aca="1" ref="G2" ca="1">_FV(B2,"Change")</f>
        <v>128.83000000000001</v>
      </c>
      <c r="H2" s="6">
        <f t="array" aca="1" ref="H2" ca="1">_FV(B2,"P/E",TRUE)</f>
        <v>41.5381</v>
      </c>
      <c r="I2" s="6">
        <f t="array" aca="1" ref="I2" ca="1">_FV(B2,"Beta")</f>
        <v>1.9930000000000001</v>
      </c>
      <c r="J2" s="3">
        <f t="array" aca="1" ref="J2" ca="1">_FV(B2,"52 week high",TRUE)</f>
        <v>880.89</v>
      </c>
      <c r="K2" s="3">
        <f t="array" aca="1" ref="K2" ca="1">_FV(B2,"52 week low",TRUE)</f>
        <v>92.22</v>
      </c>
      <c r="L2" s="3">
        <f t="array" aca="1" ref="L2" ca="1">_FV(B2,"High")</f>
        <v>880.89</v>
      </c>
      <c r="M2" s="3">
        <f t="array" aca="1" ref="M2" ca="1">_FV(B2,"Low")</f>
        <v>820.29499999999996</v>
      </c>
      <c r="N2" s="3">
        <f t="array" aca="1" ref="N2" ca="1">_FV(B2,"Open")</f>
        <v>820.46</v>
      </c>
      <c r="O2" s="3">
        <f t="array" aca="1" ref="O2" ca="1">_FV(B2,"Previous close",TRUE)</f>
        <v>751</v>
      </c>
      <c r="P2" s="7">
        <f t="array" aca="1" ref="P2" ca="1">_FV(B2,"Volume")</f>
        <v>25104573</v>
      </c>
      <c r="Q2" s="7">
        <f t="array" aca="1" ref="Q2" ca="1">_FV(B2,"Volume average",TRUE)</f>
        <v>47860495</v>
      </c>
      <c r="R2" s="8">
        <f t="array" aca="1" ref="R2" ca="1">_FV(B2,"Year incorporated",TRUE)</f>
        <v>1984</v>
      </c>
      <c r="S2" s="7">
        <f t="array" aca="1" ref="S2" ca="1">_FV(B2,"Employees")</f>
        <v>53000</v>
      </c>
      <c r="T2" t="str">
        <f t="array" aca="1" ref="T2" ca="1">_FV(B2,"Industry")</f>
        <v>Semiconductors &amp; Semiconductor Equipment</v>
      </c>
      <c r="U2" s="7">
        <f t="array" aca="1" ref="U2" ca="1">_FV(B2,"Market cap",TRUE)</f>
        <v>992214205220</v>
      </c>
      <c r="V2" s="7">
        <f t="array" aca="1" ref="V2" ca="1">_FV(B2,"Shares outstanding",TRUE)</f>
        <v>1127734000</v>
      </c>
    </row>
    <row r="3" spans="1:31">
      <c r="A3" t="s">
        <v>49</v>
      </c>
      <c r="B3" t="e" vm="2">
        <v>#VALUE!</v>
      </c>
      <c r="C3" s="2">
        <f t="array" aca="1" ref="C3" ca="1">_FV(B3,"Last trade time",TRUE)</f>
        <v>46168.605474270313</v>
      </c>
      <c r="D3" t="str">
        <f t="array" aca="1" ref="D3" ca="1">_FV(B3,"Currency")</f>
        <v>USD</v>
      </c>
      <c r="E3" s="3">
        <f t="array" aca="1" ref="E3" ca="1">_FV(B3,"Price")</f>
        <v>7.5</v>
      </c>
      <c r="F3" s="4">
        <f t="array" aca="1" ref="F3" ca="1">_FV(B3,"Change (%)",TRUE)</f>
        <v>0.12275399999999999</v>
      </c>
      <c r="G3" s="5">
        <f t="array" aca="1" ref="G3" ca="1">_FV(B3,"Change")</f>
        <v>0.82</v>
      </c>
      <c r="H3" s="6">
        <f t="array" aca="1" ref="H3" ca="1">_FV(B3,"P/E",TRUE)</f>
        <v>0</v>
      </c>
      <c r="I3" s="6">
        <f t="array" aca="1" ref="I3" ca="1">_FV(B3,"Beta")</f>
        <v>2.2159</v>
      </c>
      <c r="J3" s="3">
        <f t="array" aca="1" ref="J3" ca="1">_FV(B3,"52 week high",TRUE)</f>
        <v>16.489999999999998</v>
      </c>
      <c r="K3" s="3">
        <f t="array" aca="1" ref="K3" ca="1">_FV(B3,"52 week low",TRUE)</f>
        <v>4.6150000000000002</v>
      </c>
      <c r="L3" s="3">
        <f t="array" aca="1" ref="L3" ca="1">_FV(B3,"High")</f>
        <v>7.6349999999999998</v>
      </c>
      <c r="M3" s="3">
        <f t="array" aca="1" ref="M3" ca="1">_FV(B3,"Low")</f>
        <v>6.81</v>
      </c>
      <c r="N3" s="3">
        <f t="array" aca="1" ref="N3" ca="1">_FV(B3,"Open")</f>
        <v>6.85</v>
      </c>
      <c r="O3" s="3">
        <f t="array" aca="1" ref="O3" ca="1">_FV(B3,"Previous close",TRUE)</f>
        <v>6.68</v>
      </c>
      <c r="P3" s="7">
        <f t="array" aca="1" ref="P3" ca="1">_FV(B3,"Volume")</f>
        <v>3521047</v>
      </c>
      <c r="Q3" s="7">
        <f t="array" aca="1" ref="Q3" ca="1">_FV(B3,"Volume average",TRUE)</f>
        <v>6968993</v>
      </c>
      <c r="R3" s="8">
        <f t="array" aca="1" ref="R3" ca="1">_FV(B3,"Year incorporated",TRUE)</f>
        <v>2020</v>
      </c>
      <c r="S3" s="7">
        <f t="array" aca="1" ref="S3" ca="1">_FV(B3,"Employees")</f>
        <v>664</v>
      </c>
      <c r="T3" t="str">
        <f t="array" aca="1" ref="T3" ca="1">_FV(B3,"Industry")</f>
        <v>Machinery, Equipment &amp; Components</v>
      </c>
      <c r="U3" s="7">
        <f t="array" aca="1" ref="U3" ca="1">_FV(B3,"Market cap",TRUE)</f>
        <v>1636150500</v>
      </c>
      <c r="V3" s="7">
        <f t="array" aca="1" ref="V3" ca="1">_FV(B3,"Shares outstanding",TRUE)</f>
        <v>218153400</v>
      </c>
    </row>
    <row r="4" spans="1:31">
      <c r="A4" t="s">
        <v>75</v>
      </c>
      <c r="B4" t="e" vm="3">
        <v>#VALUE!</v>
      </c>
      <c r="C4" s="2">
        <f t="array" aca="1" ref="C4" ca="1">_FV(B4,"Last trade time",TRUE)</f>
        <v>46168.605510392968</v>
      </c>
      <c r="D4" t="str">
        <f t="array" aca="1" ref="D4" ca="1">_FV(B4,"Currency")</f>
        <v>USD</v>
      </c>
      <c r="E4" s="3">
        <f t="array" aca="1" ref="E4" ca="1">_FV(B4,"Price")</f>
        <v>105.789</v>
      </c>
      <c r="F4" s="4">
        <f t="array" aca="1" ref="F4" ca="1">_FV(B4,"Change (%)",TRUE)</f>
        <v>0.11333399999999999</v>
      </c>
      <c r="G4" s="5">
        <f t="array" aca="1" ref="G4" ca="1">_FV(B4,"Change")</f>
        <v>10.769</v>
      </c>
      <c r="H4" s="6">
        <f t="array" aca="1" ref="H4" ca="1">_FV(B4,"P/E",TRUE)</f>
        <v>0</v>
      </c>
      <c r="I4" s="6">
        <f t="array" aca="1" ref="I4" ca="1">_FV(B4,"Beta")</f>
        <v>3.2322000000000002</v>
      </c>
      <c r="J4" s="3">
        <f t="array" aca="1" ref="J4" ca="1">_FV(B4,"52 week high",TRUE)</f>
        <v>108.751</v>
      </c>
      <c r="K4" s="3">
        <f t="array" aca="1" ref="K4" ca="1">_FV(B4,"52 week low",TRUE)</f>
        <v>9.14</v>
      </c>
      <c r="L4" s="3">
        <f t="array" aca="1" ref="L4" ca="1">_FV(B4,"High")</f>
        <v>106.53</v>
      </c>
      <c r="M4" s="3">
        <f t="array" aca="1" ref="M4" ca="1">_FV(B4,"Low")</f>
        <v>97.3</v>
      </c>
      <c r="N4" s="3">
        <f t="array" aca="1" ref="N4" ca="1">_FV(B4,"Open")</f>
        <v>99</v>
      </c>
      <c r="O4" s="3">
        <f t="array" aca="1" ref="O4" ca="1">_FV(B4,"Previous close",TRUE)</f>
        <v>95.02</v>
      </c>
      <c r="P4" s="7">
        <f t="array" aca="1" ref="P4" ca="1">_FV(B4,"Volume")</f>
        <v>848516</v>
      </c>
      <c r="Q4" s="7">
        <f t="array" aca="1" ref="Q4" ca="1">_FV(B4,"Volume average",TRUE)</f>
        <v>2976553</v>
      </c>
      <c r="R4" s="8">
        <f t="array" aca="1" ref="R4" ca="1">_FV(B4,"Year incorporated",TRUE)</f>
        <v>1977</v>
      </c>
      <c r="S4" s="7">
        <f t="array" aca="1" ref="S4" ca="1">_FV(B4,"Employees")</f>
        <v>136</v>
      </c>
      <c r="T4" t="str">
        <f t="array" aca="1" ref="T4" ca="1">_FV(B4,"Industry")</f>
        <v>Semiconductors &amp; Semiconductor Equipment</v>
      </c>
      <c r="U4" s="7">
        <f t="array" aca="1" ref="U4" ca="1">_FV(B4,"Market cap",TRUE)</f>
        <v>3327407864</v>
      </c>
      <c r="V4" s="7">
        <f t="array" aca="1" ref="V4" ca="1">_FV(B4,"Shares outstanding",TRUE)</f>
        <v>31453250</v>
      </c>
    </row>
    <row r="5" spans="1:31">
      <c r="A5" t="s">
        <v>302</v>
      </c>
      <c r="B5" t="e" vm="4">
        <v>#VALUE!</v>
      </c>
      <c r="C5" s="2" cm="1">
        <f t="array" aca="1" ref="C5" ca="1">_FV(B5,"Last trade time",TRUE)</f>
        <v>46168.60548443281</v>
      </c>
      <c r="D5" t="str" cm="1">
        <f t="array" aca="1" ref="D5" ca="1">_FV(B5,"Currency")</f>
        <v>USD</v>
      </c>
      <c r="E5" s="3" cm="1">
        <f t="array" aca="1" ref="E5" ca="1">_FV(B5,"Price")</f>
        <v>127.77</v>
      </c>
      <c r="F5" s="4" cm="1">
        <f t="array" aca="1" ref="F5" ca="1">_FV(B5,"Change (%)",TRUE)</f>
        <v>9.9570000000000006E-2</v>
      </c>
      <c r="G5" s="5" cm="1">
        <f t="array" aca="1" ref="G5" ca="1">_FV(B5,"Change")</f>
        <v>11.57</v>
      </c>
      <c r="H5" s="6" cm="1">
        <f t="array" aca="1" ref="H5" ca="1">_FV(B5,"P/E",TRUE)</f>
        <v>91.238200000000006</v>
      </c>
      <c r="I5" s="6" cm="1">
        <f t="array" aca="1" ref="I5" ca="1">_FV(B5,"Beta")</f>
        <v>1.9541999999999999</v>
      </c>
      <c r="J5" s="3" cm="1">
        <f t="array" aca="1" ref="J5" ca="1">_FV(B5,"52 week high",TRUE)</f>
        <v>128.57990000000001</v>
      </c>
      <c r="K5" s="3" cm="1">
        <f t="array" aca="1" ref="K5" ca="1">_FV(B5,"52 week low",TRUE)</f>
        <v>41.49</v>
      </c>
      <c r="L5" s="3" cm="1">
        <f t="array" aca="1" ref="L5" ca="1">_FV(B5,"High")</f>
        <v>128.57990000000001</v>
      </c>
      <c r="M5" s="3" cm="1">
        <f t="array" aca="1" ref="M5" ca="1">_FV(B5,"Low")</f>
        <v>121.06</v>
      </c>
      <c r="N5" s="3" cm="1">
        <f t="array" aca="1" ref="N5" ca="1">_FV(B5,"Open")</f>
        <v>122.8</v>
      </c>
      <c r="O5" s="3" cm="1">
        <f t="array" aca="1" ref="O5" ca="1">_FV(B5,"Previous close",TRUE)</f>
        <v>116.2</v>
      </c>
      <c r="P5" s="7" cm="1">
        <f t="array" aca="1" ref="P5" ca="1">_FV(B5,"Volume")</f>
        <v>4736584</v>
      </c>
      <c r="Q5" s="7" cm="1">
        <f t="array" aca="1" ref="Q5" ca="1">_FV(B5,"Volume average",TRUE)</f>
        <v>12940193</v>
      </c>
      <c r="R5" s="8" cm="1">
        <f t="array" aca="1" ref="R5" ca="1">_FV(B5,"Year incorporated",TRUE)</f>
        <v>2000</v>
      </c>
      <c r="S5" s="7" cm="1">
        <f t="array" aca="1" ref="S5" ca="1">_FV(B5,"Employees")</f>
        <v>22600</v>
      </c>
      <c r="T5" t="str" cm="1">
        <f t="array" aca="1" ref="T5" ca="1">_FV(B5,"Industry")</f>
        <v>Semiconductors &amp; Semiconductor Equipment</v>
      </c>
      <c r="U5" s="7" cm="1">
        <f t="array" aca="1" ref="U5" ca="1">_FV(B5,"Market cap",TRUE)</f>
        <v>50073471864</v>
      </c>
      <c r="V5" s="7" cm="1">
        <f t="array" aca="1" ref="V5" ca="1">_FV(B5,"Shares outstanding",TRUE)</f>
        <v>391903200</v>
      </c>
    </row>
    <row r="6" spans="1:31">
      <c r="A6" t="s">
        <v>24</v>
      </c>
      <c r="B6" t="e" vm="5">
        <v>#VALUE!</v>
      </c>
      <c r="C6" s="2">
        <f t="array" aca="1" ref="C6" ca="1">_FV(B6,"Last trade time",TRUE)</f>
        <v>46168.605527025</v>
      </c>
      <c r="D6" t="str">
        <f t="array" aca="1" ref="D6" ca="1">_FV(B6,"Currency")</f>
        <v>USD</v>
      </c>
      <c r="E6" s="3">
        <f t="array" aca="1" ref="E6" ca="1">_FV(B6,"Price")</f>
        <v>524.49</v>
      </c>
      <c r="F6" s="4">
        <f t="array" aca="1" ref="F6" ca="1">_FV(B6,"Change (%)",TRUE)</f>
        <v>8.8876000000000011E-2</v>
      </c>
      <c r="G6" s="5">
        <f t="array" aca="1" ref="G6" ca="1">_FV(B6,"Change")</f>
        <v>42.81</v>
      </c>
      <c r="H6" s="6">
        <f t="array" aca="1" ref="H6" ca="1">_FV(B6,"P/E",TRUE)</f>
        <v>45.578099999999999</v>
      </c>
      <c r="I6" s="6">
        <f t="array" aca="1" ref="I6" ca="1">_FV(B6,"Beta")</f>
        <v>2.3662999999999998</v>
      </c>
      <c r="J6" s="3">
        <f t="array" aca="1" ref="J6" ca="1">_FV(B6,"52 week high",TRUE)</f>
        <v>745.61</v>
      </c>
      <c r="K6" s="3">
        <f t="array" aca="1" ref="K6" ca="1">_FV(B6,"52 week low",TRUE)</f>
        <v>320</v>
      </c>
      <c r="L6" s="3">
        <f t="array" aca="1" ref="L6" ca="1">_FV(B6,"High")</f>
        <v>535.35</v>
      </c>
      <c r="M6" s="3">
        <f t="array" aca="1" ref="M6" ca="1">_FV(B6,"Low")</f>
        <v>516.07000000000005</v>
      </c>
      <c r="N6" s="3">
        <f t="array" aca="1" ref="N6" ca="1">_FV(B6,"Open")</f>
        <v>518.20000000000005</v>
      </c>
      <c r="O6" s="3">
        <f t="array" aca="1" ref="O6" ca="1">_FV(B6,"Previous close",TRUE)</f>
        <v>481.68</v>
      </c>
      <c r="P6" s="7">
        <f t="array" aca="1" ref="P6" ca="1">_FV(B6,"Volume")</f>
        <v>1939411</v>
      </c>
      <c r="Q6" s="7">
        <f t="array" aca="1" ref="Q6" ca="1">_FV(B6,"Volume average",TRUE)</f>
        <v>4466495</v>
      </c>
      <c r="R6" s="8">
        <f t="array" aca="1" ref="R6" ca="1">_FV(B6,"Year incorporated",TRUE)</f>
        <v>2011</v>
      </c>
      <c r="S6" s="7">
        <f t="array" aca="1" ref="S6" ca="1">_FV(B6,"Employees")</f>
        <v>898</v>
      </c>
      <c r="T6" t="str">
        <f t="array" aca="1" ref="T6" ca="1">_FV(B6,"Industry")</f>
        <v>Software &amp; IT Services</v>
      </c>
      <c r="U6" s="7">
        <f t="array" aca="1" ref="U6" ca="1">_FV(B6,"Market cap",TRUE)</f>
        <v>176197170600</v>
      </c>
      <c r="V6" s="7">
        <f t="array" aca="1" ref="V6" ca="1">_FV(B6,"Shares outstanding",TRUE)</f>
        <v>335940000</v>
      </c>
    </row>
    <row r="7" spans="1:31">
      <c r="A7" t="s">
        <v>151</v>
      </c>
      <c r="B7" t="e" vm="6">
        <v>#VALUE!</v>
      </c>
      <c r="C7" s="2" cm="1">
        <f t="array" aca="1" ref="C7" ca="1">_FV(B7,"Last trade time",TRUE)</f>
        <v>46168.605513425784</v>
      </c>
      <c r="D7" t="str" cm="1">
        <f t="array" aca="1" ref="D7" ca="1">_FV(B7,"Currency")</f>
        <v>USD</v>
      </c>
      <c r="E7" s="3" cm="1">
        <f t="array" aca="1" ref="E7" ca="1">_FV(B7,"Price")</f>
        <v>12.42</v>
      </c>
      <c r="F7" s="4" cm="1">
        <f t="array" aca="1" ref="F7" ca="1">_FV(B7,"Change (%)",TRUE)</f>
        <v>8.9473999999999998E-2</v>
      </c>
      <c r="G7" s="5" cm="1">
        <f t="array" aca="1" ref="G7" ca="1">_FV(B7,"Change")</f>
        <v>1.02</v>
      </c>
      <c r="H7" s="6" cm="1">
        <f t="array" aca="1" ref="H7" ca="1">_FV(B7,"P/E",TRUE)</f>
        <v>0</v>
      </c>
      <c r="I7" s="6" cm="1">
        <f t="array" aca="1" ref="I7" ca="1">_FV(B7,"Beta")</f>
        <v>2.2115</v>
      </c>
      <c r="J7" s="3" cm="1">
        <f t="array" aca="1" ref="J7" ca="1">_FV(B7,"52 week high",TRUE)</f>
        <v>57.42</v>
      </c>
      <c r="K7" s="3" cm="1">
        <f t="array" aca="1" ref="K7" ca="1">_FV(B7,"52 week low",TRUE)</f>
        <v>8.85</v>
      </c>
      <c r="L7" s="3" cm="1">
        <f t="array" aca="1" ref="L7" ca="1">_FV(B7,"High")</f>
        <v>12.69</v>
      </c>
      <c r="M7" s="3" cm="1">
        <f t="array" aca="1" ref="M7" ca="1">_FV(B7,"Low")</f>
        <v>11.99</v>
      </c>
      <c r="N7" s="3" cm="1">
        <f t="array" aca="1" ref="N7" ca="1">_FV(B7,"Open")</f>
        <v>12.01</v>
      </c>
      <c r="O7" s="3" cm="1">
        <f t="array" aca="1" ref="O7" ca="1">_FV(B7,"Previous close",TRUE)</f>
        <v>11.4</v>
      </c>
      <c r="P7" s="7" cm="1">
        <f t="array" aca="1" ref="P7" ca="1">_FV(B7,"Volume")</f>
        <v>22102257</v>
      </c>
      <c r="Q7" s="7" cm="1">
        <f t="array" aca="1" ref="Q7" ca="1">_FV(B7,"Volume average",TRUE)</f>
        <v>34084732</v>
      </c>
      <c r="R7" s="8" cm="1">
        <f t="array" aca="1" ref="R7" ca="1">_FV(B7,"Year incorporated",TRUE)</f>
        <v>2022</v>
      </c>
      <c r="S7" s="7" cm="1">
        <f t="array" aca="1" ref="S7" ca="1">_FV(B7,"Employees")</f>
        <v>428</v>
      </c>
      <c r="T7" t="str" cm="1">
        <f t="array" aca="1" ref="T7" ca="1">_FV(B7,"Industry")</f>
        <v>Electrical Utilities &amp; IPPs</v>
      </c>
      <c r="U7" s="7" cm="1">
        <f t="array" aca="1" ref="U7" ca="1">_FV(B7,"Market cap",TRUE)</f>
        <v>4539276504</v>
      </c>
      <c r="V7" s="7" cm="1">
        <f t="array" aca="1" ref="V7" ca="1">_FV(B7,"Shares outstanding",TRUE)</f>
        <v>365481200</v>
      </c>
    </row>
    <row r="8" spans="1:31">
      <c r="A8" t="s">
        <v>28</v>
      </c>
      <c r="B8" t="e" vm="7">
        <v>#VALUE!</v>
      </c>
      <c r="C8" s="2">
        <f t="array" aca="1" ref="C8" ca="1">_FV(B8,"Last trade time",TRUE)</f>
        <v>46168.605518888282</v>
      </c>
      <c r="D8" t="str">
        <f t="array" aca="1" ref="D8" ca="1">_FV(B8,"Currency")</f>
        <v>USD</v>
      </c>
      <c r="E8" s="3">
        <f t="array" aca="1" ref="E8" ca="1">_FV(B8,"Price")</f>
        <v>1606.365</v>
      </c>
      <c r="F8" s="4">
        <f t="array" aca="1" ref="F8" ca="1">_FV(B8,"Change (%)",TRUE)</f>
        <v>8.6343000000000003E-2</v>
      </c>
      <c r="G8" s="5">
        <f t="array" aca="1" ref="G8" ca="1">_FV(B8,"Change")</f>
        <v>127.675</v>
      </c>
      <c r="H8" s="6">
        <f t="array" aca="1" ref="H8" ca="1">_FV(B8,"P/E",TRUE)</f>
        <v>56.790900000000001</v>
      </c>
      <c r="I8" s="6">
        <f t="array" aca="1" ref="I8" ca="1">_FV(B8,"Beta")</f>
        <v>2.734</v>
      </c>
      <c r="J8" s="3">
        <f t="array" aca="1" ref="J8" ca="1">_FV(B8,"52 week high",TRUE)</f>
        <v>1607.77</v>
      </c>
      <c r="K8" s="3">
        <f t="array" aca="1" ref="K8" ca="1">_FV(B8,"52 week low",TRUE)</f>
        <v>36.207000000000001</v>
      </c>
      <c r="L8" s="3">
        <f t="array" aca="1" ref="L8" ca="1">_FV(B8,"High")</f>
        <v>1607.77</v>
      </c>
      <c r="M8" s="3">
        <f t="array" aca="1" ref="M8" ca="1">_FV(B8,"Low")</f>
        <v>1520</v>
      </c>
      <c r="N8" s="3">
        <f t="array" aca="1" ref="N8" ca="1">_FV(B8,"Open")</f>
        <v>1535</v>
      </c>
      <c r="O8" s="3">
        <f t="array" aca="1" ref="O8" ca="1">_FV(B8,"Previous close",TRUE)</f>
        <v>1478.69</v>
      </c>
      <c r="P8" s="7">
        <f t="array" aca="1" ref="P8" ca="1">_FV(B8,"Volume")</f>
        <v>4360090</v>
      </c>
      <c r="Q8" s="7">
        <f t="array" aca="1" ref="Q8" ca="1">_FV(B8,"Volume average",TRUE)</f>
        <v>14574189</v>
      </c>
      <c r="R8" s="8">
        <f t="array" aca="1" ref="R8" ca="1">_FV(B8,"Year incorporated",TRUE)</f>
        <v>2024</v>
      </c>
      <c r="S8" s="7">
        <f t="array" aca="1" ref="S8" ca="1">_FV(B8,"Employees")</f>
        <v>11000</v>
      </c>
      <c r="T8" t="str">
        <f t="array" aca="1" ref="T8" ca="1">_FV(B8,"Industry")</f>
        <v>Computers, Phones &amp; Household Electronics</v>
      </c>
      <c r="U8" s="7">
        <f t="array" aca="1" ref="U8" ca="1">_FV(B8,"Market cap",TRUE)</f>
        <v>237886271577</v>
      </c>
      <c r="V8" s="7">
        <f t="array" aca="1" ref="V8" ca="1">_FV(B8,"Shares outstanding",TRUE)</f>
        <v>148089800</v>
      </c>
    </row>
    <row r="9" spans="1:31">
      <c r="A9" t="s">
        <v>306</v>
      </c>
      <c r="B9" t="e" vm="8">
        <v>#VALUE!</v>
      </c>
      <c r="C9" s="2" cm="1">
        <f t="array" aca="1" ref="C9" ca="1">_FV(B9,"Last trade time",TRUE)</f>
        <v>46168.605487950779</v>
      </c>
      <c r="D9" t="str" cm="1">
        <f t="array" aca="1" ref="D9" ca="1">_FV(B9,"Currency")</f>
        <v>USD</v>
      </c>
      <c r="E9" s="3" cm="1">
        <f t="array" aca="1" ref="E9" ca="1">_FV(B9,"Price")</f>
        <v>387.43200000000002</v>
      </c>
      <c r="F9" s="4" cm="1">
        <f t="array" aca="1" ref="F9" ca="1">_FV(B9,"Change (%)",TRUE)</f>
        <v>8.0883999999999998E-2</v>
      </c>
      <c r="G9" s="5" cm="1">
        <f t="array" aca="1" ref="G9" ca="1">_FV(B9,"Change")</f>
        <v>28.992000000000001</v>
      </c>
      <c r="H9" s="6" cm="1">
        <f t="array" aca="1" ref="H9" ca="1">_FV(B9,"P/E",TRUE)</f>
        <v>71.705500000000001</v>
      </c>
      <c r="I9" s="6" cm="1">
        <f t="array" aca="1" ref="I9" ca="1">_FV(B9,"Beta")</f>
        <v>1.7878000000000001</v>
      </c>
      <c r="J9" s="3" cm="1">
        <f t="array" aca="1" ref="J9" ca="1">_FV(B9,"52 week high",TRUE)</f>
        <v>422.11</v>
      </c>
      <c r="K9" s="3" cm="1">
        <f t="array" aca="1" ref="K9" ca="1">_FV(B9,"52 week low",TRUE)</f>
        <v>77.02</v>
      </c>
      <c r="L9" s="3" cm="1">
        <f t="array" aca="1" ref="L9" ca="1">_FV(B9,"High")</f>
        <v>388.22989999999999</v>
      </c>
      <c r="M9" s="3" cm="1">
        <f t="array" aca="1" ref="M9" ca="1">_FV(B9,"Low")</f>
        <v>367.62</v>
      </c>
      <c r="N9" s="3" cm="1">
        <f t="array" aca="1" ref="N9" ca="1">_FV(B9,"Open")</f>
        <v>373.44</v>
      </c>
      <c r="O9" s="3" cm="1">
        <f t="array" aca="1" ref="O9" ca="1">_FV(B9,"Previous close",TRUE)</f>
        <v>358.44</v>
      </c>
      <c r="P9" s="7" cm="1">
        <f t="array" aca="1" ref="P9" ca="1">_FV(B9,"Volume")</f>
        <v>1113068</v>
      </c>
      <c r="Q9" s="7" cm="1">
        <f t="array" aca="1" ref="Q9" ca="1">_FV(B9,"Volume average",TRUE)</f>
        <v>4045460</v>
      </c>
      <c r="R9" s="8" cm="1">
        <f t="array" aca="1" ref="R9" ca="1">_FV(B9,"Year incorporated",TRUE)</f>
        <v>1960</v>
      </c>
      <c r="S9" s="7" cm="1">
        <f t="array" aca="1" ref="S9" ca="1">_FV(B9,"Employees")</f>
        <v>6600</v>
      </c>
      <c r="T9" t="str" cm="1">
        <f t="array" aca="1" ref="T9" ca="1">_FV(B9,"Industry")</f>
        <v>Semiconductors &amp; Semiconductor Equipment</v>
      </c>
      <c r="U9" s="7" cm="1">
        <f t="array" aca="1" ref="U9" ca="1">_FV(B9,"Market cap",TRUE)</f>
        <v>60649457630</v>
      </c>
      <c r="V9" s="7" cm="1">
        <f t="array" aca="1" ref="V9" ca="1">_FV(B9,"Shares outstanding",TRUE)</f>
        <v>156542200</v>
      </c>
    </row>
    <row r="10" spans="1:31">
      <c r="A10" t="s">
        <v>39</v>
      </c>
      <c r="B10" t="e" vm="9">
        <v>#VALUE!</v>
      </c>
      <c r="C10" s="2">
        <f t="array" aca="1" ref="C10" ca="1">_FV(B10,"Last trade time",TRUE)</f>
        <v>46168.605498714845</v>
      </c>
      <c r="D10" t="str">
        <f t="array" aca="1" ref="D10" ca="1">_FV(B10,"Currency")</f>
        <v>USD</v>
      </c>
      <c r="E10" s="3">
        <f t="array" aca="1" ref="E10" ca="1">_FV(B10,"Price")</f>
        <v>94.36</v>
      </c>
      <c r="F10" s="4">
        <f t="array" aca="1" ref="F10" ca="1">_FV(B10,"Change (%)",TRUE)</f>
        <v>7.7784000000000006E-2</v>
      </c>
      <c r="G10" s="5">
        <f t="array" aca="1" ref="G10" ca="1">_FV(B10,"Change")</f>
        <v>6.81</v>
      </c>
      <c r="H10" s="6">
        <f t="array" aca="1" ref="H10" ca="1">_FV(B10,"P/E",TRUE)</f>
        <v>0</v>
      </c>
      <c r="I10" s="6">
        <f t="array" aca="1" ref="I10" ca="1">_FV(B10,"Beta")</f>
        <v>2.2088999999999999</v>
      </c>
      <c r="J10" s="3">
        <f t="array" aca="1" ref="J10" ca="1">_FV(B10,"52 week high",TRUE)</f>
        <v>96.69</v>
      </c>
      <c r="K10" s="3">
        <f t="array" aca="1" ref="K10" ca="1">_FV(B10,"52 week low",TRUE)</f>
        <v>48.3</v>
      </c>
      <c r="L10" s="3">
        <f t="array" aca="1" ref="L10" ca="1">_FV(B10,"High")</f>
        <v>94.65</v>
      </c>
      <c r="M10" s="3">
        <f t="array" aca="1" ref="M10" ca="1">_FV(B10,"Low")</f>
        <v>89.45</v>
      </c>
      <c r="N10" s="3">
        <f t="array" aca="1" ref="N10" ca="1">_FV(B10,"Open")</f>
        <v>92.04</v>
      </c>
      <c r="O10" s="3">
        <f t="array" aca="1" ref="O10" ca="1">_FV(B10,"Previous close",TRUE)</f>
        <v>87.55</v>
      </c>
      <c r="P10" s="7">
        <f t="array" aca="1" ref="P10" ca="1">_FV(B10,"Volume")</f>
        <v>587859</v>
      </c>
      <c r="Q10" s="7">
        <f t="array" aca="1" ref="Q10" ca="1">_FV(B10,"Volume average",TRUE)</f>
        <v>860616</v>
      </c>
      <c r="R10" s="8">
        <f t="array" aca="1" ref="R10" ca="1">_FV(B10,"Year incorporated",TRUE)</f>
        <v>2004</v>
      </c>
      <c r="S10" s="7">
        <f t="array" aca="1" ref="S10" ca="1">_FV(B10,"Employees")</f>
        <v>959</v>
      </c>
      <c r="T10" t="str">
        <f t="array" aca="1" ref="T10" ca="1">_FV(B10,"Industry")</f>
        <v>Semiconductors &amp; Semiconductor Equipment</v>
      </c>
      <c r="U10" s="7">
        <f t="array" aca="1" ref="U10" ca="1">_FV(B10,"Market cap",TRUE)</f>
        <v>4138769252</v>
      </c>
      <c r="V10" s="7">
        <f t="array" aca="1" ref="V10" ca="1">_FV(B10,"Shares outstanding",TRUE)</f>
        <v>43861480</v>
      </c>
    </row>
    <row r="11" spans="1:31">
      <c r="A11" t="s">
        <v>48</v>
      </c>
      <c r="B11" t="e" vm="10">
        <v>#VALUE!</v>
      </c>
      <c r="C11" s="2">
        <f t="array" aca="1" ref="C11" ca="1">_FV(B11,"Last trade time",TRUE)</f>
        <v>46168.605515751566</v>
      </c>
      <c r="D11" t="str">
        <f t="array" aca="1" ref="D11" ca="1">_FV(B11,"Currency")</f>
        <v>USD</v>
      </c>
      <c r="E11" s="3">
        <f t="array" aca="1" ref="E11" ca="1">_FV(B11,"Price")</f>
        <v>208.01</v>
      </c>
      <c r="F11" s="4">
        <f t="array" aca="1" ref="F11" ca="1">_FV(B11,"Change (%)",TRUE)</f>
        <v>5.9492000000000003E-2</v>
      </c>
      <c r="G11" s="5">
        <f t="array" aca="1" ref="G11" ca="1">_FV(B11,"Change")</f>
        <v>11.68</v>
      </c>
      <c r="H11" s="6">
        <f t="array" aca="1" ref="H11" ca="1">_FV(B11,"P/E",TRUE)</f>
        <v>67.753500000000003</v>
      </c>
      <c r="I11" s="6">
        <f t="array" aca="1" ref="I11" ca="1">_FV(B11,"Beta")</f>
        <v>2.2723</v>
      </c>
      <c r="J11" s="3">
        <f t="array" aca="1" ref="J11" ca="1">_FV(B11,"52 week high",TRUE)</f>
        <v>217.45</v>
      </c>
      <c r="K11" s="3">
        <f t="array" aca="1" ref="K11" ca="1">_FV(B11,"52 week low",TRUE)</f>
        <v>58.61</v>
      </c>
      <c r="L11" s="3">
        <f t="array" aca="1" ref="L11" ca="1">_FV(B11,"High")</f>
        <v>217.45</v>
      </c>
      <c r="M11" s="3">
        <f t="array" aca="1" ref="M11" ca="1">_FV(B11,"Low")</f>
        <v>206.9</v>
      </c>
      <c r="N11" s="3">
        <f t="array" aca="1" ref="N11" ca="1">_FV(B11,"Open")</f>
        <v>212.27</v>
      </c>
      <c r="O11" s="3">
        <f t="array" aca="1" ref="O11" ca="1">_FV(B11,"Previous close",TRUE)</f>
        <v>196.33</v>
      </c>
      <c r="P11" s="7">
        <f t="array" aca="1" ref="P11" ca="1">_FV(B11,"Volume")</f>
        <v>14634162</v>
      </c>
      <c r="Q11" s="7">
        <f t="array" aca="1" ref="Q11" ca="1">_FV(B11,"Volume average",TRUE)</f>
        <v>25867876</v>
      </c>
      <c r="R11" s="8">
        <f t="array" aca="1" ref="R11" ca="1">_FV(B11,"Year incorporated",TRUE)</f>
        <v>2020</v>
      </c>
      <c r="S11" s="7">
        <f t="array" aca="1" ref="S11" ca="1">_FV(B11,"Employees")</f>
        <v>7480</v>
      </c>
      <c r="T11" t="str">
        <f t="array" aca="1" ref="T11" ca="1">_FV(B11,"Industry")</f>
        <v>Semiconductors &amp; Semiconductor Equipment</v>
      </c>
      <c r="U11" s="7">
        <f t="array" aca="1" ref="U11" ca="1">_FV(B11,"Market cap",TRUE)</f>
        <v>182123821132</v>
      </c>
      <c r="V11" s="7">
        <f t="array" aca="1" ref="V11" ca="1">_FV(B11,"Shares outstanding",TRUE)</f>
        <v>875553200</v>
      </c>
    </row>
    <row r="12" spans="1:31">
      <c r="A12" t="s">
        <v>155</v>
      </c>
      <c r="B12" t="e" vm="11">
        <v>#VALUE!</v>
      </c>
      <c r="C12" s="2" cm="1">
        <f t="array" aca="1" ref="C12" ca="1">_FV(B12,"Last trade time",TRUE)</f>
        <v>46168.605504617968</v>
      </c>
      <c r="D12" t="str" cm="1">
        <f t="array" aca="1" ref="D12" ca="1">_FV(B12,"Currency")</f>
        <v>USD</v>
      </c>
      <c r="E12" s="3" cm="1">
        <f t="array" aca="1" ref="E12" ca="1">_FV(B12,"Price")</f>
        <v>568.82500000000005</v>
      </c>
      <c r="F12" s="4" cm="1">
        <f t="array" aca="1" ref="F12" ca="1">_FV(B12,"Change (%)",TRUE)</f>
        <v>5.8613999999999999E-2</v>
      </c>
      <c r="G12" s="5" cm="1">
        <f t="array" aca="1" ref="G12" ca="1">_FV(B12,"Change")</f>
        <v>31.495000000000001</v>
      </c>
      <c r="H12" s="6" t="e" cm="1" vm="12">
        <f t="array" ref="H12">_FV(B12,"P/E",TRUE)</f>
        <v>#VALUE!</v>
      </c>
      <c r="I12" s="6" cm="1">
        <f t="array" aca="1" ref="I12" ca="1">_FV(B12,"Beta")</f>
        <v>1.6780999999999999</v>
      </c>
      <c r="J12" s="3" cm="1">
        <f t="array" aca="1" ref="J12" ca="1">_FV(B12,"52 week high",TRUE)</f>
        <v>568.85</v>
      </c>
      <c r="K12" s="3" cm="1">
        <f t="array" aca="1" ref="K12" ca="1">_FV(B12,"52 week low",TRUE)</f>
        <v>201.11500000000001</v>
      </c>
      <c r="L12" s="3" cm="1">
        <f t="array" aca="1" ref="L12" ca="1">_FV(B12,"High")</f>
        <v>568.85</v>
      </c>
      <c r="M12" s="3" cm="1">
        <f t="array" aca="1" ref="M12" ca="1">_FV(B12,"Low")</f>
        <v>555.41</v>
      </c>
      <c r="N12" s="3" cm="1">
        <f t="array" aca="1" ref="N12" ca="1">_FV(B12,"Open")</f>
        <v>557.4</v>
      </c>
      <c r="O12" s="3" cm="1">
        <f t="array" aca="1" ref="O12" ca="1">_FV(B12,"Previous close",TRUE)</f>
        <v>537.33000000000004</v>
      </c>
      <c r="P12" s="7" cm="1">
        <f t="array" aca="1" ref="P12" ca="1">_FV(B12,"Volume")</f>
        <v>2572614</v>
      </c>
      <c r="Q12" s="7" cm="1">
        <f t="array" aca="1" ref="Q12" ca="1">_FV(B12,"Volume average",TRUE)</f>
        <v>7956742</v>
      </c>
      <c r="R12" s="8" t="e" cm="1" vm="13">
        <f t="array" ref="R12">_FV(B12,"Year incorporated",TRUE)</f>
        <v>#VALUE!</v>
      </c>
      <c r="S12" s="7" t="e" cm="1" vm="14">
        <f t="array" ref="S12">_FV(B12,"Employees")</f>
        <v>#VALUE!</v>
      </c>
      <c r="T12" t="e" cm="1" vm="15">
        <f t="array" ref="T12">_FV(B12,"Industry")</f>
        <v>#VALUE!</v>
      </c>
      <c r="U12" s="7" cm="1">
        <f t="array" aca="1" ref="U12" ca="1">_FV(B12,"Market cap",TRUE)</f>
        <v>29566458901.66</v>
      </c>
      <c r="V12" s="7" t="e" cm="1" vm="16">
        <f t="array" ref="V12">_FV(B12,"Shares outstanding",TRUE)</f>
        <v>#VALUE!</v>
      </c>
    </row>
    <row r="13" spans="1:31">
      <c r="A13" t="s">
        <v>63</v>
      </c>
      <c r="B13" t="e" vm="17">
        <v>#VALUE!</v>
      </c>
      <c r="C13" s="2">
        <f t="array" aca="1" ref="C13" ca="1">_FV(B13,"Last trade time",TRUE)</f>
        <v>46168.605546075778</v>
      </c>
      <c r="D13" t="str">
        <f t="array" aca="1" ref="D13" ca="1">_FV(B13,"Currency")</f>
        <v>USD</v>
      </c>
      <c r="E13" s="3">
        <f t="array" aca="1" ref="E13" ca="1">_FV(B13,"Price")</f>
        <v>494.07499999999999</v>
      </c>
      <c r="F13" s="4">
        <f t="array" aca="1" ref="F13" ca="1">_FV(B13,"Change (%)",TRUE)</f>
        <v>5.6821999999999998E-2</v>
      </c>
      <c r="G13" s="5">
        <f t="array" aca="1" ref="G13" ca="1">_FV(B13,"Change")</f>
        <v>26.565000000000001</v>
      </c>
      <c r="H13" s="6">
        <f t="array" aca="1" ref="H13" ca="1">_FV(B13,"P/E",TRUE)</f>
        <v>164.69720000000001</v>
      </c>
      <c r="I13" s="6">
        <f t="array" aca="1" ref="I13" ca="1">_FV(B13,"Beta")</f>
        <v>2.4419</v>
      </c>
      <c r="J13" s="3">
        <f t="array" aca="1" ref="J13" ca="1">_FV(B13,"52 week high",TRUE)</f>
        <v>495.41989999999998</v>
      </c>
      <c r="K13" s="3">
        <f t="array" aca="1" ref="K13" ca="1">_FV(B13,"52 week low",TRUE)</f>
        <v>108.61539999999999</v>
      </c>
      <c r="L13" s="3">
        <f t="array" aca="1" ref="L13" ca="1">_FV(B13,"High")</f>
        <v>495.41989999999998</v>
      </c>
      <c r="M13" s="3">
        <f t="array" aca="1" ref="M13" ca="1">_FV(B13,"Low")</f>
        <v>480.23</v>
      </c>
      <c r="N13" s="3">
        <f t="array" aca="1" ref="N13" ca="1">_FV(B13,"Open")</f>
        <v>485</v>
      </c>
      <c r="O13" s="3">
        <f t="array" aca="1" ref="O13" ca="1">_FV(B13,"Previous close",TRUE)</f>
        <v>467.51</v>
      </c>
      <c r="P13" s="7">
        <f t="array" aca="1" ref="P13" ca="1">_FV(B13,"Volume")</f>
        <v>11444409</v>
      </c>
      <c r="Q13" s="7">
        <f t="array" aca="1" ref="Q13" ca="1">_FV(B13,"Volume average",TRUE)</f>
        <v>43919238</v>
      </c>
      <c r="R13" s="8">
        <f t="array" aca="1" ref="R13" ca="1">_FV(B13,"Year incorporated",TRUE)</f>
        <v>1969</v>
      </c>
      <c r="S13" s="7">
        <f t="array" aca="1" ref="S13" ca="1">_FV(B13,"Employees")</f>
        <v>31000</v>
      </c>
      <c r="T13" t="str">
        <f t="array" aca="1" ref="T13" ca="1">_FV(B13,"Industry")</f>
        <v>Semiconductors &amp; Semiconductor Equipment</v>
      </c>
      <c r="U13" s="7">
        <f t="array" aca="1" ref="U13" ca="1">_FV(B13,"Market cap",TRUE)</f>
        <v>805639189075</v>
      </c>
      <c r="V13" s="7">
        <f t="array" aca="1" ref="V13" ca="1">_FV(B13,"Shares outstanding",TRUE)</f>
        <v>1630601000</v>
      </c>
    </row>
    <row r="14" spans="1:31">
      <c r="A14" t="s">
        <v>58</v>
      </c>
      <c r="B14" t="e" vm="18">
        <v>#VALUE!</v>
      </c>
      <c r="C14" s="2">
        <f t="array" aca="1" ref="C14" ca="1">_FV(B14,"Last trade time",TRUE)</f>
        <v>46168.605513263283</v>
      </c>
      <c r="D14" t="str">
        <f t="array" aca="1" ref="D14" ca="1">_FV(B14,"Currency")</f>
        <v>USD</v>
      </c>
      <c r="E14" s="3">
        <f t="array" aca="1" ref="E14" ca="1">_FV(B14,"Price")</f>
        <v>54.38</v>
      </c>
      <c r="F14" s="4">
        <f t="array" aca="1" ref="F14" ca="1">_FV(B14,"Change (%)",TRUE)</f>
        <v>5.6742999999999995E-2</v>
      </c>
      <c r="G14" s="5">
        <f t="array" aca="1" ref="G14" ca="1">_FV(B14,"Change")</f>
        <v>2.92</v>
      </c>
      <c r="H14" s="6">
        <f t="array" aca="1" ref="H14" ca="1">_FV(B14,"P/E",TRUE)</f>
        <v>23.231400000000001</v>
      </c>
      <c r="I14" s="6">
        <f t="array" aca="1" ref="I14" ca="1">_FV(B14,"Beta")</f>
        <v>1.5019</v>
      </c>
      <c r="J14" s="3">
        <f t="array" aca="1" ref="J14" ca="1">_FV(B14,"52 week high",TRUE)</f>
        <v>56</v>
      </c>
      <c r="K14" s="3">
        <f t="array" aca="1" ref="K14" ca="1">_FV(B14,"52 week low",TRUE)</f>
        <v>16.59</v>
      </c>
      <c r="L14" s="3">
        <f t="array" aca="1" ref="L14" ca="1">_FV(B14,"High")</f>
        <v>54.76</v>
      </c>
      <c r="M14" s="3">
        <f t="array" aca="1" ref="M14" ca="1">_FV(B14,"Low")</f>
        <v>51.814999999999998</v>
      </c>
      <c r="N14" s="3">
        <f t="array" aca="1" ref="N14" ca="1">_FV(B14,"Open")</f>
        <v>53.67</v>
      </c>
      <c r="O14" s="3">
        <f t="array" aca="1" ref="O14" ca="1">_FV(B14,"Previous close",TRUE)</f>
        <v>51.46</v>
      </c>
      <c r="P14" s="7">
        <f t="array" aca="1" ref="P14" ca="1">_FV(B14,"Volume")</f>
        <v>247938</v>
      </c>
      <c r="Q14" s="7">
        <f t="array" aca="1" ref="Q14" ca="1">_FV(B14,"Volume average",TRUE)</f>
        <v>796190</v>
      </c>
      <c r="R14" s="8">
        <f t="array" aca="1" ref="R14" ca="1">_FV(B14,"Year incorporated",TRUE)</f>
        <v>1969</v>
      </c>
      <c r="S14" s="7">
        <f t="array" aca="1" ref="S14" ca="1">_FV(B14,"Employees")</f>
        <v>1908</v>
      </c>
      <c r="T14" t="str">
        <f t="array" aca="1" ref="T14" ca="1">_FV(B14,"Industry")</f>
        <v>Semiconductors &amp; Semiconductor Equipment</v>
      </c>
      <c r="U14" s="7">
        <f t="array" aca="1" ref="U14" ca="1">_FV(B14,"Market cap",TRUE)</f>
        <v>3206592288</v>
      </c>
      <c r="V14" s="7">
        <f t="array" aca="1" ref="V14" ca="1">_FV(B14,"Shares outstanding",TRUE)</f>
        <v>58966390</v>
      </c>
    </row>
    <row r="15" spans="1:31">
      <c r="A15" t="s">
        <v>303</v>
      </c>
      <c r="B15" t="e" vm="19">
        <v>#VALUE!</v>
      </c>
      <c r="C15" s="2" cm="1">
        <f t="array" aca="1" ref="C15" ca="1">_FV(B15,"Last trade time",TRUE)</f>
        <v>46168.6054773375</v>
      </c>
      <c r="D15" t="str" cm="1">
        <f t="array" aca="1" ref="D15" ca="1">_FV(B15,"Currency")</f>
        <v>USD</v>
      </c>
      <c r="E15" s="3" cm="1">
        <f t="array" aca="1" ref="E15" ca="1">_FV(B15,"Price")</f>
        <v>1986.8</v>
      </c>
      <c r="F15" s="4" cm="1">
        <f t="array" aca="1" ref="F15" ca="1">_FV(B15,"Change (%)",TRUE)</f>
        <v>5.2118999999999999E-2</v>
      </c>
      <c r="G15" s="5" cm="1">
        <f t="array" aca="1" ref="G15" ca="1">_FV(B15,"Change")</f>
        <v>98.42</v>
      </c>
      <c r="H15" s="6" cm="1">
        <f t="array" aca="1" ref="H15" ca="1">_FV(B15,"P/E",TRUE)</f>
        <v>56.251100000000001</v>
      </c>
      <c r="I15" s="6" cm="1">
        <f t="array" aca="1" ref="I15" ca="1">_FV(B15,"Beta")</f>
        <v>1.5014000000000001</v>
      </c>
      <c r="J15" s="3" cm="1">
        <f t="array" aca="1" ref="J15" ca="1">_FV(B15,"52 week high",TRUE)</f>
        <v>1987.3</v>
      </c>
      <c r="K15" s="3" cm="1">
        <f t="array" aca="1" ref="K15" ca="1">_FV(B15,"52 week low",TRUE)</f>
        <v>740.44</v>
      </c>
      <c r="L15" s="3" cm="1">
        <f t="array" aca="1" ref="L15" ca="1">_FV(B15,"High")</f>
        <v>1987.3</v>
      </c>
      <c r="M15" s="3" cm="1">
        <f t="array" aca="1" ref="M15" ca="1">_FV(B15,"Low")</f>
        <v>1914.325</v>
      </c>
      <c r="N15" s="3" cm="1">
        <f t="array" aca="1" ref="N15" ca="1">_FV(B15,"Open")</f>
        <v>1944.05</v>
      </c>
      <c r="O15" s="3" cm="1">
        <f t="array" aca="1" ref="O15" ca="1">_FV(B15,"Previous close",TRUE)</f>
        <v>1888.38</v>
      </c>
      <c r="P15" s="7" cm="1">
        <f t="array" aca="1" ref="P15" ca="1">_FV(B15,"Volume")</f>
        <v>182213</v>
      </c>
      <c r="Q15" s="7" cm="1">
        <f t="array" aca="1" ref="Q15" ca="1">_FV(B15,"Volume average",TRUE)</f>
        <v>1025049</v>
      </c>
      <c r="R15" s="8" cm="1">
        <f t="array" aca="1" ref="R15" ca="1">_FV(B15,"Year incorporated",TRUE)</f>
        <v>1975</v>
      </c>
      <c r="S15" s="7" cm="1">
        <f t="array" aca="1" ref="S15" ca="1">_FV(B15,"Employees")</f>
        <v>15000</v>
      </c>
      <c r="T15" t="str" cm="1">
        <f t="array" aca="1" ref="T15" ca="1">_FV(B15,"Industry")</f>
        <v>Semiconductors &amp; Semiconductor Equipment</v>
      </c>
      <c r="U15" s="7" cm="1">
        <f t="array" aca="1" ref="U15" ca="1">_FV(B15,"Market cap",TRUE)</f>
        <v>259530717000</v>
      </c>
      <c r="V15" s="7" cm="1">
        <f t="array" aca="1" ref="V15" ca="1">_FV(B15,"Shares outstanding",TRUE)</f>
        <v>130627500</v>
      </c>
    </row>
    <row r="16" spans="1:31">
      <c r="A16" t="s">
        <v>150</v>
      </c>
      <c r="B16" t="e" vm="20">
        <v>#VALUE!</v>
      </c>
      <c r="C16" s="2" cm="1">
        <f t="array" aca="1" ref="C16" ca="1">_FV(B16,"Last trade time",TRUE)</f>
        <v>46168.60555663125</v>
      </c>
      <c r="D16" t="str" cm="1">
        <f t="array" aca="1" ref="D16" ca="1">_FV(B16,"Currency")</f>
        <v>USD</v>
      </c>
      <c r="E16" s="3" cm="1">
        <f t="array" aca="1" ref="E16" ca="1">_FV(B16,"Price")</f>
        <v>309.66000000000003</v>
      </c>
      <c r="F16" s="4" cm="1">
        <f t="array" aca="1" ref="F16" ca="1">_FV(B16,"Change (%)",TRUE)</f>
        <v>5.3015E-2</v>
      </c>
      <c r="G16" s="5" cm="1">
        <f t="array" aca="1" ref="G16" ca="1">_FV(B16,"Change")</f>
        <v>15.59</v>
      </c>
      <c r="H16" s="6" cm="1">
        <f t="array" aca="1" ref="H16" ca="1">_FV(B16,"P/E",TRUE)</f>
        <v>26.902200000000001</v>
      </c>
      <c r="I16" s="6" cm="1">
        <f t="array" aca="1" ref="I16" ca="1">_FV(B16,"Beta")</f>
        <v>1.1224000000000001</v>
      </c>
      <c r="J16" s="3" cm="1">
        <f t="array" aca="1" ref="J16" ca="1">_FV(B16,"52 week high",TRUE)</f>
        <v>412.7</v>
      </c>
      <c r="K16" s="3" cm="1">
        <f t="array" aca="1" ref="K16" ca="1">_FV(B16,"52 week low",TRUE)</f>
        <v>243.3</v>
      </c>
      <c r="L16" s="3" cm="1">
        <f t="array" aca="1" ref="L16" ca="1">_FV(B16,"High")</f>
        <v>310.45</v>
      </c>
      <c r="M16" s="3" cm="1">
        <f t="array" aca="1" ref="M16" ca="1">_FV(B16,"Low")</f>
        <v>299.08010000000002</v>
      </c>
      <c r="N16" s="3" cm="1">
        <f t="array" aca="1" ref="N16" ca="1">_FV(B16,"Open")</f>
        <v>299.99</v>
      </c>
      <c r="O16" s="3" cm="1">
        <f t="array" aca="1" ref="O16" ca="1">_FV(B16,"Previous close",TRUE)</f>
        <v>294.07</v>
      </c>
      <c r="P16" s="7" cm="1">
        <f t="array" aca="1" ref="P16" ca="1">_FV(B16,"Volume")</f>
        <v>1020551</v>
      </c>
      <c r="Q16" s="7" cm="1">
        <f t="array" aca="1" ref="Q16" ca="1">_FV(B16,"Volume average",TRUE)</f>
        <v>3273799</v>
      </c>
      <c r="R16" s="8" cm="1">
        <f t="array" aca="1" ref="R16" ca="1">_FV(B16,"Year incorporated",TRUE)</f>
        <v>2021</v>
      </c>
      <c r="S16" s="7" cm="1">
        <f t="array" aca="1" ref="S16" ca="1">_FV(B16,"Employees")</f>
        <v>15291</v>
      </c>
      <c r="T16" t="str" cm="1">
        <f t="array" aca="1" ref="T16" ca="1">_FV(B16,"Industry")</f>
        <v>Electrical Utilities &amp; IPPs</v>
      </c>
      <c r="U16" s="7" cm="1">
        <f t="array" aca="1" ref="U16" ca="1">_FV(B16,"Market cap",TRUE)</f>
        <v>111846126366</v>
      </c>
      <c r="V16" s="7" cm="1">
        <f t="array" aca="1" ref="V16" ca="1">_FV(B16,"Shares outstanding",TRUE)</f>
        <v>361190100</v>
      </c>
    </row>
    <row r="17" spans="1:22">
      <c r="A17" t="s">
        <v>54</v>
      </c>
      <c r="B17" t="e" vm="21">
        <v>#VALUE!</v>
      </c>
      <c r="C17" s="2">
        <f t="array" aca="1" ref="C17" ca="1">_FV(B17,"Last trade time",TRUE)</f>
        <v>46168.60553048594</v>
      </c>
      <c r="D17" t="str">
        <f t="array" aca="1" ref="D17" ca="1">_FV(B17,"Currency")</f>
        <v>USD</v>
      </c>
      <c r="E17" s="3">
        <f t="array" aca="1" ref="E17" ca="1">_FV(B17,"Price")</f>
        <v>434.33</v>
      </c>
      <c r="F17" s="4">
        <f t="array" aca="1" ref="F17" ca="1">_FV(B17,"Change (%)",TRUE)</f>
        <v>4.8752000000000004E-2</v>
      </c>
      <c r="G17" s="5">
        <f t="array" aca="1" ref="G17" ca="1">_FV(B17,"Change")</f>
        <v>20.190000000000001</v>
      </c>
      <c r="H17" s="6">
        <f t="array" aca="1" ref="H17" ca="1">_FV(B17,"P/E",TRUE)</f>
        <v>84.7821</v>
      </c>
      <c r="I17" s="6">
        <f t="array" aca="1" ref="I17" ca="1">_FV(B17,"Beta")</f>
        <v>1.4200999999999999</v>
      </c>
      <c r="J17" s="3">
        <f t="array" aca="1" ref="J17" ca="1">_FV(B17,"52 week high",TRUE)</f>
        <v>442.36</v>
      </c>
      <c r="K17" s="3">
        <f t="array" aca="1" ref="K17" ca="1">_FV(B17,"52 week low",TRUE)</f>
        <v>231.13079999999999</v>
      </c>
      <c r="L17" s="3">
        <f t="array" aca="1" ref="L17" ca="1">_FV(B17,"High")</f>
        <v>434.87</v>
      </c>
      <c r="M17" s="3">
        <f t="array" aca="1" ref="M17" ca="1">_FV(B17,"Low")</f>
        <v>417</v>
      </c>
      <c r="N17" s="3">
        <f t="array" aca="1" ref="N17" ca="1">_FV(B17,"Open")</f>
        <v>418.69</v>
      </c>
      <c r="O17" s="3">
        <f t="array" aca="1" ref="O17" ca="1">_FV(B17,"Previous close",TRUE)</f>
        <v>414.14</v>
      </c>
      <c r="P17" s="7">
        <f t="array" aca="1" ref="P17" ca="1">_FV(B17,"Volume")</f>
        <v>5341488</v>
      </c>
      <c r="Q17" s="7">
        <f t="array" aca="1" ref="Q17" ca="1">_FV(B17,"Volume average",TRUE)</f>
        <v>18847496</v>
      </c>
      <c r="R17" s="8">
        <f t="array" aca="1" ref="R17" ca="1">_FV(B17,"Year incorporated",TRUE)</f>
        <v>2018</v>
      </c>
      <c r="S17" s="7">
        <f t="array" aca="1" ref="S17" ca="1">_FV(B17,"Employees")</f>
        <v>33000</v>
      </c>
      <c r="T17" t="str">
        <f t="array" aca="1" ref="T17" ca="1">_FV(B17,"Industry")</f>
        <v>Semiconductors &amp; Semiconductor Equipment</v>
      </c>
      <c r="U17" s="7">
        <f t="array" aca="1" ref="U17" ca="1">_FV(B17,"Market cap",TRUE)</f>
        <v>2056408352440</v>
      </c>
      <c r="V17" s="7">
        <f t="array" aca="1" ref="V17" ca="1">_FV(B17,"Shares outstanding",TRUE)</f>
        <v>4734668000</v>
      </c>
    </row>
    <row r="18" spans="1:22">
      <c r="A18" t="s">
        <v>154</v>
      </c>
      <c r="B18" t="e" vm="22">
        <v>#VALUE!</v>
      </c>
      <c r="C18" s="2" cm="1">
        <f t="array" aca="1" ref="C18" ca="1">_FV(B18,"Last trade time",TRUE)</f>
        <v>46168.60555719844</v>
      </c>
      <c r="D18" t="str" cm="1">
        <f t="array" aca="1" ref="D18" ca="1">_FV(B18,"Currency")</f>
        <v>USD</v>
      </c>
      <c r="E18" s="3" cm="1">
        <f t="array" aca="1" ref="E18" ca="1">_FV(B18,"Price")</f>
        <v>601.88</v>
      </c>
      <c r="F18" s="4" cm="1">
        <f t="array" aca="1" ref="F18" ca="1">_FV(B18,"Change (%)",TRUE)</f>
        <v>4.4349999999999994E-2</v>
      </c>
      <c r="G18" s="5" cm="1">
        <f t="array" aca="1" ref="G18" ca="1">_FV(B18,"Change")</f>
        <v>25.56</v>
      </c>
      <c r="H18" s="6" t="e" cm="1" vm="12">
        <f t="array" ref="H18">_FV(B18,"P/E",TRUE)</f>
        <v>#VALUE!</v>
      </c>
      <c r="I18" s="6" cm="1">
        <f t="array" aca="1" ref="I18" ca="1">_FV(B18,"Beta")</f>
        <v>1.5746</v>
      </c>
      <c r="J18" s="3" cm="1">
        <f t="array" aca="1" ref="J18" ca="1">_FV(B18,"52 week high",TRUE)</f>
        <v>601.90930000000003</v>
      </c>
      <c r="K18" s="3" cm="1">
        <f t="array" aca="1" ref="K18" ca="1">_FV(B18,"52 week low",TRUE)</f>
        <v>235.37</v>
      </c>
      <c r="L18" s="3" cm="1">
        <f t="array" aca="1" ref="L18" ca="1">_FV(B18,"High")</f>
        <v>601.90930000000003</v>
      </c>
      <c r="M18" s="3" cm="1">
        <f t="array" aca="1" ref="M18" ca="1">_FV(B18,"Low")</f>
        <v>589.1</v>
      </c>
      <c r="N18" s="3" cm="1">
        <f t="array" aca="1" ref="N18" ca="1">_FV(B18,"Open")</f>
        <v>591.92999999999995</v>
      </c>
      <c r="O18" s="3" cm="1">
        <f t="array" aca="1" ref="O18" ca="1">_FV(B18,"Previous close",TRUE)</f>
        <v>576.32000000000005</v>
      </c>
      <c r="P18" s="7" cm="1">
        <f t="array" aca="1" ref="P18" ca="1">_FV(B18,"Volume")</f>
        <v>2911624</v>
      </c>
      <c r="Q18" s="7" cm="1">
        <f t="array" aca="1" ref="Q18" ca="1">_FV(B18,"Volume average",TRUE)</f>
        <v>9705623</v>
      </c>
      <c r="R18" s="8" t="e" cm="1" vm="13">
        <f t="array" ref="R18">_FV(B18,"Year incorporated",TRUE)</f>
        <v>#VALUE!</v>
      </c>
      <c r="S18" s="7" t="e" cm="1" vm="14">
        <f t="array" ref="S18">_FV(B18,"Employees")</f>
        <v>#VALUE!</v>
      </c>
      <c r="T18" t="e" cm="1" vm="15">
        <f t="array" ref="T18">_FV(B18,"Industry")</f>
        <v>#VALUE!</v>
      </c>
      <c r="U18" s="7" cm="1">
        <f t="array" aca="1" ref="U18" ca="1">_FV(B18,"Market cap",TRUE)</f>
        <v>58790612118.779999</v>
      </c>
      <c r="V18" s="7" t="e" cm="1" vm="16">
        <f t="array" ref="V18">_FV(B18,"Shares outstanding",TRUE)</f>
        <v>#VALUE!</v>
      </c>
    </row>
    <row r="19" spans="1:22">
      <c r="A19" t="s">
        <v>149</v>
      </c>
      <c r="B19" t="e" vm="23">
        <v>#VALUE!</v>
      </c>
      <c r="C19" s="2" cm="1">
        <f t="array" aca="1" ref="C19" ca="1">_FV(B19,"Last trade time",TRUE)</f>
        <v>46168.605529803128</v>
      </c>
      <c r="D19" t="str" cm="1">
        <f t="array" aca="1" ref="D19" ca="1">_FV(B19,"Currency")</f>
        <v>USD</v>
      </c>
      <c r="E19" s="3" cm="1">
        <f t="array" aca="1" ref="E19" ca="1">_FV(B19,"Price")</f>
        <v>407.73989999999998</v>
      </c>
      <c r="F19" s="4" cm="1">
        <f t="array" aca="1" ref="F19" ca="1">_FV(B19,"Change (%)",TRUE)</f>
        <v>4.1880000000000001E-2</v>
      </c>
      <c r="G19" s="5" cm="1">
        <f t="array" aca="1" ref="G19" ca="1">_FV(B19,"Change")</f>
        <v>16.389900000000001</v>
      </c>
      <c r="H19" s="6" cm="1">
        <f t="array" aca="1" ref="H19" ca="1">_FV(B19,"P/E",TRUE)</f>
        <v>39.861899999999999</v>
      </c>
      <c r="I19" s="6" cm="1">
        <f t="array" aca="1" ref="I19" ca="1">_FV(B19,"Beta")</f>
        <v>1.2076</v>
      </c>
      <c r="J19" s="3" cm="1">
        <f t="array" aca="1" ref="J19" ca="1">_FV(B19,"52 week high",TRUE)</f>
        <v>435.43</v>
      </c>
      <c r="K19" s="3" cm="1">
        <f t="array" aca="1" ref="K19" ca="1">_FV(B19,"52 week low",TRUE)</f>
        <v>311.89999999999998</v>
      </c>
      <c r="L19" s="3" cm="1">
        <f t="array" aca="1" ref="L19" ca="1">_FV(B19,"High")</f>
        <v>408</v>
      </c>
      <c r="M19" s="3" cm="1">
        <f t="array" aca="1" ref="M19" ca="1">_FV(B19,"Low")</f>
        <v>398</v>
      </c>
      <c r="N19" s="3" cm="1">
        <f t="array" aca="1" ref="N19" ca="1">_FV(B19,"Open")</f>
        <v>400.2</v>
      </c>
      <c r="O19" s="3" cm="1">
        <f t="array" aca="1" ref="O19" ca="1">_FV(B19,"Previous close",TRUE)</f>
        <v>391.35</v>
      </c>
      <c r="P19" s="7" cm="1">
        <f t="array" aca="1" ref="P19" ca="1">_FV(B19,"Volume")</f>
        <v>590607</v>
      </c>
      <c r="Q19" s="7" cm="1">
        <f t="array" aca="1" ref="Q19" ca="1">_FV(B19,"Volume average",TRUE)</f>
        <v>2864922</v>
      </c>
      <c r="R19" s="8" cm="1">
        <f t="array" aca="1" ref="R19" ca="1">_FV(B19,"Year incorporated",TRUE)</f>
        <v>2012</v>
      </c>
      <c r="S19" s="7" cm="1">
        <f t="array" aca="1" ref="S19" ca="1">_FV(B19,"Employees")</f>
        <v>97000</v>
      </c>
      <c r="T19" t="str" cm="1">
        <f t="array" aca="1" ref="T19" ca="1">_FV(B19,"Industry")</f>
        <v>Machinery, Equipment &amp; Components</v>
      </c>
      <c r="U19" s="7" cm="1">
        <f t="array" aca="1" ref="U19" ca="1">_FV(B19,"Market cap",TRUE)</f>
        <v>158325403170</v>
      </c>
      <c r="V19" s="7" cm="1">
        <f t="array" aca="1" ref="V19" ca="1">_FV(B19,"Shares outstanding",TRUE)</f>
        <v>388300000</v>
      </c>
    </row>
    <row r="20" spans="1:22">
      <c r="A20" t="s">
        <v>148</v>
      </c>
      <c r="B20" t="e" vm="24">
        <v>#VALUE!</v>
      </c>
      <c r="C20" s="2" cm="1">
        <f t="array" aca="1" ref="C20" ca="1">_FV(B20,"Last trade time",TRUE)</f>
        <v>46168.605528506247</v>
      </c>
      <c r="D20" t="str" cm="1">
        <f t="array" aca="1" ref="D20" ca="1">_FV(B20,"Currency")</f>
        <v>USD</v>
      </c>
      <c r="E20" s="3" cm="1">
        <f t="array" aca="1" ref="E20" ca="1">_FV(B20,"Price")</f>
        <v>339.47</v>
      </c>
      <c r="F20" s="4" cm="1">
        <f t="array" aca="1" ref="F20" ca="1">_FV(B20,"Change (%)",TRUE)</f>
        <v>3.6676E-2</v>
      </c>
      <c r="G20" s="5" cm="1">
        <f t="array" aca="1" ref="G20" ca="1">_FV(B20,"Change")</f>
        <v>12.01</v>
      </c>
      <c r="H20" s="6" cm="1">
        <f t="array" aca="1" ref="H20" ca="1">_FV(B20,"P/E",TRUE)</f>
        <v>85.229699999999994</v>
      </c>
      <c r="I20" s="6" cm="1">
        <f t="array" aca="1" ref="I20" ca="1">_FV(B20,"Beta")</f>
        <v>2.0743999999999998</v>
      </c>
      <c r="J20" s="3" cm="1">
        <f t="array" aca="1" ref="J20" ca="1">_FV(B20,"52 week high",TRUE)</f>
        <v>379.935</v>
      </c>
      <c r="K20" s="3" cm="1">
        <f t="array" aca="1" ref="K20" ca="1">_FV(B20,"52 week low",TRUE)</f>
        <v>104.71</v>
      </c>
      <c r="L20" s="3" cm="1">
        <f t="array" aca="1" ref="L20" ca="1">_FV(B20,"High")</f>
        <v>343.31</v>
      </c>
      <c r="M20" s="3" cm="1">
        <f t="array" aca="1" ref="M20" ca="1">_FV(B20,"Low")</f>
        <v>336</v>
      </c>
      <c r="N20" s="3" cm="1">
        <f t="array" aca="1" ref="N20" ca="1">_FV(B20,"Open")</f>
        <v>341.06</v>
      </c>
      <c r="O20" s="3" cm="1">
        <f t="array" aca="1" ref="O20" ca="1">_FV(B20,"Previous close",TRUE)</f>
        <v>327.45999999999998</v>
      </c>
      <c r="P20" s="7" cm="1">
        <f t="array" aca="1" ref="P20" ca="1">_FV(B20,"Volume")</f>
        <v>1720809</v>
      </c>
      <c r="Q20" s="7" cm="1">
        <f t="array" aca="1" ref="Q20" ca="1">_FV(B20,"Volume average",TRUE)</f>
        <v>5938554</v>
      </c>
      <c r="R20" s="8" cm="1">
        <f t="array" aca="1" ref="R20" ca="1">_FV(B20,"Year incorporated",TRUE)</f>
        <v>2016</v>
      </c>
      <c r="S20" s="7" cm="1">
        <f t="array" aca="1" ref="S20" ca="1">_FV(B20,"Employees")</f>
        <v>34000</v>
      </c>
      <c r="T20" t="str" cm="1">
        <f t="array" aca="1" ref="T20" ca="1">_FV(B20,"Industry")</f>
        <v>Machinery, Equipment &amp; Components</v>
      </c>
      <c r="U20" s="7" cm="1">
        <f t="array" aca="1" ref="U20" ca="1">_FV(B20,"Market cap",TRUE)</f>
        <v>130393414336</v>
      </c>
      <c r="V20" s="7" cm="1">
        <f t="array" aca="1" ref="V20" ca="1">_FV(B20,"Shares outstanding",TRUE)</f>
        <v>384108800</v>
      </c>
    </row>
    <row r="21" spans="1:22">
      <c r="A21" t="s">
        <v>52</v>
      </c>
      <c r="B21" t="e" vm="25">
        <v>#VALUE!</v>
      </c>
      <c r="C21" s="2">
        <f t="array" aca="1" ref="C21" ca="1">_FV(B21,"Last trade time",TRUE)</f>
        <v>46168.605554710157</v>
      </c>
      <c r="D21" t="str">
        <f t="array" aca="1" ref="D21" ca="1">_FV(B21,"Currency")</f>
        <v>USD</v>
      </c>
      <c r="E21" s="3">
        <f t="array" aca="1" ref="E21" ca="1">_FV(B21,"Price")</f>
        <v>47.534999999999997</v>
      </c>
      <c r="F21" s="4">
        <f t="array" aca="1" ref="F21" ca="1">_FV(B21,"Change (%)",TRUE)</f>
        <v>2.9342E-2</v>
      </c>
      <c r="G21" s="5">
        <f t="array" aca="1" ref="G21" ca="1">_FV(B21,"Change")</f>
        <v>1.355</v>
      </c>
      <c r="H21" s="6">
        <f t="array" aca="1" ref="H21" ca="1">_FV(B21,"P/E",TRUE)</f>
        <v>0</v>
      </c>
      <c r="I21" s="6">
        <f t="array" aca="1" ref="I21" ca="1">_FV(B21,"Beta")</f>
        <v>3.1070000000000002</v>
      </c>
      <c r="J21" s="3">
        <f t="array" aca="1" ref="J21" ca="1">_FV(B21,"52 week high",TRUE)</f>
        <v>104.32</v>
      </c>
      <c r="K21" s="3">
        <f t="array" aca="1" ref="K21" ca="1">_FV(B21,"52 week low",TRUE)</f>
        <v>41.73</v>
      </c>
      <c r="L21" s="3">
        <f t="array" aca="1" ref="L21" ca="1">_FV(B21,"High")</f>
        <v>48.21</v>
      </c>
      <c r="M21" s="3">
        <f t="array" aca="1" ref="M21" ca="1">_FV(B21,"Low")</f>
        <v>46.220100000000002</v>
      </c>
      <c r="N21" s="3">
        <f t="array" aca="1" ref="N21" ca="1">_FV(B21,"Open")</f>
        <v>47.07</v>
      </c>
      <c r="O21" s="3">
        <f t="array" aca="1" ref="O21" ca="1">_FV(B21,"Previous close",TRUE)</f>
        <v>46.18</v>
      </c>
      <c r="P21" s="7">
        <f t="array" aca="1" ref="P21" ca="1">_FV(B21,"Volume")</f>
        <v>1696565</v>
      </c>
      <c r="Q21" s="7">
        <f t="array" aca="1" ref="Q21" ca="1">_FV(B21,"Volume average",TRUE)</f>
        <v>5813264</v>
      </c>
      <c r="R21" s="8">
        <f t="array" aca="1" ref="R21" ca="1">_FV(B21,"Year incorporated",TRUE)</f>
        <v>2025</v>
      </c>
      <c r="S21" s="7">
        <f t="array" aca="1" ref="S21" ca="1">_FV(B21,"Employees")</f>
        <v>3800</v>
      </c>
      <c r="T21" t="str">
        <f t="array" aca="1" ref="T21" ca="1">_FV(B21,"Industry")</f>
        <v>Biotechnology &amp; Medical Research</v>
      </c>
      <c r="U21" s="7">
        <f t="array" aca="1" ref="U21" ca="1">_FV(B21,"Market cap",TRUE)</f>
        <v>8535612767</v>
      </c>
      <c r="V21" s="7">
        <f t="array" aca="1" ref="V21" ca="1">_FV(B21,"Shares outstanding",TRUE)</f>
        <v>179564800</v>
      </c>
    </row>
    <row r="22" spans="1:22">
      <c r="A22" t="s">
        <v>141</v>
      </c>
      <c r="B22" t="e" vm="26">
        <v>#VALUE!</v>
      </c>
      <c r="C22" s="2" cm="1">
        <f t="array" aca="1" ref="C22" ca="1">_FV(B22,"Last trade time",TRUE)</f>
        <v>46168.605548251566</v>
      </c>
      <c r="D22" t="str" cm="1">
        <f t="array" aca="1" ref="D22" ca="1">_FV(B22,"Currency")</f>
        <v>USD</v>
      </c>
      <c r="E22" s="3" cm="1">
        <f t="array" aca="1" ref="E22" ca="1">_FV(B22,"Price")</f>
        <v>301.98989999999998</v>
      </c>
      <c r="F22" s="4" cm="1">
        <f t="array" aca="1" ref="F22" ca="1">_FV(B22,"Change (%)",TRUE)</f>
        <v>2.3035999999999997E-2</v>
      </c>
      <c r="G22" s="5" cm="1">
        <f t="array" aca="1" ref="G22" ca="1">_FV(B22,"Change")</f>
        <v>6.7999000000000001</v>
      </c>
      <c r="H22" s="6" cm="1">
        <f t="array" aca="1" ref="H22" ca="1">_FV(B22,"P/E",TRUE)</f>
        <v>34.606900000000003</v>
      </c>
      <c r="I22" s="6" cm="1">
        <f t="array" aca="1" ref="I22" ca="1">_FV(B22,"Beta")</f>
        <v>1.0609999999999999</v>
      </c>
      <c r="J22" s="3" cm="1">
        <f t="array" aca="1" ref="J22" ca="1">_FV(B22,"52 week high",TRUE)</f>
        <v>308.64010000000002</v>
      </c>
      <c r="K22" s="3" cm="1">
        <f t="array" aca="1" ref="K22" ca="1">_FV(B22,"52 week low",TRUE)</f>
        <v>106.38</v>
      </c>
      <c r="L22" s="3" cm="1">
        <f t="array" aca="1" ref="L22" ca="1">_FV(B22,"High")</f>
        <v>308.64010000000002</v>
      </c>
      <c r="M22" s="3" cm="1">
        <f t="array" aca="1" ref="M22" ca="1">_FV(B22,"Low")</f>
        <v>298.97000000000003</v>
      </c>
      <c r="N22" s="3" cm="1">
        <f t="array" aca="1" ref="N22" ca="1">_FV(B22,"Open")</f>
        <v>300.26</v>
      </c>
      <c r="O22" s="3" cm="1">
        <f t="array" aca="1" ref="O22" ca="1">_FV(B22,"Previous close",TRUE)</f>
        <v>295.19</v>
      </c>
      <c r="P22" s="7" cm="1">
        <f t="array" aca="1" ref="P22" ca="1">_FV(B22,"Volume")</f>
        <v>3893063</v>
      </c>
      <c r="Q22" s="7" cm="1">
        <f t="array" aca="1" ref="Q22" ca="1">_FV(B22,"Volume average",TRUE)</f>
        <v>6254903</v>
      </c>
      <c r="R22" s="8" cm="1">
        <f t="array" aca="1" ref="R22" ca="1">_FV(B22,"Year incorporated",TRUE)</f>
        <v>2013</v>
      </c>
      <c r="S22" s="7" cm="1">
        <f t="array" aca="1" ref="S22" ca="1">_FV(B22,"Employees")</f>
        <v>97000</v>
      </c>
      <c r="T22" t="str" cm="1">
        <f t="array" aca="1" ref="T22" ca="1">_FV(B22,"Industry")</f>
        <v>Computers, Phones &amp; Household Electronics</v>
      </c>
      <c r="U22" s="7" cm="1">
        <f t="array" aca="1" ref="U22" ca="1">_FV(B22,"Market cap",TRUE)</f>
        <v>196163065960</v>
      </c>
      <c r="V22" s="7" cm="1">
        <f t="array" aca="1" ref="V22" ca="1">_FV(B22,"Shares outstanding",TRUE)</f>
        <v>649568300</v>
      </c>
    </row>
    <row r="23" spans="1:22">
      <c r="A23" t="s">
        <v>14</v>
      </c>
      <c r="B23" t="e" vm="27">
        <v>#VALUE!</v>
      </c>
      <c r="C23" s="2">
        <f t="array" aca="1" ref="C23" ca="1">_FV(B23,"Last trade time",TRUE)</f>
        <v>46168.60548709453</v>
      </c>
      <c r="D23" t="str">
        <f t="array" aca="1" ref="D23" ca="1">_FV(B23,"Currency")</f>
        <v>USD</v>
      </c>
      <c r="E23" s="3">
        <f t="array" aca="1" ref="E23" ca="1">_FV(B23,"Price")</f>
        <v>98.267200000000003</v>
      </c>
      <c r="F23" s="4">
        <f t="array" aca="1" ref="F23" ca="1">_FV(B23,"Change (%)",TRUE)</f>
        <v>2.9190999999999998E-2</v>
      </c>
      <c r="G23" s="5">
        <f t="array" aca="1" ref="G23" ca="1">_FV(B23,"Change")</f>
        <v>2.7871999999999999</v>
      </c>
      <c r="H23" s="6">
        <f t="array" aca="1" ref="H23" ca="1">_FV(B23,"P/E",TRUE)</f>
        <v>88.417500000000004</v>
      </c>
      <c r="I23" s="6">
        <f t="array" aca="1" ref="I23" ca="1">_FV(B23,"Beta")</f>
        <v>2.64</v>
      </c>
      <c r="J23" s="3">
        <f t="array" aca="1" ref="J23" ca="1">_FV(B23,"52 week high",TRUE)</f>
        <v>114.77</v>
      </c>
      <c r="K23" s="3">
        <f t="array" aca="1" ref="K23" ca="1">_FV(B23,"52 week low",TRUE)</f>
        <v>34.2301</v>
      </c>
      <c r="L23" s="3">
        <f t="array" aca="1" ref="L23" ca="1">_FV(B23,"High")</f>
        <v>100.9</v>
      </c>
      <c r="M23" s="3">
        <f t="array" aca="1" ref="M23" ca="1">_FV(B23,"Low")</f>
        <v>94.4</v>
      </c>
      <c r="N23" s="3">
        <f t="array" aca="1" ref="N23" ca="1">_FV(B23,"Open")</f>
        <v>97.5</v>
      </c>
      <c r="O23" s="3">
        <f t="array" aca="1" ref="O23" ca="1">_FV(B23,"Previous close",TRUE)</f>
        <v>95.48</v>
      </c>
      <c r="P23" s="7">
        <f t="array" aca="1" ref="P23" ca="1">_FV(B23,"Volume")</f>
        <v>588605</v>
      </c>
      <c r="Q23" s="7">
        <f t="array" aca="1" ref="Q23" ca="1">_FV(B23,"Volume average",TRUE)</f>
        <v>2667802</v>
      </c>
      <c r="R23" s="8">
        <f t="array" aca="1" ref="R23" ca="1">_FV(B23,"Year incorporated",TRUE)</f>
        <v>1988</v>
      </c>
      <c r="S23" s="7">
        <f t="array" aca="1" ref="S23" ca="1">_FV(B23,"Employees")</f>
        <v>10020</v>
      </c>
      <c r="T23" t="str">
        <f t="array" aca="1" ref="T23" ca="1">_FV(B23,"Industry")</f>
        <v>Software &amp; IT Services</v>
      </c>
      <c r="U23" s="7">
        <f t="array" aca="1" ref="U23" ca="1">_FV(B23,"Market cap",TRUE)</f>
        <v>1490374656</v>
      </c>
      <c r="V23" s="7">
        <f t="array" aca="1" ref="V23" ca="1">_FV(B23,"Shares outstanding",TRUE)</f>
        <v>32655360</v>
      </c>
    </row>
    <row r="24" spans="1:22">
      <c r="A24" t="s">
        <v>137</v>
      </c>
      <c r="B24" t="e" vm="28">
        <v>#VALUE!</v>
      </c>
      <c r="C24" s="2" cm="1">
        <f t="array" aca="1" ref="C24" ca="1">_FV(B24,"Last trade time",TRUE)</f>
        <v>46168.605561990626</v>
      </c>
      <c r="D24" t="str" cm="1">
        <f t="array" aca="1" ref="D24" ca="1">_FV(B24,"Currency")</f>
        <v>USD</v>
      </c>
      <c r="E24" s="3" cm="1">
        <f t="array" aca="1" ref="E24" ca="1">_FV(B24,"Price")</f>
        <v>177.2</v>
      </c>
      <c r="F24" s="4" cm="1">
        <f t="array" aca="1" ref="F24" ca="1">_FV(B24,"Change (%)",TRUE)</f>
        <v>2.9035999999999999E-2</v>
      </c>
      <c r="G24" s="5" cm="1">
        <f t="array" aca="1" ref="G24" ca="1">_FV(B24,"Change")</f>
        <v>5</v>
      </c>
      <c r="H24" s="6" cm="1">
        <f t="array" aca="1" ref="H24" ca="1">_FV(B24,"P/E",TRUE)</f>
        <v>0</v>
      </c>
      <c r="I24" s="6" cm="1">
        <f t="array" aca="1" ref="I24" ca="1">_FV(B24,"Beta")</f>
        <v>1.1302000000000001</v>
      </c>
      <c r="J24" s="3" cm="1">
        <f t="array" aca="1" ref="J24" ca="1">_FV(B24,"52 week high",TRUE)</f>
        <v>280.67</v>
      </c>
      <c r="K24" s="3" cm="1">
        <f t="array" aca="1" ref="K24" ca="1">_FV(B24,"52 week low",TRUE)</f>
        <v>118.3</v>
      </c>
      <c r="L24" s="3" cm="1">
        <f t="array" aca="1" ref="L24" ca="1">_FV(B24,"High")</f>
        <v>181.27</v>
      </c>
      <c r="M24" s="3" cm="1">
        <f t="array" aca="1" ref="M24" ca="1">_FV(B24,"Low")</f>
        <v>174.55009999999999</v>
      </c>
      <c r="N24" s="3" cm="1">
        <f t="array" aca="1" ref="N24" ca="1">_FV(B24,"Open")</f>
        <v>177.19</v>
      </c>
      <c r="O24" s="3" cm="1">
        <f t="array" aca="1" ref="O24" ca="1">_FV(B24,"Previous close",TRUE)</f>
        <v>172.2</v>
      </c>
      <c r="P24" s="7" cm="1">
        <f t="array" aca="1" ref="P24" ca="1">_FV(B24,"Volume")</f>
        <v>3539960</v>
      </c>
      <c r="Q24" s="7" cm="1">
        <f t="array" aca="1" ref="Q24" ca="1">_FV(B24,"Volume average",TRUE)</f>
        <v>7091258</v>
      </c>
      <c r="R24" s="8" cm="1">
        <f t="array" aca="1" ref="R24" ca="1">_FV(B24,"Year incorporated",TRUE)</f>
        <v>2012</v>
      </c>
      <c r="S24" s="7" cm="1">
        <f t="array" aca="1" ref="S24" ca="1">_FV(B24,"Employees")</f>
        <v>9060</v>
      </c>
      <c r="T24" t="str" cm="1">
        <f t="array" aca="1" ref="T24" ca="1">_FV(B24,"Industry")</f>
        <v>Software &amp; IT Services</v>
      </c>
      <c r="U24" s="7" cm="1">
        <f t="array" aca="1" ref="U24" ca="1">_FV(B24,"Market cap",TRUE)</f>
        <v>61418033879</v>
      </c>
      <c r="V24" s="7" cm="1">
        <f t="array" aca="1" ref="V24" ca="1">_FV(B24,"Shares outstanding",TRUE)</f>
        <v>346602900</v>
      </c>
    </row>
    <row r="25" spans="1:22">
      <c r="A25" t="s">
        <v>11</v>
      </c>
      <c r="B25" t="e" vm="29">
        <v>#VALUE!</v>
      </c>
      <c r="C25" s="2">
        <f t="array" aca="1" ref="C25" ca="1">_FV(B25,"Last trade time",TRUE)</f>
        <v>46168.605549582811</v>
      </c>
      <c r="D25" t="str">
        <f t="array" aca="1" ref="D25" ca="1">_FV(B25,"Currency")</f>
        <v>USD</v>
      </c>
      <c r="E25" s="3">
        <f t="array" aca="1" ref="E25" ca="1">_FV(B25,"Price")</f>
        <v>11.175000000000001</v>
      </c>
      <c r="F25" s="4">
        <f t="array" aca="1" ref="F25" ca="1">_FV(B25,"Change (%)",TRUE)</f>
        <v>2.2414999999999997E-2</v>
      </c>
      <c r="G25" s="5">
        <f t="array" aca="1" ref="G25" ca="1">_FV(B25,"Change")</f>
        <v>0.245</v>
      </c>
      <c r="H25" s="6">
        <f t="array" aca="1" ref="H25" ca="1">_FV(B25,"P/E",TRUE)</f>
        <v>21.490400000000001</v>
      </c>
      <c r="I25" s="6">
        <f t="array" aca="1" ref="I25" ca="1">_FV(B25,"Beta")</f>
        <v>0.92749999999999999</v>
      </c>
      <c r="J25" s="3">
        <f t="array" aca="1" ref="J25" ca="1">_FV(B25,"52 week high",TRUE)</f>
        <v>19.84</v>
      </c>
      <c r="K25" s="3">
        <f t="array" aca="1" ref="K25" ca="1">_FV(B25,"52 week low",TRUE)</f>
        <v>9.2002000000000006</v>
      </c>
      <c r="L25" s="3">
        <f t="array" aca="1" ref="L25" ca="1">_FV(B25,"High")</f>
        <v>11.29</v>
      </c>
      <c r="M25" s="3">
        <f t="array" aca="1" ref="M25" ca="1">_FV(B25,"Low")</f>
        <v>10.73</v>
      </c>
      <c r="N25" s="3">
        <f t="array" aca="1" ref="N25" ca="1">_FV(B25,"Open")</f>
        <v>10.91</v>
      </c>
      <c r="O25" s="3">
        <f t="array" aca="1" ref="O25" ca="1">_FV(B25,"Previous close",TRUE)</f>
        <v>10.93</v>
      </c>
      <c r="P25" s="7">
        <f t="array" aca="1" ref="P25" ca="1">_FV(B25,"Volume")</f>
        <v>9365216</v>
      </c>
      <c r="Q25" s="7">
        <f t="array" aca="1" ref="Q25" ca="1">_FV(B25,"Volume average",TRUE)</f>
        <v>30135944</v>
      </c>
      <c r="R25" s="8">
        <f t="array" aca="1" ref="R25" ca="1">_FV(B25,"Year incorporated",TRUE)</f>
        <v>2015</v>
      </c>
      <c r="S25" s="7">
        <f t="array" aca="1" ref="S25" ca="1">_FV(B25,"Employees")</f>
        <v>3981</v>
      </c>
      <c r="T25" t="str">
        <f t="array" aca="1" ref="T25" ca="1">_FV(B25,"Industry")</f>
        <v>Software &amp; IT Services</v>
      </c>
      <c r="U25" s="7">
        <f t="array" aca="1" ref="U25" ca="1">_FV(B25,"Market cap",TRUE)</f>
        <v>5815954995</v>
      </c>
      <c r="V25" s="7">
        <f t="array" aca="1" ref="V25" ca="1">_FV(B25,"Shares outstanding",TRUE)</f>
        <v>520443400</v>
      </c>
    </row>
    <row r="26" spans="1:22">
      <c r="A26" t="s">
        <v>18</v>
      </c>
      <c r="B26" t="e" vm="30">
        <v>#VALUE!</v>
      </c>
      <c r="C26" s="2">
        <f t="array" aca="1" ref="C26" ca="1">_FV(B26,"Last trade time",TRUE)</f>
        <v>46168.605510497655</v>
      </c>
      <c r="D26" t="str">
        <f t="array" aca="1" ref="D26" ca="1">_FV(B26,"Currency")</f>
        <v>USD</v>
      </c>
      <c r="E26" s="3">
        <f t="array" aca="1" ref="E26" ca="1">_FV(B26,"Price")</f>
        <v>23.36</v>
      </c>
      <c r="F26" s="4">
        <f t="array" aca="1" ref="F26" ca="1">_FV(B26,"Change (%)",TRUE)</f>
        <v>2.6362E-2</v>
      </c>
      <c r="G26" s="5">
        <f t="array" aca="1" ref="G26" ca="1">_FV(B26,"Change")</f>
        <v>0.6</v>
      </c>
      <c r="H26" s="6">
        <f t="array" aca="1" ref="H26" ca="1">_FV(B26,"P/E",TRUE)</f>
        <v>35.4208</v>
      </c>
      <c r="I26" s="6">
        <f t="array" aca="1" ref="I26" ca="1">_FV(B26,"Beta")</f>
        <v>1.3915999999999999</v>
      </c>
      <c r="J26" s="3">
        <f t="array" aca="1" ref="J26" ca="1">_FV(B26,"52 week high",TRUE)</f>
        <v>30.38</v>
      </c>
      <c r="K26" s="3">
        <f t="array" aca="1" ref="K26" ca="1">_FV(B26,"52 week low",TRUE)</f>
        <v>13.29</v>
      </c>
      <c r="L26" s="3">
        <f t="array" aca="1" ref="L26" ca="1">_FV(B26,"High")</f>
        <v>23.5488</v>
      </c>
      <c r="M26" s="3">
        <f t="array" aca="1" ref="M26" ca="1">_FV(B26,"Low")</f>
        <v>22.06</v>
      </c>
      <c r="N26" s="3">
        <f t="array" aca="1" ref="N26" ca="1">_FV(B26,"Open")</f>
        <v>22.58</v>
      </c>
      <c r="O26" s="3">
        <f t="array" aca="1" ref="O26" ca="1">_FV(B26,"Previous close",TRUE)</f>
        <v>22.76</v>
      </c>
      <c r="P26" s="7">
        <f t="array" aca="1" ref="P26" ca="1">_FV(B26,"Volume")</f>
        <v>740395</v>
      </c>
      <c r="Q26" s="7">
        <f t="array" aca="1" ref="Q26" ca="1">_FV(B26,"Volume average",TRUE)</f>
        <v>4008334</v>
      </c>
      <c r="R26" s="8">
        <f t="array" aca="1" ref="R26" ca="1">_FV(B26,"Year incorporated",TRUE)</f>
        <v>2001</v>
      </c>
      <c r="S26" s="7">
        <f t="array" aca="1" ref="S26" ca="1">_FV(B26,"Employees")</f>
        <v>2910</v>
      </c>
      <c r="T26" t="str">
        <f t="array" aca="1" ref="T26" ca="1">_FV(B26,"Industry")</f>
        <v>Software &amp; IT Services</v>
      </c>
      <c r="U26" s="7">
        <f t="array" aca="1" ref="U26" ca="1">_FV(B26,"Market cap",TRUE)</f>
        <v>1788534806</v>
      </c>
      <c r="V26" s="7">
        <f t="array" aca="1" ref="V26" ca="1">_FV(B26,"Shares outstanding",TRUE)</f>
        <v>76563990</v>
      </c>
    </row>
    <row r="27" spans="1:22">
      <c r="A27" t="s">
        <v>144</v>
      </c>
      <c r="B27" t="e" vm="31">
        <v>#VALUE!</v>
      </c>
      <c r="C27" s="2" cm="1">
        <f t="array" aca="1" ref="C27" ca="1">_FV(B27,"Last trade time",TRUE)</f>
        <v>46168.605486053122</v>
      </c>
      <c r="D27" t="str" cm="1">
        <f t="array" aca="1" ref="D27" ca="1">_FV(B27,"Currency")</f>
        <v>USD</v>
      </c>
      <c r="E27" s="3" cm="1">
        <f t="array" aca="1" ref="E27" ca="1">_FV(B27,"Price")</f>
        <v>186.51</v>
      </c>
      <c r="F27" s="4" cm="1">
        <f t="array" aca="1" ref="F27" ca="1">_FV(B27,"Change (%)",TRUE)</f>
        <v>2.2700999999999999E-2</v>
      </c>
      <c r="G27" s="5" cm="1">
        <f t="array" aca="1" ref="G27" ca="1">_FV(B27,"Change")</f>
        <v>4.1399999999999997</v>
      </c>
      <c r="H27" s="6" cm="1">
        <f t="array" aca="1" ref="H27" ca="1">_FV(B27,"P/E",TRUE)</f>
        <v>0</v>
      </c>
      <c r="I27" s="6" cm="1">
        <f t="array" aca="1" ref="I27" ca="1">_FV(B27,"Beta")</f>
        <v>1.0414000000000001</v>
      </c>
      <c r="J27" s="3" cm="1">
        <f t="array" aca="1" ref="J27" ca="1">_FV(B27,"52 week high",TRUE)</f>
        <v>336.99</v>
      </c>
      <c r="K27" s="3" cm="1">
        <f t="array" aca="1" ref="K27" ca="1">_FV(B27,"52 week low",TRUE)</f>
        <v>114.625</v>
      </c>
      <c r="L27" s="3" cm="1">
        <f t="array" aca="1" ref="L27" ca="1">_FV(B27,"High")</f>
        <v>188.25</v>
      </c>
      <c r="M27" s="3" cm="1">
        <f t="array" aca="1" ref="M27" ca="1">_FV(B27,"Low")</f>
        <v>181.875</v>
      </c>
      <c r="N27" s="3" cm="1">
        <f t="array" aca="1" ref="N27" ca="1">_FV(B27,"Open")</f>
        <v>183</v>
      </c>
      <c r="O27" s="3" cm="1">
        <f t="array" aca="1" ref="O27" ca="1">_FV(B27,"Previous close",TRUE)</f>
        <v>182.37</v>
      </c>
      <c r="P27" s="7" cm="1">
        <f t="array" aca="1" ref="P27" ca="1">_FV(B27,"Volume")</f>
        <v>1498213</v>
      </c>
      <c r="Q27" s="7" cm="1">
        <f t="array" aca="1" ref="Q27" ca="1">_FV(B27,"Volume average",TRUE)</f>
        <v>2977080</v>
      </c>
      <c r="R27" s="8" cm="1">
        <f t="array" aca="1" ref="R27" ca="1">_FV(B27,"Year incorporated",TRUE)</f>
        <v>2007</v>
      </c>
      <c r="S27" s="7" cm="1">
        <f t="array" aca="1" ref="S27" ca="1">_FV(B27,"Employees")</f>
        <v>7923</v>
      </c>
      <c r="T27" t="str" cm="1">
        <f t="array" aca="1" ref="T27" ca="1">_FV(B27,"Industry")</f>
        <v>Software &amp; IT Services</v>
      </c>
      <c r="U27" s="7" cm="1">
        <f t="array" aca="1" ref="U27" ca="1">_FV(B27,"Market cap",TRUE)</f>
        <v>29989073457</v>
      </c>
      <c r="V27" s="7" cm="1">
        <f t="array" aca="1" ref="V27" ca="1">_FV(B27,"Shares outstanding",TRUE)</f>
        <v>160790700</v>
      </c>
    </row>
    <row r="28" spans="1:22">
      <c r="A28" t="s">
        <v>305</v>
      </c>
      <c r="B28" t="e" vm="32">
        <v>#VALUE!</v>
      </c>
      <c r="C28" s="2" cm="1">
        <f t="array" aca="1" ref="C28" ca="1">_FV(B28,"Last trade time",TRUE)</f>
        <v>46168.605569073436</v>
      </c>
      <c r="D28" t="str" cm="1">
        <f t="array" aca="1" ref="D28" ca="1">_FV(B28,"Currency")</f>
        <v>USD</v>
      </c>
      <c r="E28" s="3" cm="1">
        <f t="array" aca="1" ref="E28" ca="1">_FV(B28,"Price")</f>
        <v>537.6</v>
      </c>
      <c r="F28" s="4" cm="1">
        <f t="array" aca="1" ref="F28" ca="1">_FV(B28,"Change (%)",TRUE)</f>
        <v>2.4506999999999998E-2</v>
      </c>
      <c r="G28" s="5" cm="1">
        <f t="array" aca="1" ref="G28" ca="1">_FV(B28,"Change")</f>
        <v>12.86</v>
      </c>
      <c r="H28" s="6" cm="1">
        <f t="array" aca="1" ref="H28" ca="1">_FV(B28,"P/E",TRUE)</f>
        <v>83.177300000000002</v>
      </c>
      <c r="I28" s="6" cm="1">
        <f t="array" aca="1" ref="I28" ca="1">_FV(B28,"Beta")</f>
        <v>1.2539</v>
      </c>
      <c r="J28" s="3" cm="1">
        <f t="array" aca="1" ref="J28" ca="1">_FV(B28,"52 week high",TRUE)</f>
        <v>651.73</v>
      </c>
      <c r="K28" s="3" cm="1">
        <f t="array" aca="1" ref="K28" ca="1">_FV(B28,"52 week low",TRUE)</f>
        <v>376.18</v>
      </c>
      <c r="L28" s="3" cm="1">
        <f t="array" aca="1" ref="L28" ca="1">_FV(B28,"High")</f>
        <v>537.6</v>
      </c>
      <c r="M28" s="3" cm="1">
        <f t="array" aca="1" ref="M28" ca="1">_FV(B28,"Low")</f>
        <v>524.17999999999995</v>
      </c>
      <c r="N28" s="3" cm="1">
        <f t="array" aca="1" ref="N28" ca="1">_FV(B28,"Open")</f>
        <v>530</v>
      </c>
      <c r="O28" s="3" cm="1">
        <f t="array" aca="1" ref="O28" ca="1">_FV(B28,"Previous close",TRUE)</f>
        <v>524.74</v>
      </c>
      <c r="P28" s="7" cm="1">
        <f t="array" aca="1" ref="P28" ca="1">_FV(B28,"Volume")</f>
        <v>328417</v>
      </c>
      <c r="Q28" s="7" cm="1">
        <f t="array" aca="1" ref="Q28" ca="1">_FV(B28,"Volume average",TRUE)</f>
        <v>1650918</v>
      </c>
      <c r="R28" s="8" cm="1">
        <f t="array" aca="1" ref="R28" ca="1">_FV(B28,"Year incorporated",TRUE)</f>
        <v>1987</v>
      </c>
      <c r="S28" s="7" cm="1">
        <f t="array" aca="1" ref="S28" ca="1">_FV(B28,"Employees")</f>
        <v>28000</v>
      </c>
      <c r="T28" t="str" cm="1">
        <f t="array" aca="1" ref="T28" ca="1">_FV(B28,"Industry")</f>
        <v>Software &amp; IT Services</v>
      </c>
      <c r="U28" s="7" cm="1">
        <f t="array" aca="1" ref="U28" ca="1">_FV(B28,"Market cap",TRUE)</f>
        <v>102983731200</v>
      </c>
      <c r="V28" s="7" cm="1">
        <f t="array" aca="1" ref="V28" ca="1">_FV(B28,"Shares outstanding",TRUE)</f>
        <v>191562000</v>
      </c>
    </row>
    <row r="29" spans="1:22">
      <c r="A29" t="s">
        <v>304</v>
      </c>
      <c r="B29" t="e" vm="33">
        <v>#VALUE!</v>
      </c>
      <c r="C29" s="2" cm="1">
        <f t="array" aca="1" ref="C29" ca="1">_FV(B29,"Last trade time",TRUE)</f>
        <v>46168.605529258595</v>
      </c>
      <c r="D29" t="str" cm="1">
        <f t="array" aca="1" ref="D29" ca="1">_FV(B29,"Currency")</f>
        <v>USD</v>
      </c>
      <c r="E29" s="3" cm="1">
        <f t="array" aca="1" ref="E29" ca="1">_FV(B29,"Price")</f>
        <v>381.23</v>
      </c>
      <c r="F29" s="4" cm="1">
        <f t="array" aca="1" ref="F29" ca="1">_FV(B29,"Change (%)",TRUE)</f>
        <v>2.0449999999999999E-2</v>
      </c>
      <c r="G29" s="5" cm="1">
        <f t="array" aca="1" ref="G29" ca="1">_FV(B29,"Change")</f>
        <v>7.64</v>
      </c>
      <c r="H29" s="6" cm="1">
        <f t="array" aca="1" ref="H29" ca="1">_FV(B29,"P/E",TRUE)</f>
        <v>88.999600000000001</v>
      </c>
      <c r="I29" s="6" cm="1">
        <f t="array" aca="1" ref="I29" ca="1">_FV(B29,"Beta")</f>
        <v>1.1472</v>
      </c>
      <c r="J29" s="3" cm="1">
        <f t="array" aca="1" ref="J29" ca="1">_FV(B29,"52 week high",TRUE)</f>
        <v>382.32</v>
      </c>
      <c r="K29" s="3" cm="1">
        <f t="array" aca="1" ref="K29" ca="1">_FV(B29,"52 week low",TRUE)</f>
        <v>262.74900000000002</v>
      </c>
      <c r="L29" s="3" cm="1">
        <f t="array" aca="1" ref="L29" ca="1">_FV(B29,"High")</f>
        <v>382.32</v>
      </c>
      <c r="M29" s="3" cm="1">
        <f t="array" aca="1" ref="M29" ca="1">_FV(B29,"Low")</f>
        <v>369.96</v>
      </c>
      <c r="N29" s="3" cm="1">
        <f t="array" aca="1" ref="N29" ca="1">_FV(B29,"Open")</f>
        <v>380</v>
      </c>
      <c r="O29" s="3" cm="1">
        <f t="array" aca="1" ref="O29" ca="1">_FV(B29,"Previous close",TRUE)</f>
        <v>373.59</v>
      </c>
      <c r="P29" s="7" cm="1">
        <f t="array" aca="1" ref="P29" ca="1">_FV(B29,"Volume")</f>
        <v>489738</v>
      </c>
      <c r="Q29" s="7" cm="1">
        <f t="array" aca="1" ref="Q29" ca="1">_FV(B29,"Volume average",TRUE)</f>
        <v>2434453</v>
      </c>
      <c r="R29" s="8" cm="1">
        <f t="array" aca="1" ref="R29" ca="1">_FV(B29,"Year incorporated",TRUE)</f>
        <v>1987</v>
      </c>
      <c r="S29" s="7" cm="1">
        <f t="array" aca="1" ref="S29" ca="1">_FV(B29,"Employees")</f>
        <v>13800</v>
      </c>
      <c r="T29" t="str" cm="1">
        <f t="array" aca="1" ref="T29" ca="1">_FV(B29,"Industry")</f>
        <v>Software &amp; IT Services</v>
      </c>
      <c r="U29" s="7" cm="1">
        <f t="array" aca="1" ref="U29" ca="1">_FV(B29,"Market cap",TRUE)</f>
        <v>105149333680</v>
      </c>
      <c r="V29" s="7" cm="1">
        <f t="array" aca="1" ref="V29" ca="1">_FV(B29,"Shares outstanding",TRUE)</f>
        <v>275816000</v>
      </c>
    </row>
    <row r="30" spans="1:22">
      <c r="A30" t="s">
        <v>51</v>
      </c>
      <c r="B30" t="e" vm="34">
        <v>#VALUE!</v>
      </c>
      <c r="C30" s="2">
        <f t="array" aca="1" ref="C30" ca="1">_FV(B30,"Last trade time",TRUE)</f>
        <v>46168.605561943747</v>
      </c>
      <c r="D30" t="str">
        <f t="array" aca="1" ref="D30" ca="1">_FV(B30,"Currency")</f>
        <v>USD</v>
      </c>
      <c r="E30" s="3">
        <f t="array" aca="1" ref="E30" ca="1">_FV(B30,"Price")</f>
        <v>414.69</v>
      </c>
      <c r="F30" s="4">
        <f t="array" aca="1" ref="F30" ca="1">_FV(B30,"Change (%)",TRUE)</f>
        <v>2.5141E-2</v>
      </c>
      <c r="G30" s="5">
        <f t="array" aca="1" ref="G30" ca="1">_FV(B30,"Change")</f>
        <v>10.17</v>
      </c>
      <c r="H30" s="6">
        <f t="array" aca="1" ref="H30" ca="1">_FV(B30,"P/E",TRUE)</f>
        <v>35.086399999999998</v>
      </c>
      <c r="I30" s="6">
        <f t="array" aca="1" ref="I30" ca="1">_FV(B30,"Beta")</f>
        <v>1.3918999999999999</v>
      </c>
      <c r="J30" s="3">
        <f t="array" aca="1" ref="J30" ca="1">_FV(B30,"52 week high",TRUE)</f>
        <v>421.97</v>
      </c>
      <c r="K30" s="3">
        <f t="array" aca="1" ref="K30" ca="1">_FV(B30,"52 week low",TRUE)</f>
        <v>190.56</v>
      </c>
      <c r="L30" s="3">
        <f t="array" aca="1" ref="L30" ca="1">_FV(B30,"High")</f>
        <v>416.49</v>
      </c>
      <c r="M30" s="3">
        <f t="array" aca="1" ref="M30" ca="1">_FV(B30,"Low")</f>
        <v>410.35</v>
      </c>
      <c r="N30" s="3">
        <f t="array" aca="1" ref="N30" ca="1">_FV(B30,"Open")</f>
        <v>413.12</v>
      </c>
      <c r="O30" s="3">
        <f t="array" aca="1" ref="O30" ca="1">_FV(B30,"Previous close",TRUE)</f>
        <v>404.52</v>
      </c>
      <c r="P30" s="7">
        <f t="array" aca="1" ref="P30" ca="1">_FV(B30,"Volume")</f>
        <v>2996422</v>
      </c>
      <c r="Q30" s="7">
        <f t="array" aca="1" ref="Q30" ca="1">_FV(B30,"Volume average",TRUE)</f>
        <v>13560183</v>
      </c>
      <c r="R30" s="8">
        <f t="array" aca="1" ref="R30" ca="1">_FV(B30,"Year incorporated",TRUE)</f>
        <v>1987</v>
      </c>
      <c r="S30" s="7">
        <f t="array" aca="1" ref="S30" ca="1">_FV(B30,"Employees")</f>
        <v>52045</v>
      </c>
      <c r="T30" t="str">
        <f t="array" aca="1" ref="T30" ca="1">_FV(B30,"Industry")</f>
        <v>Semiconductors &amp; Semiconductor Equipment</v>
      </c>
      <c r="U30" s="7">
        <f t="array" aca="1" ref="U30" ca="1">_FV(B30,"Market cap",TRUE)</f>
        <v>2150791758450</v>
      </c>
      <c r="V30" s="7">
        <f t="array" aca="1" ref="V30" ca="1">_FV(B30,"Shares outstanding",TRUE)</f>
        <v>5186505000</v>
      </c>
    </row>
    <row r="31" spans="1:22">
      <c r="A31" t="s">
        <v>57</v>
      </c>
      <c r="B31" t="e" vm="35">
        <v>#VALUE!</v>
      </c>
      <c r="C31" s="2">
        <f t="array" aca="1" ref="C31" ca="1">_FV(B31,"Last trade time",TRUE)</f>
        <v>46168.605576851565</v>
      </c>
      <c r="D31" t="str">
        <f t="array" aca="1" ref="D31" ca="1">_FV(B31,"Currency")</f>
        <v>USD</v>
      </c>
      <c r="E31" s="3">
        <f t="array" aca="1" ref="E31" ca="1">_FV(B31,"Price")</f>
        <v>157.54</v>
      </c>
      <c r="F31" s="4">
        <f t="array" aca="1" ref="F31" ca="1">_FV(B31,"Change (%)",TRUE)</f>
        <v>2.2787999999999999E-2</v>
      </c>
      <c r="G31" s="5">
        <f t="array" aca="1" ref="G31" ca="1">_FV(B31,"Change")</f>
        <v>3.51</v>
      </c>
      <c r="H31" s="6">
        <f t="array" aca="1" ref="H31" ca="1">_FV(B31,"P/E",TRUE)</f>
        <v>53.959400000000002</v>
      </c>
      <c r="I31" s="6">
        <f t="array" aca="1" ref="I31" ca="1">_FV(B31,"Beta")</f>
        <v>1.6326000000000001</v>
      </c>
      <c r="J31" s="3">
        <f t="array" aca="1" ref="J31" ca="1">_FV(B31,"52 week high",TRUE)</f>
        <v>179.8</v>
      </c>
      <c r="K31" s="3">
        <f t="array" aca="1" ref="K31" ca="1">_FV(B31,"52 week low",TRUE)</f>
        <v>83.858000000000004</v>
      </c>
      <c r="L31" s="3">
        <f t="array" aca="1" ref="L31" ca="1">_FV(B31,"High")</f>
        <v>157.74</v>
      </c>
      <c r="M31" s="3">
        <f t="array" aca="1" ref="M31" ca="1">_FV(B31,"Low")</f>
        <v>153.88999999999999</v>
      </c>
      <c r="N31" s="3">
        <f t="array" aca="1" ref="N31" ca="1">_FV(B31,"Open")</f>
        <v>157.13</v>
      </c>
      <c r="O31" s="3">
        <f t="array" aca="1" ref="O31" ca="1">_FV(B31,"Previous close",TRUE)</f>
        <v>154.03</v>
      </c>
      <c r="P31" s="7">
        <f t="array" aca="1" ref="P31" ca="1">_FV(B31,"Volume")</f>
        <v>2993278</v>
      </c>
      <c r="Q31" s="7">
        <f t="array" aca="1" ref="Q31" ca="1">_FV(B31,"Volume average",TRUE)</f>
        <v>11652560</v>
      </c>
      <c r="R31" s="8">
        <f t="array" aca="1" ref="R31" ca="1">_FV(B31,"Year incorporated",TRUE)</f>
        <v>2011</v>
      </c>
      <c r="S31" s="7">
        <f t="array" aca="1" ref="S31" ca="1">_FV(B31,"Employees")</f>
        <v>5115</v>
      </c>
      <c r="T31" t="str">
        <f t="array" aca="1" ref="T31" ca="1">_FV(B31,"Industry")</f>
        <v>Communications &amp; Networking</v>
      </c>
      <c r="U31" s="7">
        <f t="array" aca="1" ref="U31" ca="1">_FV(B31,"Market cap",TRUE)</f>
        <v>198374840620</v>
      </c>
      <c r="V31" s="7">
        <f t="array" aca="1" ref="V31" ca="1">_FV(B31,"Shares outstanding",TRUE)</f>
        <v>1259203000</v>
      </c>
    </row>
    <row r="32" spans="1:22">
      <c r="A32" t="s">
        <v>69</v>
      </c>
      <c r="B32" t="e" vm="36">
        <v>#VALUE!</v>
      </c>
      <c r="C32" s="2">
        <f t="array" aca="1" ref="C32" ca="1">_FV(B32,"Last trade time",TRUE)</f>
        <v>46168.605576157031</v>
      </c>
      <c r="D32" t="str">
        <f t="array" aca="1" ref="D32" ca="1">_FV(B32,"Currency")</f>
        <v>USD</v>
      </c>
      <c r="E32" s="3">
        <f t="array" aca="1" ref="E32" ca="1">_FV(B32,"Price")</f>
        <v>220.81</v>
      </c>
      <c r="F32" s="4">
        <f t="array" aca="1" ref="F32" ca="1">_FV(B32,"Change (%)",TRUE)</f>
        <v>1.0989000000000001E-2</v>
      </c>
      <c r="G32" s="5">
        <f t="array" aca="1" ref="G32" ca="1">_FV(B32,"Change")</f>
        <v>2.4</v>
      </c>
      <c r="H32" s="6">
        <f t="array" aca="1" ref="H32" ca="1">_FV(B32,"P/E",TRUE)</f>
        <v>122.5361</v>
      </c>
      <c r="I32" s="6">
        <f t="array" aca="1" ref="I32" ca="1">_FV(B32,"Beta")</f>
        <v>3.1960000000000002</v>
      </c>
      <c r="J32" s="3">
        <f t="array" aca="1" ref="J32" ca="1">_FV(B32,"52 week high",TRUE)</f>
        <v>233.7</v>
      </c>
      <c r="K32" s="3">
        <f t="array" aca="1" ref="K32" ca="1">_FV(B32,"52 week low",TRUE)</f>
        <v>59.21</v>
      </c>
      <c r="L32" s="3">
        <f t="array" aca="1" ref="L32" ca="1">_FV(B32,"High")</f>
        <v>233.7</v>
      </c>
      <c r="M32" s="3">
        <f t="array" aca="1" ref="M32" ca="1">_FV(B32,"Low")</f>
        <v>220.76</v>
      </c>
      <c r="N32" s="3">
        <f t="array" aca="1" ref="N32" ca="1">_FV(B32,"Open")</f>
        <v>228.16</v>
      </c>
      <c r="O32" s="3">
        <f t="array" aca="1" ref="O32" ca="1">_FV(B32,"Previous close",TRUE)</f>
        <v>218.41</v>
      </c>
      <c r="P32" s="7">
        <f t="array" aca="1" ref="P32" ca="1">_FV(B32,"Volume")</f>
        <v>2748487</v>
      </c>
      <c r="Q32" s="7">
        <f t="array" aca="1" ref="Q32" ca="1">_FV(B32,"Volume average",TRUE)</f>
        <v>6433756</v>
      </c>
      <c r="R32" s="8" t="e" vm="13">
        <f t="array" ref="R32">_FV(B32,"Year incorporated",TRUE)</f>
        <v>#VALUE!</v>
      </c>
      <c r="S32" s="7">
        <f t="array" aca="1" ref="S32" ca="1">_FV(B32,"Employees")</f>
        <v>622</v>
      </c>
      <c r="T32" t="str">
        <f t="array" aca="1" ref="T32" ca="1">_FV(B32,"Industry")</f>
        <v>Semiconductors &amp; Semiconductor Equipment</v>
      </c>
      <c r="U32" s="7">
        <f t="array" aca="1" ref="U32" ca="1">_FV(B32,"Market cap",TRUE)</f>
        <v>40728382419</v>
      </c>
      <c r="V32" s="7">
        <f t="array" aca="1" ref="V32" ca="1">_FV(B32,"Shares outstanding",TRUE)</f>
        <v>184449900</v>
      </c>
    </row>
    <row r="33" spans="1:22">
      <c r="A33" t="s">
        <v>43</v>
      </c>
      <c r="B33" t="e" vm="37">
        <v>#VALUE!</v>
      </c>
      <c r="C33" s="2">
        <f t="array" aca="1" ref="C33" ca="1">_FV(B33,"Last trade time",TRUE)</f>
        <v>46168.605507974222</v>
      </c>
      <c r="D33" t="str">
        <f t="array" aca="1" ref="D33" ca="1">_FV(B33,"Currency")</f>
        <v>USD</v>
      </c>
      <c r="E33" s="3">
        <f t="array" aca="1" ref="E33" ca="1">_FV(B33,"Price")</f>
        <v>8.32</v>
      </c>
      <c r="F33" s="4">
        <f t="array" aca="1" ref="F33" ca="1">_FV(B33,"Change (%)",TRUE)</f>
        <v>1.8360000000000001E-2</v>
      </c>
      <c r="G33" s="5">
        <f t="array" aca="1" ref="G33" ca="1">_FV(B33,"Change")</f>
        <v>0.15</v>
      </c>
      <c r="H33" s="6">
        <f t="array" aca="1" ref="H33" ca="1">_FV(B33,"P/E",TRUE)</f>
        <v>0</v>
      </c>
      <c r="I33" s="6">
        <f t="array" aca="1" ref="I33" ca="1">_FV(B33,"Beta")</f>
        <v>2.7301000000000002</v>
      </c>
      <c r="J33" s="3">
        <f t="array" aca="1" ref="J33" ca="1">_FV(B33,"52 week high",TRUE)</f>
        <v>22.17</v>
      </c>
      <c r="K33" s="3">
        <f t="array" aca="1" ref="K33" ca="1">_FV(B33,"52 week low",TRUE)</f>
        <v>5.83</v>
      </c>
      <c r="L33" s="3">
        <f t="array" aca="1" ref="L33" ca="1">_FV(B33,"High")</f>
        <v>8.44</v>
      </c>
      <c r="M33" s="3">
        <f t="array" aca="1" ref="M33" ca="1">_FV(B33,"Low")</f>
        <v>8.1199999999999992</v>
      </c>
      <c r="N33" s="3">
        <f t="array" aca="1" ref="N33" ca="1">_FV(B33,"Open")</f>
        <v>8.1999999999999993</v>
      </c>
      <c r="O33" s="3">
        <f t="array" aca="1" ref="O33" ca="1">_FV(B33,"Previous close",TRUE)</f>
        <v>8.17</v>
      </c>
      <c r="P33" s="7">
        <f t="array" aca="1" ref="P33" ca="1">_FV(B33,"Volume")</f>
        <v>9489549</v>
      </c>
      <c r="Q33" s="7">
        <f t="array" aca="1" ref="Q33" ca="1">_FV(B33,"Volume average",TRUE)</f>
        <v>31416425</v>
      </c>
      <c r="R33" s="8">
        <f t="array" aca="1" ref="R33" ca="1">_FV(B33,"Year incorporated",TRUE)</f>
        <v>2020</v>
      </c>
      <c r="S33" s="7">
        <f t="array" aca="1" ref="S33" ca="1">_FV(B33,"Employees")</f>
        <v>954</v>
      </c>
      <c r="T33" t="str">
        <f t="array" aca="1" ref="T33" ca="1">_FV(B33,"Industry")</f>
        <v>Software &amp; IT Services</v>
      </c>
      <c r="U33" s="7">
        <f t="array" aca="1" ref="U33" ca="1">_FV(B33,"Market cap",TRUE)</f>
        <v>3600643072</v>
      </c>
      <c r="V33" s="7">
        <f t="array" aca="1" ref="V33" ca="1">_FV(B33,"Shares outstanding",TRUE)</f>
        <v>432769600</v>
      </c>
    </row>
    <row r="34" spans="1:22">
      <c r="A34" t="s">
        <v>73</v>
      </c>
      <c r="B34" t="e" vm="38">
        <v>#VALUE!</v>
      </c>
      <c r="C34" s="2">
        <f t="array" aca="1" ref="C34" ca="1">_FV(B34,"Last trade time",TRUE)</f>
        <v>46168.605565832811</v>
      </c>
      <c r="D34" t="str">
        <f t="array" aca="1" ref="D34" ca="1">_FV(B34,"Currency")</f>
        <v>USD</v>
      </c>
      <c r="E34" s="3">
        <f t="array" aca="1" ref="E34" ca="1">_FV(B34,"Price")</f>
        <v>185.35</v>
      </c>
      <c r="F34" s="4">
        <f t="array" aca="1" ref="F34" ca="1">_FV(B34,"Change (%)",TRUE)</f>
        <v>2.1267999999999999E-2</v>
      </c>
      <c r="G34" s="5">
        <f t="array" aca="1" ref="G34" ca="1">_FV(B34,"Change")</f>
        <v>3.86</v>
      </c>
      <c r="H34" s="6">
        <f t="array" aca="1" ref="H34" ca="1">_FV(B34,"P/E",TRUE)</f>
        <v>0</v>
      </c>
      <c r="I34" s="6">
        <f t="array" aca="1" ref="I34" ca="1">_FV(B34,"Beta")</f>
        <v>3.7349999999999999</v>
      </c>
      <c r="J34" s="3">
        <f t="array" aca="1" ref="J34" ca="1">_FV(B34,"52 week high",TRUE)</f>
        <v>233.67</v>
      </c>
      <c r="K34" s="3">
        <f t="array" aca="1" ref="K34" ca="1">_FV(B34,"52 week low",TRUE)</f>
        <v>15.06</v>
      </c>
      <c r="L34" s="3">
        <f t="array" aca="1" ref="L34" ca="1">_FV(B34,"High")</f>
        <v>194.95</v>
      </c>
      <c r="M34" s="3">
        <f t="array" aca="1" ref="M34" ca="1">_FV(B34,"Low")</f>
        <v>180</v>
      </c>
      <c r="N34" s="3">
        <f t="array" aca="1" ref="N34" ca="1">_FV(B34,"Open")</f>
        <v>186.61</v>
      </c>
      <c r="O34" s="3">
        <f t="array" aca="1" ref="O34" ca="1">_FV(B34,"Previous close",TRUE)</f>
        <v>181.49</v>
      </c>
      <c r="P34" s="7">
        <f t="array" aca="1" ref="P34" ca="1">_FV(B34,"Volume")</f>
        <v>4849309</v>
      </c>
      <c r="Q34" s="7">
        <f t="array" aca="1" ref="Q34" ca="1">_FV(B34,"Volume average",TRUE)</f>
        <v>11357824</v>
      </c>
      <c r="R34" s="8">
        <f t="array" aca="1" ref="R34" ca="1">_FV(B34,"Year incorporated",TRUE)</f>
        <v>2013</v>
      </c>
      <c r="S34" s="7">
        <f t="array" aca="1" ref="S34" ca="1">_FV(B34,"Employees")</f>
        <v>4691</v>
      </c>
      <c r="T34" t="str">
        <f t="array" aca="1" ref="T34" ca="1">_FV(B34,"Industry")</f>
        <v>Electronic Equipment &amp; Parts</v>
      </c>
      <c r="U34" s="7">
        <f t="array" aca="1" ref="U34" ca="1">_FV(B34,"Market cap",TRUE)</f>
        <v>14872997419</v>
      </c>
      <c r="V34" s="7">
        <f t="array" aca="1" ref="V34" ca="1">_FV(B34,"Shares outstanding",TRUE)</f>
        <v>80242770</v>
      </c>
    </row>
    <row r="35" spans="1:22">
      <c r="A35" t="s">
        <v>21</v>
      </c>
      <c r="B35" t="e" vm="39">
        <v>#VALUE!</v>
      </c>
      <c r="C35" s="2">
        <f t="array" aca="1" ref="C35" ca="1">_FV(B35,"Last trade time",TRUE)</f>
        <v>46168.605591608597</v>
      </c>
      <c r="D35" t="str">
        <f t="array" aca="1" ref="D35" ca="1">_FV(B35,"Currency")</f>
        <v>USD</v>
      </c>
      <c r="E35" s="3">
        <f t="array" aca="1" ref="E35" ca="1">_FV(B35,"Price")</f>
        <v>83.24</v>
      </c>
      <c r="F35" s="4">
        <f t="array" aca="1" ref="F35" ca="1">_FV(B35,"Change (%)",TRUE)</f>
        <v>1.8725000000000002E-2</v>
      </c>
      <c r="G35" s="5">
        <f t="array" aca="1" ref="G35" ca="1">_FV(B35,"Change")</f>
        <v>1.53</v>
      </c>
      <c r="H35" s="6">
        <f t="array" aca="1" ref="H35" ca="1">_FV(B35,"P/E",TRUE)</f>
        <v>32.885599999999997</v>
      </c>
      <c r="I35" s="6">
        <f t="array" aca="1" ref="I35" ca="1">_FV(B35,"Beta")</f>
        <v>1.5053000000000001</v>
      </c>
      <c r="J35" s="3">
        <f t="array" aca="1" ref="J35" ca="1">_FV(B35,"52 week high",TRUE)</f>
        <v>90.9</v>
      </c>
      <c r="K35" s="3">
        <f t="array" aca="1" ref="K35" ca="1">_FV(B35,"52 week low",TRUE)</f>
        <v>51.93</v>
      </c>
      <c r="L35" s="3">
        <f t="array" aca="1" ref="L35" ca="1">_FV(B35,"High")</f>
        <v>83.68</v>
      </c>
      <c r="M35" s="3">
        <f t="array" aca="1" ref="M35" ca="1">_FV(B35,"Low")</f>
        <v>80</v>
      </c>
      <c r="N35" s="3">
        <f t="array" aca="1" ref="N35" ca="1">_FV(B35,"Open")</f>
        <v>82.54</v>
      </c>
      <c r="O35" s="3">
        <f t="array" aca="1" ref="O35" ca="1">_FV(B35,"Previous close",TRUE)</f>
        <v>81.709999999999994</v>
      </c>
      <c r="P35" s="7">
        <f t="array" aca="1" ref="P35" ca="1">_FV(B35,"Volume")</f>
        <v>1011675</v>
      </c>
      <c r="Q35" s="7">
        <f t="array" aca="1" ref="Q35" ca="1">_FV(B35,"Volume average",TRUE)</f>
        <v>4858739</v>
      </c>
      <c r="R35" s="8">
        <f t="array" aca="1" ref="R35" ca="1">_FV(B35,"Year incorporated",TRUE)</f>
        <v>2002</v>
      </c>
      <c r="S35" s="7">
        <f t="array" aca="1" ref="S35" ca="1">_FV(B35,"Employees")</f>
        <v>10000</v>
      </c>
      <c r="T35" t="str">
        <f t="array" aca="1" ref="T35" ca="1">_FV(B35,"Industry")</f>
        <v>Semiconductors &amp; Semiconductor Equipment</v>
      </c>
      <c r="U35" s="7">
        <f t="array" aca="1" ref="U35" ca="1">_FV(B35,"Market cap",TRUE)</f>
        <v>12519787116</v>
      </c>
      <c r="V35" s="7">
        <f t="array" aca="1" ref="V35" ca="1">_FV(B35,"Shares outstanding",TRUE)</f>
        <v>150405900</v>
      </c>
    </row>
    <row r="36" spans="1:22">
      <c r="A36" t="s">
        <v>153</v>
      </c>
      <c r="B36" t="e" vm="40">
        <v>#VALUE!</v>
      </c>
      <c r="C36" s="2" cm="1">
        <f t="array" aca="1" ref="C36" ca="1">_FV(B36,"Last trade time",TRUE)</f>
        <v>46168.60551018516</v>
      </c>
      <c r="D36" t="str" cm="1">
        <f t="array" aca="1" ref="D36" ca="1">_FV(B36,"Currency")</f>
        <v>USD</v>
      </c>
      <c r="E36" s="3" cm="1">
        <f t="array" aca="1" ref="E36" ca="1">_FV(B36,"Price")</f>
        <v>730.12</v>
      </c>
      <c r="F36" s="4" cm="1">
        <f t="array" aca="1" ref="F36" ca="1">_FV(B36,"Change (%)",TRUE)</f>
        <v>1.7532000000000002E-2</v>
      </c>
      <c r="G36" s="5" cm="1">
        <f t="array" aca="1" ref="G36" ca="1">_FV(B36,"Change")</f>
        <v>12.58</v>
      </c>
      <c r="H36" s="6" t="e" cm="1" vm="12">
        <f t="array" ref="H36">_FV(B36,"P/E",TRUE)</f>
        <v>#VALUE!</v>
      </c>
      <c r="I36" s="6" cm="1">
        <f t="array" aca="1" ref="I36" ca="1">_FV(B36,"Beta")</f>
        <v>0.99850000000000005</v>
      </c>
      <c r="J36" s="3" cm="1">
        <f t="array" aca="1" ref="J36" ca="1">_FV(B36,"52 week high",TRUE)</f>
        <v>730.32</v>
      </c>
      <c r="K36" s="3" cm="1">
        <f t="array" aca="1" ref="K36" ca="1">_FV(B36,"52 week low",TRUE)</f>
        <v>511.93</v>
      </c>
      <c r="L36" s="3" cm="1">
        <f t="array" aca="1" ref="L36" ca="1">_FV(B36,"High")</f>
        <v>730.32</v>
      </c>
      <c r="M36" s="3" cm="1">
        <f t="array" aca="1" ref="M36" ca="1">_FV(B36,"Low")</f>
        <v>724.16</v>
      </c>
      <c r="N36" s="3" cm="1">
        <f t="array" aca="1" ref="N36" ca="1">_FV(B36,"Open")</f>
        <v>726</v>
      </c>
      <c r="O36" s="3" cm="1">
        <f t="array" aca="1" ref="O36" ca="1">_FV(B36,"Previous close",TRUE)</f>
        <v>717.54</v>
      </c>
      <c r="P36" s="7" cm="1">
        <f t="array" aca="1" ref="P36" ca="1">_FV(B36,"Volume")</f>
        <v>10796831</v>
      </c>
      <c r="Q36" s="7" cm="1">
        <f t="array" aca="1" ref="Q36" ca="1">_FV(B36,"Volume average",TRUE)</f>
        <v>39466245</v>
      </c>
      <c r="R36" s="8" t="e" cm="1" vm="13">
        <f t="array" ref="R36">_FV(B36,"Year incorporated",TRUE)</f>
        <v>#VALUE!</v>
      </c>
      <c r="S36" s="7" t="e" cm="1" vm="14">
        <f t="array" ref="S36">_FV(B36,"Employees")</f>
        <v>#VALUE!</v>
      </c>
      <c r="T36" t="e" cm="1" vm="15">
        <f t="array" ref="T36">_FV(B36,"Industry")</f>
        <v>#VALUE!</v>
      </c>
      <c r="U36" s="7" cm="1">
        <f t="array" aca="1" ref="U36" ca="1">_FV(B36,"Market cap",TRUE)</f>
        <v>440257379466.70001</v>
      </c>
      <c r="V36" s="7" t="e" cm="1" vm="16">
        <f t="array" ref="V36">_FV(B36,"Shares outstanding",TRUE)</f>
        <v>#VALUE!</v>
      </c>
    </row>
    <row r="37" spans="1:22">
      <c r="A37" t="s">
        <v>61</v>
      </c>
      <c r="B37" t="e" vm="41">
        <v>#VALUE!</v>
      </c>
      <c r="C37" s="2">
        <f t="array" aca="1" ref="C37" ca="1">_FV(B37,"Last trade time",TRUE)</f>
        <v>46168.605553367968</v>
      </c>
      <c r="D37" t="str">
        <f t="array" aca="1" ref="D37" ca="1">_FV(B37,"Currency")</f>
        <v>USD</v>
      </c>
      <c r="E37" s="3">
        <f t="array" aca="1" ref="E37" ca="1">_FV(B37,"Price")</f>
        <v>17.215</v>
      </c>
      <c r="F37" s="4">
        <f t="array" aca="1" ref="F37" ca="1">_FV(B37,"Change (%)",TRUE)</f>
        <v>1.5633999999999999E-2</v>
      </c>
      <c r="G37" s="5">
        <f t="array" aca="1" ref="G37" ca="1">_FV(B37,"Change")</f>
        <v>0.26500000000000001</v>
      </c>
      <c r="H37" s="6">
        <f t="array" aca="1" ref="H37" ca="1">_FV(B37,"P/E",TRUE)</f>
        <v>0</v>
      </c>
      <c r="I37" s="6">
        <f t="array" aca="1" ref="I37" ca="1">_FV(B37,"Beta")</f>
        <v>1.3101</v>
      </c>
      <c r="J37" s="3">
        <f t="array" aca="1" ref="J37" ca="1">_FV(B37,"52 week high",TRUE)</f>
        <v>18.038</v>
      </c>
      <c r="K37" s="3">
        <f t="array" aca="1" ref="K37" ca="1">_FV(B37,"52 week low",TRUE)</f>
        <v>2.2801999999999998</v>
      </c>
      <c r="L37" s="3">
        <f t="array" aca="1" ref="L37" ca="1">_FV(B37,"High")</f>
        <v>18.038</v>
      </c>
      <c r="M37" s="3">
        <f t="array" aca="1" ref="M37" ca="1">_FV(B37,"Low")</f>
        <v>16.88</v>
      </c>
      <c r="N37" s="3">
        <f t="array" aca="1" ref="N37" ca="1">_FV(B37,"Open")</f>
        <v>17.96</v>
      </c>
      <c r="O37" s="3">
        <f t="array" aca="1" ref="O37" ca="1">_FV(B37,"Previous close",TRUE)</f>
        <v>16.95</v>
      </c>
      <c r="P37" s="7">
        <f t="array" aca="1" ref="P37" ca="1">_FV(B37,"Volume")</f>
        <v>2088124</v>
      </c>
      <c r="Q37" s="7">
        <f t="array" aca="1" ref="Q37" ca="1">_FV(B37,"Volume average",TRUE)</f>
        <v>3805461</v>
      </c>
      <c r="R37" s="8">
        <f t="array" aca="1" ref="R37" ca="1">_FV(B37,"Year incorporated",TRUE)</f>
        <v>1992</v>
      </c>
      <c r="S37" s="7">
        <f t="array" aca="1" ref="S37" ca="1">_FV(B37,"Employees")</f>
        <v>345</v>
      </c>
      <c r="T37" t="str">
        <f t="array" aca="1" ref="T37" ca="1">_FV(B37,"Industry")</f>
        <v>Computers, Phones &amp; Household Electronics</v>
      </c>
      <c r="U37" s="7">
        <f t="array" aca="1" ref="U37" ca="1">_FV(B37,"Market cap",TRUE)</f>
        <v>1080919693</v>
      </c>
      <c r="V37" s="7">
        <f t="array" aca="1" ref="V37" ca="1">_FV(B37,"Shares outstanding",TRUE)</f>
        <v>62789410</v>
      </c>
    </row>
    <row r="38" spans="1:22">
      <c r="A38" t="s">
        <v>157</v>
      </c>
      <c r="B38" t="e" vm="42">
        <v>#VALUE!</v>
      </c>
      <c r="C38" s="2" cm="1">
        <f t="array" aca="1" ref="C38" ca="1">_FV(B38,"Last trade time",TRUE)</f>
        <v>46168.605543147656</v>
      </c>
      <c r="D38" t="str" cm="1">
        <f t="array" aca="1" ref="D38" ca="1">_FV(B38,"Currency")</f>
        <v>USD</v>
      </c>
      <c r="E38" s="3" cm="1">
        <f t="array" aca="1" ref="E38" ca="1">_FV(B38,"Price")</f>
        <v>289.53500000000003</v>
      </c>
      <c r="F38" s="4" cm="1">
        <f t="array" aca="1" ref="F38" ca="1">_FV(B38,"Change (%)",TRUE)</f>
        <v>1.5485000000000001E-2</v>
      </c>
      <c r="G38" s="5" cm="1">
        <f t="array" aca="1" ref="G38" ca="1">_FV(B38,"Change")</f>
        <v>4.415</v>
      </c>
      <c r="H38" s="6" t="e" cm="1" vm="12">
        <f t="array" ref="H38">_FV(B38,"P/E",TRUE)</f>
        <v>#VALUE!</v>
      </c>
      <c r="I38" s="6" cm="1">
        <f t="array" aca="1" ref="I38" ca="1">_FV(B38,"Beta")</f>
        <v>0.99929999999999997</v>
      </c>
      <c r="J38" s="3" cm="1">
        <f t="array" aca="1" ref="J38" ca="1">_FV(B38,"52 week high",TRUE)</f>
        <v>290.51</v>
      </c>
      <c r="K38" s="3" cm="1">
        <f t="array" aca="1" ref="K38" ca="1">_FV(B38,"52 week low",TRUE)</f>
        <v>202.67</v>
      </c>
      <c r="L38" s="3" cm="1">
        <f t="array" aca="1" ref="L38" ca="1">_FV(B38,"High")</f>
        <v>290.51</v>
      </c>
      <c r="M38" s="3" cm="1">
        <f t="array" aca="1" ref="M38" ca="1">_FV(B38,"Low")</f>
        <v>287.74</v>
      </c>
      <c r="N38" s="3" cm="1">
        <f t="array" aca="1" ref="N38" ca="1">_FV(B38,"Open")</f>
        <v>288.55</v>
      </c>
      <c r="O38" s="3" cm="1">
        <f t="array" aca="1" ref="O38" ca="1">_FV(B38,"Previous close",TRUE)</f>
        <v>285.12</v>
      </c>
      <c r="P38" s="7" cm="1">
        <f t="array" aca="1" ref="P38" ca="1">_FV(B38,"Volume")</f>
        <v>6969903</v>
      </c>
      <c r="Q38" s="7" cm="1">
        <f t="array" aca="1" ref="Q38" ca="1">_FV(B38,"Volume average",TRUE)</f>
        <v>26339211</v>
      </c>
      <c r="R38" s="8" t="e" cm="1" vm="13">
        <f t="array" ref="R38">_FV(B38,"Year incorporated",TRUE)</f>
        <v>#VALUE!</v>
      </c>
      <c r="S38" s="7" t="e" cm="1" vm="14">
        <f t="array" ref="S38">_FV(B38,"Employees")</f>
        <v>#VALUE!</v>
      </c>
      <c r="T38" t="e" cm="1" vm="15">
        <f t="array" ref="T38">_FV(B38,"Industry")</f>
        <v>#VALUE!</v>
      </c>
      <c r="U38" s="7" cm="1">
        <f t="array" aca="1" ref="U38" ca="1">_FV(B38,"Market cap",TRUE)</f>
        <v>76877810344.919998</v>
      </c>
      <c r="V38" s="7" t="e" cm="1" vm="16">
        <f t="array" ref="V38">_FV(B38,"Shares outstanding",TRUE)</f>
        <v>#VALUE!</v>
      </c>
    </row>
    <row r="39" spans="1:22">
      <c r="A39" t="s">
        <v>71</v>
      </c>
      <c r="B39" t="e" vm="43">
        <v>#VALUE!</v>
      </c>
      <c r="C39" s="2">
        <f t="array" aca="1" ref="C39" ca="1">_FV(B39,"Last trade time",TRUE)</f>
        <v>46168.605583541408</v>
      </c>
      <c r="D39" t="str">
        <f t="array" aca="1" ref="D39" ca="1">_FV(B39,"Currency")</f>
        <v>USD</v>
      </c>
      <c r="E39" s="3">
        <f t="array" aca="1" ref="E39" ca="1">_FV(B39,"Price")</f>
        <v>122.595</v>
      </c>
      <c r="F39" s="4">
        <f t="array" aca="1" ref="F39" ca="1">_FV(B39,"Change (%)",TRUE)</f>
        <v>2.2989000000000002E-2</v>
      </c>
      <c r="G39" s="5">
        <f t="array" aca="1" ref="G39" ca="1">_FV(B39,"Change")</f>
        <v>2.7549999999999999</v>
      </c>
      <c r="H39" s="6">
        <f t="array" aca="1" ref="H39" ca="1">_FV(B39,"P/E",TRUE)</f>
        <v>0</v>
      </c>
      <c r="I39" s="6">
        <f t="array" aca="1" ref="I39" ca="1">_FV(B39,"Beta")</f>
        <v>2.2282999999999999</v>
      </c>
      <c r="J39" s="3">
        <f t="array" aca="1" ref="J39" ca="1">_FV(B39,"52 week high",TRUE)</f>
        <v>132.75</v>
      </c>
      <c r="K39" s="3">
        <f t="array" aca="1" ref="K39" ca="1">_FV(B39,"52 week low",TRUE)</f>
        <v>18.965</v>
      </c>
      <c r="L39" s="3">
        <f t="array" aca="1" ref="L39" ca="1">_FV(B39,"High")</f>
        <v>125.62</v>
      </c>
      <c r="M39" s="3">
        <f t="array" aca="1" ref="M39" ca="1">_FV(B39,"Low")</f>
        <v>117.35</v>
      </c>
      <c r="N39" s="3">
        <f t="array" aca="1" ref="N39" ca="1">_FV(B39,"Open")</f>
        <v>122</v>
      </c>
      <c r="O39" s="3">
        <f t="array" aca="1" ref="O39" ca="1">_FV(B39,"Previous close",TRUE)</f>
        <v>119.84</v>
      </c>
      <c r="P39" s="7">
        <f t="array" aca="1" ref="P39" ca="1">_FV(B39,"Volume")</f>
        <v>42953434</v>
      </c>
      <c r="Q39" s="7">
        <f t="array" aca="1" ref="Q39" ca="1">_FV(B39,"Volume average",TRUE)</f>
        <v>151534568</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616162470000</v>
      </c>
      <c r="V39" s="7">
        <f t="array" aca="1" ref="V39" ca="1">_FV(B39,"Shares outstanding",TRUE)</f>
        <v>5026000000</v>
      </c>
    </row>
    <row r="40" spans="1:22">
      <c r="A40" t="s">
        <v>27</v>
      </c>
      <c r="B40" t="e" vm="44">
        <v>#VALUE!</v>
      </c>
      <c r="C40" s="2">
        <f t="array" aca="1" ref="C40" ca="1">_FV(B40,"Last trade time",TRUE)</f>
        <v>46168.605609235936</v>
      </c>
      <c r="D40" t="str">
        <f t="array" aca="1" ref="D40" ca="1">_FV(B40,"Currency")</f>
        <v>USD</v>
      </c>
      <c r="E40" s="3">
        <f t="array" aca="1" ref="E40" ca="1">_FV(B40,"Price")</f>
        <v>309.08</v>
      </c>
      <c r="F40" s="4">
        <f t="array" aca="1" ref="F40" ca="1">_FV(B40,"Change (%)",TRUE)</f>
        <v>7.169E-3</v>
      </c>
      <c r="G40" s="5">
        <f t="array" aca="1" ref="G40" ca="1">_FV(B40,"Change")</f>
        <v>2.2000000000000002</v>
      </c>
      <c r="H40" s="6">
        <f t="array" aca="1" ref="H40" ca="1">_FV(B40,"P/E",TRUE)</f>
        <v>208.35919999999999</v>
      </c>
      <c r="I40" s="6">
        <f t="array" aca="1" ref="I40" ca="1">_FV(B40,"Beta")</f>
        <v>2.5950000000000002</v>
      </c>
      <c r="J40" s="3">
        <f t="array" aca="1" ref="J40" ca="1">_FV(B40,"52 week high",TRUE)</f>
        <v>316.5</v>
      </c>
      <c r="K40" s="3">
        <f t="array" aca="1" ref="K40" ca="1">_FV(B40,"52 week low",TRUE)</f>
        <v>84.78</v>
      </c>
      <c r="L40" s="3">
        <f t="array" aca="1" ref="L40" ca="1">_FV(B40,"High")</f>
        <v>316.5</v>
      </c>
      <c r="M40" s="3">
        <f t="array" aca="1" ref="M40" ca="1">_FV(B40,"Low")</f>
        <v>290.5</v>
      </c>
      <c r="N40" s="3">
        <f t="array" aca="1" ref="N40" ca="1">_FV(B40,"Open")</f>
        <v>315</v>
      </c>
      <c r="O40" s="3" cm="1">
        <f t="array" aca="1" ref="O40" ca="1">_FV(B40,"Previous close",TRUE)</f>
        <v>306.88</v>
      </c>
      <c r="P40" s="7">
        <f t="array" aca="1" ref="P40" ca="1">_FV(B40,"Volume")</f>
        <v>3011391</v>
      </c>
      <c r="Q40" s="7">
        <f t="array" aca="1" ref="Q40" ca="1">_FV(B40,"Volume average",TRUE)</f>
        <v>6287038</v>
      </c>
      <c r="R40" s="8">
        <f t="array" aca="1" ref="R40" ca="1">_FV(B40,"Year incorporated",TRUE)</f>
        <v>2017</v>
      </c>
      <c r="S40" s="7">
        <f t="array" aca="1" ref="S40" ca="1">_FV(B40,"Employees")</f>
        <v>756</v>
      </c>
      <c r="T40" t="str">
        <f t="array" aca="1" ref="T40" ca="1">_FV(B40,"Industry")</f>
        <v>Semiconductors &amp; Semiconductor Equipment</v>
      </c>
      <c r="U40" s="7">
        <f t="array" aca="1" ref="U40" ca="1">_FV(B40,"Market cap",TRUE)</f>
        <v>52978753732</v>
      </c>
      <c r="V40" s="7">
        <f t="array" aca="1" ref="V40" ca="1">_FV(B40,"Shares outstanding",TRUE)</f>
        <v>171407900</v>
      </c>
    </row>
    <row r="41" spans="1:22">
      <c r="A41" t="s">
        <v>70</v>
      </c>
      <c r="B41" t="e" vm="45">
        <v>#VALUE!</v>
      </c>
      <c r="C41" s="2">
        <f t="array" aca="1" ref="C41" ca="1">_FV(B41,"Last trade time",TRUE)</f>
        <v>46168.605494721873</v>
      </c>
      <c r="D41" t="str">
        <f t="array" aca="1" ref="D41" ca="1">_FV(B41,"Currency")</f>
        <v>USD</v>
      </c>
      <c r="E41" s="3">
        <f t="array" aca="1" ref="E41" ca="1">_FV(B41,"Price")</f>
        <v>107.09</v>
      </c>
      <c r="F41" s="4">
        <f t="array" aca="1" ref="F41" ca="1">_FV(B41,"Change (%)",TRUE)</f>
        <v>1.5167E-2</v>
      </c>
      <c r="G41" s="5">
        <f t="array" aca="1" ref="G41" ca="1">_FV(B41,"Change")</f>
        <v>1.6</v>
      </c>
      <c r="H41" s="6">
        <f t="array" aca="1" ref="H41" ca="1">_FV(B41,"P/E",TRUE)</f>
        <v>0</v>
      </c>
      <c r="I41" s="6">
        <f t="array" aca="1" ref="I41" ca="1">_FV(B41,"Beta")</f>
        <v>2.4460000000000002</v>
      </c>
      <c r="J41" s="3">
        <f t="array" aca="1" ref="J41" ca="1">_FV(B41,"52 week high",TRUE)</f>
        <v>187</v>
      </c>
      <c r="K41" s="3">
        <f t="array" aca="1" ref="K41" ca="1">_FV(B41,"52 week low",TRUE)</f>
        <v>63.8</v>
      </c>
      <c r="L41" s="3">
        <f t="array" aca="1" ref="L41" ca="1">_FV(B41,"High")</f>
        <v>109.2</v>
      </c>
      <c r="M41" s="3">
        <f t="array" aca="1" ref="M41" ca="1">_FV(B41,"Low")</f>
        <v>106.02</v>
      </c>
      <c r="N41" s="3">
        <f t="array" aca="1" ref="N41" ca="1">_FV(B41,"Open")</f>
        <v>108.23</v>
      </c>
      <c r="O41" s="3">
        <f t="array" aca="1" ref="O41" ca="1">_FV(B41,"Previous close",TRUE)</f>
        <v>105.49</v>
      </c>
      <c r="P41" s="7">
        <f t="array" aca="1" ref="P41" ca="1">_FV(B41,"Volume")</f>
        <v>7686109</v>
      </c>
      <c r="Q41" s="7">
        <f t="array" aca="1" ref="Q41" ca="1">_FV(B41,"Volume average",TRUE)</f>
        <v>28779618</v>
      </c>
      <c r="R41" s="8">
        <f t="array" aca="1" ref="R41" ca="1">_FV(B41,"Year incorporated",TRUE)</f>
        <v>2017</v>
      </c>
      <c r="S41" s="7">
        <f t="array" aca="1" ref="S41" ca="1">_FV(B41,"Employees")</f>
        <v>2189</v>
      </c>
      <c r="T41" t="str">
        <f t="array" aca="1" ref="T41" ca="1">_FV(B41,"Industry")</f>
        <v>Software &amp; IT Services</v>
      </c>
      <c r="U41" s="7">
        <f t="array" aca="1" ref="U41" ca="1">_FV(B41,"Market cap",TRUE)</f>
        <v>58425134136</v>
      </c>
      <c r="V41" s="7">
        <f t="array" aca="1" ref="V41" ca="1">_FV(B41,"Shares outstanding",TRUE)</f>
        <v>545570400</v>
      </c>
    </row>
    <row r="42" spans="1:22">
      <c r="A42" t="s">
        <v>156</v>
      </c>
      <c r="B42" t="e" vm="46">
        <v>#VALUE!</v>
      </c>
      <c r="C42" s="2" cm="1">
        <f t="array" aca="1" ref="C42" ca="1">_FV(B42,"Last trade time",TRUE)</f>
        <v>46168.605482777341</v>
      </c>
      <c r="D42" t="str" cm="1">
        <f t="array" aca="1" ref="D42" ca="1">_FV(B42,"Currency")</f>
        <v>USD</v>
      </c>
      <c r="E42" s="3" cm="1">
        <f t="array" aca="1" ref="E42" ca="1">_FV(B42,"Price")</f>
        <v>77.37</v>
      </c>
      <c r="F42" s="4" cm="1">
        <f t="array" aca="1" ref="F42" ca="1">_FV(B42,"Change (%)",TRUE)</f>
        <v>1.2696000000000001E-2</v>
      </c>
      <c r="G42" s="5" cm="1">
        <f t="array" aca="1" ref="G42" ca="1">_FV(B42,"Change")</f>
        <v>0.97</v>
      </c>
      <c r="H42" s="6" t="e" cm="1" vm="12">
        <f t="array" ref="H42">_FV(B42,"P/E",TRUE)</f>
        <v>#VALUE!</v>
      </c>
      <c r="I42" s="6" cm="1">
        <f t="array" aca="1" ref="I42" ca="1">_FV(B42,"Beta")</f>
        <v>2.0520999999999998</v>
      </c>
      <c r="J42" s="3" cm="1">
        <f t="array" aca="1" ref="J42" ca="1">_FV(B42,"52 week high",TRUE)</f>
        <v>92.65</v>
      </c>
      <c r="K42" s="3" cm="1">
        <f t="array" aca="1" ref="K42" ca="1">_FV(B42,"52 week low",TRUE)</f>
        <v>55.02</v>
      </c>
      <c r="L42" s="3" cm="1">
        <f t="array" aca="1" ref="L42" ca="1">_FV(B42,"High")</f>
        <v>77.790000000000006</v>
      </c>
      <c r="M42" s="3" cm="1">
        <f t="array" aca="1" ref="M42" ca="1">_FV(B42,"Low")</f>
        <v>76.53</v>
      </c>
      <c r="N42" s="3" cm="1">
        <f t="array" aca="1" ref="N42" ca="1">_FV(B42,"Open")</f>
        <v>77.400000000000006</v>
      </c>
      <c r="O42" s="3" cm="1">
        <f t="array" aca="1" ref="O42" ca="1">_FV(B42,"Previous close",TRUE)</f>
        <v>76.400000000000006</v>
      </c>
      <c r="P42" s="7" cm="1">
        <f t="array" aca="1" ref="P42" ca="1">_FV(B42,"Volume")</f>
        <v>1211355</v>
      </c>
      <c r="Q42" s="7" cm="1">
        <f t="array" aca="1" ref="Q42" ca="1">_FV(B42,"Volume average",TRUE)</f>
        <v>7848548</v>
      </c>
      <c r="R42" s="8" t="e" cm="1" vm="13">
        <f t="array" ref="R42">_FV(B42,"Year incorporated",TRUE)</f>
        <v>#VALUE!</v>
      </c>
      <c r="S42" s="7" t="e" cm="1" vm="14">
        <f t="array" ref="S42">_FV(B42,"Employees")</f>
        <v>#VALUE!</v>
      </c>
      <c r="T42" t="e" cm="1" vm="15">
        <f t="array" ref="T42">_FV(B42,"Industry")</f>
        <v>#VALUE!</v>
      </c>
      <c r="U42" s="7" cm="1">
        <f t="array" aca="1" ref="U42" ca="1">_FV(B42,"Market cap",TRUE)</f>
        <v>6482466914.0900002</v>
      </c>
      <c r="V42" s="7" t="e" cm="1" vm="16">
        <f t="array" ref="V42">_FV(B42,"Shares outstanding",TRUE)</f>
        <v>#VALUE!</v>
      </c>
    </row>
    <row r="43" spans="1:22">
      <c r="A43" t="s">
        <v>78</v>
      </c>
      <c r="B43" t="e" vm="47">
        <v>#VALUE!</v>
      </c>
      <c r="C43" s="2">
        <f t="array" aca="1" ref="C43" ca="1">_FV(B43,"Last trade time",TRUE)</f>
        <v>46168.60559679375</v>
      </c>
      <c r="D43" t="str">
        <f t="array" aca="1" ref="D43" ca="1">_FV(B43,"Currency")</f>
        <v>USD</v>
      </c>
      <c r="E43" s="3">
        <f t="array" aca="1" ref="E43" ca="1">_FV(B43,"Price")</f>
        <v>313.88</v>
      </c>
      <c r="F43" s="4">
        <f t="array" aca="1" ref="F43" ca="1">_FV(B43,"Change (%)",TRUE)</f>
        <v>2.4045E-2</v>
      </c>
      <c r="G43" s="5">
        <f t="array" aca="1" ref="G43" ca="1">_FV(B43,"Change")</f>
        <v>7.37</v>
      </c>
      <c r="H43" s="6">
        <f t="array" aca="1" ref="H43" ca="1">_FV(B43,"P/E",TRUE)</f>
        <v>370.84120000000001</v>
      </c>
      <c r="I43" s="6">
        <f t="array" aca="1" ref="I43" ca="1">_FV(B43,"Beta")</f>
        <v>1.151</v>
      </c>
      <c r="J43" s="3">
        <f t="array" aca="1" ref="J43" ca="1">_FV(B43,"52 week high",TRUE)</f>
        <v>324.99990000000003</v>
      </c>
      <c r="K43" s="3">
        <f t="array" aca="1" ref="K43" ca="1">_FV(B43,"52 week low",TRUE)</f>
        <v>100.02</v>
      </c>
      <c r="L43" s="3">
        <f t="array" aca="1" ref="L43" ca="1">_FV(B43,"High")</f>
        <v>324.99990000000003</v>
      </c>
      <c r="M43" s="3">
        <f t="array" aca="1" ref="M43" ca="1">_FV(B43,"Low")</f>
        <v>300</v>
      </c>
      <c r="N43" s="3">
        <f t="array" aca="1" ref="N43" ca="1">_FV(B43,"Open")</f>
        <v>317.52</v>
      </c>
      <c r="O43" s="3">
        <f t="array" aca="1" ref="O43" ca="1">_FV(B43,"Previous close",TRUE)</f>
        <v>306.51</v>
      </c>
      <c r="P43" s="7">
        <f t="array" aca="1" ref="P43" ca="1">_FV(B43,"Volume")</f>
        <v>4451259</v>
      </c>
      <c r="Q43" s="7">
        <f t="array" aca="1" ref="Q43" ca="1">_FV(B43,"Volume average",TRUE)</f>
        <v>12284536</v>
      </c>
      <c r="R43" s="8">
        <f t="array" aca="1" ref="R43" ca="1">_FV(B43,"Year incorporated",TRUE)</f>
        <v>2018</v>
      </c>
      <c r="S43" s="7">
        <f t="array" aca="1" ref="S43" ca="1">_FV(B43,"Employees")</f>
        <v>9584</v>
      </c>
      <c r="T43" t="str">
        <f t="array" aca="1" ref="T43" ca="1">_FV(B43,"Industry")</f>
        <v>Semiconductors &amp; Semiconductor Equipment</v>
      </c>
      <c r="U43" s="7">
        <f t="array" aca="1" ref="U43" ca="1">_FV(B43,"Market cap",TRUE)</f>
        <v>333968320000</v>
      </c>
      <c r="V43" s="7">
        <f t="array" aca="1" ref="V43" ca="1">_FV(B43,"Shares outstanding",TRUE)</f>
        <v>1064000000</v>
      </c>
    </row>
    <row r="44" spans="1:22">
      <c r="A44" t="s">
        <v>44</v>
      </c>
      <c r="B44" t="e" vm="48">
        <v>#VALUE!</v>
      </c>
      <c r="C44" s="2">
        <f t="array" aca="1" ref="C44" ca="1">_FV(B44,"Last trade time",TRUE)</f>
        <v>46168.605518784374</v>
      </c>
      <c r="D44" t="str">
        <f t="array" aca="1" ref="D44" ca="1">_FV(B44,"Currency")</f>
        <v>USD</v>
      </c>
      <c r="E44" s="3">
        <f t="array" aca="1" ref="E44" ca="1">_FV(B44,"Price")</f>
        <v>194.495</v>
      </c>
      <c r="F44" s="4">
        <f t="array" aca="1" ref="F44" ca="1">_FV(B44,"Change (%)",TRUE)</f>
        <v>1.2573000000000001E-2</v>
      </c>
      <c r="G44" s="5">
        <f t="array" aca="1" ref="G44" ca="1">_FV(B44,"Change")</f>
        <v>2.415</v>
      </c>
      <c r="H44" s="6">
        <f t="array" aca="1" ref="H44" ca="1">_FV(B44,"P/E",TRUE)</f>
        <v>32.965800000000002</v>
      </c>
      <c r="I44" s="6">
        <f t="array" aca="1" ref="I44" ca="1">_FV(B44,"Beta")</f>
        <v>1.5724</v>
      </c>
      <c r="J44" s="3">
        <f t="array" aca="1" ref="J44" ca="1">_FV(B44,"52 week high",TRUE)</f>
        <v>345.72</v>
      </c>
      <c r="K44" s="3">
        <f t="array" aca="1" ref="K44" ca="1">_FV(B44,"52 week low",TRUE)</f>
        <v>134.57</v>
      </c>
      <c r="L44" s="3">
        <f t="array" aca="1" ref="L44" ca="1">_FV(B44,"High")</f>
        <v>195</v>
      </c>
      <c r="M44" s="3">
        <f t="array" aca="1" ref="M44" ca="1">_FV(B44,"Low")</f>
        <v>190.61</v>
      </c>
      <c r="N44" s="3">
        <f t="array" aca="1" ref="N44" ca="1">_FV(B44,"Open")</f>
        <v>193.30500000000001</v>
      </c>
      <c r="O44" s="3">
        <f t="array" aca="1" ref="O44" ca="1">_FV(B44,"Previous close",TRUE)</f>
        <v>192.08</v>
      </c>
      <c r="P44" s="7">
        <f t="array" aca="1" ref="P44" ca="1">_FV(B44,"Volume")</f>
        <v>3246479</v>
      </c>
      <c r="Q44" s="7">
        <f t="array" aca="1" ref="Q44" ca="1">_FV(B44,"Volume average",TRUE)</f>
        <v>23762431</v>
      </c>
      <c r="R44" s="8">
        <f t="array" aca="1" ref="R44" ca="1">_FV(B44,"Year incorporated",TRUE)</f>
        <v>2005</v>
      </c>
      <c r="S44" s="7">
        <f t="array" aca="1" ref="S44" ca="1">_FV(B44,"Employees")</f>
        <v>162000</v>
      </c>
      <c r="T44" t="str">
        <f t="array" aca="1" ref="T44" ca="1">_FV(B44,"Industry")</f>
        <v>Software &amp; IT Services</v>
      </c>
      <c r="U44" s="7">
        <f t="array" aca="1" ref="U44" ca="1">_FV(B44,"Market cap",TRUE)</f>
        <v>559376566770</v>
      </c>
      <c r="V44" s="7">
        <f t="array" aca="1" ref="V44" ca="1">_FV(B44,"Shares outstanding",TRUE)</f>
        <v>2876046000</v>
      </c>
    </row>
    <row r="45" spans="1:22">
      <c r="A45" t="s">
        <v>72</v>
      </c>
      <c r="B45" t="e" vm="49">
        <v>#VALUE!</v>
      </c>
      <c r="C45" s="2">
        <f t="array" aca="1" ref="C45" ca="1">_FV(B45,"Last trade time",TRUE)</f>
        <v>46168.605610219529</v>
      </c>
      <c r="D45" t="str">
        <f t="array" aca="1" ref="D45" ca="1">_FV(B45,"Currency")</f>
        <v>USD</v>
      </c>
      <c r="E45" s="3">
        <f t="array" aca="1" ref="E45" ca="1">_FV(B45,"Price")</f>
        <v>36.049999999999997</v>
      </c>
      <c r="F45" s="4">
        <f t="array" aca="1" ref="F45" ca="1">_FV(B45,"Change (%)",TRUE)</f>
        <v>1.321E-2</v>
      </c>
      <c r="G45" s="5">
        <f t="array" aca="1" ref="G45" ca="1">_FV(B45,"Change")</f>
        <v>0.47</v>
      </c>
      <c r="H45" s="6">
        <f t="array" aca="1" ref="H45" ca="1">_FV(B45,"P/E",TRUE)</f>
        <v>19.642600000000002</v>
      </c>
      <c r="I45" s="6">
        <f t="array" aca="1" ref="I45" ca="1">_FV(B45,"Beta")</f>
        <v>1.7202</v>
      </c>
      <c r="J45" s="3">
        <f t="array" aca="1" ref="J45" ca="1">_FV(B45,"52 week high",TRUE)</f>
        <v>62.357999999999997</v>
      </c>
      <c r="K45" s="3">
        <f t="array" aca="1" ref="K45" ca="1">_FV(B45,"52 week low",TRUE)</f>
        <v>19.48</v>
      </c>
      <c r="L45" s="3">
        <f t="array" aca="1" ref="L45" ca="1">_FV(B45,"High")</f>
        <v>36.36</v>
      </c>
      <c r="M45" s="3">
        <f t="array" aca="1" ref="M45" ca="1">_FV(B45,"Low")</f>
        <v>35.434699999999999</v>
      </c>
      <c r="N45" s="3">
        <f t="array" aca="1" ref="N45" ca="1">_FV(B45,"Open")</f>
        <v>36</v>
      </c>
      <c r="O45" s="3">
        <f t="array" aca="1" ref="O45" ca="1">_FV(B45,"Previous close",TRUE)</f>
        <v>35.58</v>
      </c>
      <c r="P45" s="7">
        <f t="array" aca="1" ref="P45" ca="1">_FV(B45,"Volume")</f>
        <v>10512235</v>
      </c>
      <c r="Q45" s="7">
        <f t="array" aca="1" ref="Q45" ca="1">_FV(B45,"Volume average",TRUE)</f>
        <v>37059778</v>
      </c>
      <c r="R45" s="8">
        <f t="array" aca="1" ref="R45" ca="1">_FV(B45,"Year incorporated",TRUE)</f>
        <v>2006</v>
      </c>
      <c r="S45" s="7">
        <f t="array" aca="1" ref="S45" ca="1">_FV(B45,"Employees")</f>
        <v>6238</v>
      </c>
      <c r="T45" t="str">
        <f t="array" aca="1" ref="T45" ca="1">_FV(B45,"Industry")</f>
        <v>Computers, Phones &amp; Household Electronics</v>
      </c>
      <c r="U45" s="7">
        <f t="array" aca="1" ref="U45" ca="1">_FV(B45,"Market cap",TRUE)</f>
        <v>21681136925</v>
      </c>
      <c r="V45" s="7">
        <f t="array" aca="1" ref="V45" ca="1">_FV(B45,"Shares outstanding",TRUE)</f>
        <v>601418500</v>
      </c>
    </row>
    <row r="46" spans="1:22">
      <c r="A46" t="s">
        <v>60</v>
      </c>
      <c r="B46" t="e" vm="50">
        <v>#VALUE!</v>
      </c>
      <c r="C46" s="2">
        <f t="array" aca="1" ref="C46" ca="1">_FV(B46,"Last trade time",TRUE)</f>
        <v>46168.605560878903</v>
      </c>
      <c r="D46" t="str">
        <f t="array" aca="1" ref="D46" ca="1">_FV(B46,"Currency")</f>
        <v>USD</v>
      </c>
      <c r="E46" s="3">
        <f t="array" aca="1" ref="E46" ca="1">_FV(B46,"Price")</f>
        <v>74.269900000000007</v>
      </c>
      <c r="F46" s="4">
        <f t="array" aca="1" ref="F46" ca="1">_FV(B46,"Change (%)",TRUE)</f>
        <v>8.5540000000000008E-3</v>
      </c>
      <c r="G46" s="5">
        <f t="array" aca="1" ref="G46" ca="1">_FV(B46,"Change")</f>
        <v>0.62990000000000002</v>
      </c>
      <c r="H46" s="6">
        <f t="array" aca="1" ref="H46" ca="1">_FV(B46,"P/E",TRUE)</f>
        <v>41.316099999999999</v>
      </c>
      <c r="I46" s="6">
        <f t="array" aca="1" ref="I46" ca="1">_FV(B46,"Beta")</f>
        <v>2.2747999999999999</v>
      </c>
      <c r="J46" s="3">
        <f t="array" aca="1" ref="J46" ca="1">_FV(B46,"52 week high",TRUE)</f>
        <v>153.85990000000001</v>
      </c>
      <c r="K46" s="3">
        <f t="array" aca="1" ref="K46" ca="1">_FV(B46,"52 week low",TRUE)</f>
        <v>62.92</v>
      </c>
      <c r="L46" s="3">
        <f t="array" aca="1" ref="L46" ca="1">_FV(B46,"High")</f>
        <v>76.025000000000006</v>
      </c>
      <c r="M46" s="3">
        <f t="array" aca="1" ref="M46" ca="1">_FV(B46,"Low")</f>
        <v>73.819999999999993</v>
      </c>
      <c r="N46" s="3">
        <f t="array" aca="1" ref="N46" ca="1">_FV(B46,"Open")</f>
        <v>74.42</v>
      </c>
      <c r="O46" s="3">
        <f t="array" aca="1" ref="O46" ca="1">_FV(B46,"Previous close",TRUE)</f>
        <v>73.64</v>
      </c>
      <c r="P46" s="7">
        <f t="array" aca="1" ref="P46" ca="1">_FV(B46,"Volume")</f>
        <v>6240183</v>
      </c>
      <c r="Q46" s="7">
        <f t="array" aca="1" ref="Q46" ca="1">_FV(B46,"Volume average",TRUE)</f>
        <v>26479684</v>
      </c>
      <c r="R46" s="8">
        <f t="array" aca="1" ref="R46" ca="1">_FV(B46,"Year incorporated",TRUE)</f>
        <v>2013</v>
      </c>
      <c r="S46" s="7">
        <f t="array" aca="1" ref="S46" ca="1">_FV(B46,"Employees")</f>
        <v>2900</v>
      </c>
      <c r="T46" t="str">
        <f t="array" aca="1" ref="T46" ca="1">_FV(B46,"Industry")</f>
        <v>Financial Technology (Fintech) &amp; Infrastructure</v>
      </c>
      <c r="U46" s="7">
        <f t="array" aca="1" ref="U46" ca="1">_FV(B46,"Market cap",TRUE)</f>
        <v>66880423726</v>
      </c>
      <c r="V46" s="7">
        <f t="array" aca="1" ref="V46" ca="1">_FV(B46,"Shares outstanding",TRUE)</f>
        <v>900505100</v>
      </c>
    </row>
    <row r="47" spans="1:22">
      <c r="A47" t="s">
        <v>45</v>
      </c>
      <c r="B47" t="e" vm="51">
        <v>#VALUE!</v>
      </c>
      <c r="C47" s="2">
        <f t="array" aca="1" ref="C47" ca="1">_FV(B47,"Last trade time",TRUE)</f>
        <v>46168.605575624999</v>
      </c>
      <c r="D47" t="str">
        <f t="array" aca="1" ref="D47" ca="1">_FV(B47,"Currency")</f>
        <v>USD</v>
      </c>
      <c r="E47" s="3">
        <f t="array" aca="1" ref="E47" ca="1">_FV(B47,"Price")</f>
        <v>383.3501</v>
      </c>
      <c r="F47" s="4">
        <f t="array" aca="1" ref="F47" ca="1">_FV(B47,"Change (%)",TRUE)</f>
        <v>1.0465E-2</v>
      </c>
      <c r="G47" s="5">
        <f t="array" aca="1" ref="G47" ca="1">_FV(B47,"Change")</f>
        <v>3.9701</v>
      </c>
      <c r="H47" s="6">
        <f t="array" aca="1" ref="H47" ca="1">_FV(B47,"P/E",TRUE)</f>
        <v>29.277000000000001</v>
      </c>
      <c r="I47" s="6">
        <f t="array" aca="1" ref="I47" ca="1">_FV(B47,"Beta")</f>
        <v>1.2525999999999999</v>
      </c>
      <c r="J47" s="3">
        <f t="array" aca="1" ref="J47" ca="1">_FV(B47,"52 week high",TRUE)</f>
        <v>404.47</v>
      </c>
      <c r="K47" s="3">
        <f t="array" aca="1" ref="K47" ca="1">_FV(B47,"52 week low",TRUE)</f>
        <v>163.33000000000001</v>
      </c>
      <c r="L47" s="3">
        <f t="array" aca="1" ref="L47" ca="1">_FV(B47,"High")</f>
        <v>384.41250000000002</v>
      </c>
      <c r="M47" s="3">
        <f t="array" aca="1" ref="M47" ca="1">_FV(B47,"Low")</f>
        <v>379.14</v>
      </c>
      <c r="N47" s="3">
        <f t="array" aca="1" ref="N47" ca="1">_FV(B47,"Open")</f>
        <v>380.63</v>
      </c>
      <c r="O47" s="3">
        <f t="array" aca="1" ref="O47" ca="1">_FV(B47,"Previous close",TRUE)</f>
        <v>379.38</v>
      </c>
      <c r="P47" s="7">
        <f t="array" aca="1" ref="P47" ca="1">_FV(B47,"Volume")</f>
        <v>3957341</v>
      </c>
      <c r="Q47" s="7">
        <f t="array" aca="1" ref="Q47" ca="1">_FV(B47,"Volume average",TRUE)</f>
        <v>18429688</v>
      </c>
      <c r="R47" s="8">
        <f t="array" aca="1" ref="R47" ca="1">_FV(B47,"Year incorporated",TRUE)</f>
        <v>2015</v>
      </c>
      <c r="S47" s="7">
        <f t="array" aca="1" ref="S47" ca="1">_FV(B47,"Employees")</f>
        <v>194668</v>
      </c>
      <c r="T47" t="str">
        <f t="array" aca="1" ref="T47" ca="1">_FV(B47,"Industry")</f>
        <v>Software &amp; IT Services</v>
      </c>
      <c r="U47" s="7">
        <f t="array" aca="1" ref="U47" ca="1">_FV(B47,"Market cap",TRUE)</f>
        <v>4644669811600</v>
      </c>
      <c r="V47" s="7">
        <f t="array" aca="1" ref="V47" ca="1">_FV(B47,"Shares outstanding",TRUE)</f>
        <v>12116000000</v>
      </c>
    </row>
    <row r="48" spans="1:22">
      <c r="A48" t="s">
        <v>139</v>
      </c>
      <c r="B48" t="e" vm="52">
        <v>#VALUE!</v>
      </c>
      <c r="C48" s="2" cm="1">
        <f t="array" aca="1" ref="C48" ca="1">_FV(B48,"Last trade time",TRUE)</f>
        <v>46168.60551517344</v>
      </c>
      <c r="D48" t="str" cm="1">
        <f t="array" aca="1" ref="D48" ca="1">_FV(B48,"Currency")</f>
        <v>USD</v>
      </c>
      <c r="E48" s="3" cm="1">
        <f t="array" aca="1" ref="E48" ca="1">_FV(B48,"Price")</f>
        <v>218.54</v>
      </c>
      <c r="F48" s="4" cm="1">
        <f t="array" aca="1" ref="F48" ca="1">_FV(B48,"Change (%)",TRUE)</f>
        <v>1.0964E-2</v>
      </c>
      <c r="G48" s="5" cm="1">
        <f t="array" aca="1" ref="G48" ca="1">_FV(B48,"Change")</f>
        <v>2.37</v>
      </c>
      <c r="H48" s="6" t="e" cm="1" vm="12">
        <f t="array" ref="H48">_FV(B48,"P/E",TRUE)</f>
        <v>#VALUE!</v>
      </c>
      <c r="I48" s="6" cm="1">
        <f t="array" aca="1" ref="I48" ca="1">_FV(B48,"Beta")</f>
        <v>1.6654</v>
      </c>
      <c r="J48" s="3" cm="1">
        <f t="array" aca="1" ref="J48" ca="1">_FV(B48,"52 week high",TRUE)</f>
        <v>260</v>
      </c>
      <c r="K48" s="3" cm="1">
        <f t="array" aca="1" ref="K48" ca="1">_FV(B48,"52 week low",TRUE)</f>
        <v>158.83000000000001</v>
      </c>
      <c r="L48" s="3" cm="1">
        <f t="array" aca="1" ref="L48" ca="1">_FV(B48,"High")</f>
        <v>219.06379999999999</v>
      </c>
      <c r="M48" s="3" cm="1">
        <f t="array" aca="1" ref="M48" ca="1">_FV(B48,"Low")</f>
        <v>208.24</v>
      </c>
      <c r="N48" s="3" cm="1">
        <f t="array" aca="1" ref="N48" ca="1">_FV(B48,"Open")</f>
        <v>216.96</v>
      </c>
      <c r="O48" s="3" cm="1">
        <f t="array" aca="1" ref="O48" ca="1">_FV(B48,"Previous close",TRUE)</f>
        <v>216.17</v>
      </c>
      <c r="P48" s="7" cm="1">
        <f t="array" aca="1" ref="P48" ca="1">_FV(B48,"Volume")</f>
        <v>941066</v>
      </c>
      <c r="Q48" s="7" cm="1">
        <f t="array" aca="1" ref="Q48" ca="1">_FV(B48,"Volume average",TRUE)</f>
        <v>4332008</v>
      </c>
      <c r="R48" s="8" cm="1">
        <f t="array" aca="1" ref="R48" ca="1">_FV(B48,"Year incorporated",TRUE)</f>
        <v>2009</v>
      </c>
      <c r="S48" s="7" cm="1">
        <f t="array" aca="1" ref="S48" ca="1">_FV(B48,"Employees")</f>
        <v>5483</v>
      </c>
      <c r="T48" t="str" cm="1">
        <f t="array" aca="1" ref="T48" ca="1">_FV(B48,"Industry")</f>
        <v>Software &amp; IT Services</v>
      </c>
      <c r="U48" s="7" cm="1">
        <f t="array" aca="1" ref="U48" ca="1">_FV(B48,"Market cap",TRUE)</f>
        <v>77246503348</v>
      </c>
      <c r="V48" s="7" cm="1">
        <f t="array" aca="1" ref="V48" ca="1">_FV(B48,"Shares outstanding",TRUE)</f>
        <v>353466200</v>
      </c>
    </row>
    <row r="49" spans="1:22">
      <c r="A49" t="s">
        <v>147</v>
      </c>
      <c r="B49" t="e" vm="53">
        <v>#VALUE!</v>
      </c>
      <c r="C49" s="2" cm="1">
        <f t="array" aca="1" ref="C49" ca="1">_FV(B49,"Last trade time",TRUE)</f>
        <v>46168.605602094533</v>
      </c>
      <c r="D49" t="str" cm="1">
        <f t="array" aca="1" ref="D49" ca="1">_FV(B49,"Currency")</f>
        <v>USD</v>
      </c>
      <c r="E49" s="3" cm="1">
        <f t="array" aca="1" ref="E49" ca="1">_FV(B49,"Price")</f>
        <v>455.45499999999998</v>
      </c>
      <c r="F49" s="4" cm="1">
        <f t="array" aca="1" ref="F49" ca="1">_FV(B49,"Change (%)",TRUE)</f>
        <v>6.9979999999999999E-3</v>
      </c>
      <c r="G49" s="5" cm="1">
        <f t="array" aca="1" ref="G49" ca="1">_FV(B49,"Change")</f>
        <v>3.165</v>
      </c>
      <c r="H49" s="6" cm="1">
        <f t="array" aca="1" ref="H49" ca="1">_FV(B49,"P/E",TRUE)</f>
        <v>47.314100000000003</v>
      </c>
      <c r="I49" s="6" cm="1">
        <f t="array" aca="1" ref="I49" ca="1">_FV(B49,"Beta")</f>
        <v>1.5677000000000001</v>
      </c>
      <c r="J49" s="3" cm="1">
        <f t="array" aca="1" ref="J49" ca="1">_FV(B49,"52 week high",TRUE)</f>
        <v>463.48500000000001</v>
      </c>
      <c r="K49" s="3" cm="1">
        <f t="array" aca="1" ref="K49" ca="1">_FV(B49,"52 week low",TRUE)</f>
        <v>305.44009999999997</v>
      </c>
      <c r="L49" s="3" cm="1">
        <f t="array" aca="1" ref="L49" ca="1">_FV(B49,"High")</f>
        <v>458.53</v>
      </c>
      <c r="M49" s="3" cm="1">
        <f t="array" aca="1" ref="M49" ca="1">_FV(B49,"Low")</f>
        <v>452.28500000000003</v>
      </c>
      <c r="N49" s="3" cm="1">
        <f t="array" aca="1" ref="N49" ca="1">_FV(B49,"Open")</f>
        <v>454.55</v>
      </c>
      <c r="O49" s="3" cm="1">
        <f t="array" aca="1" ref="O49" ca="1">_FV(B49,"Previous close",TRUE)</f>
        <v>452.29</v>
      </c>
      <c r="P49" s="7" cm="1">
        <f t="array" aca="1" ref="P49" ca="1">_FV(B49,"Volume")</f>
        <v>126285</v>
      </c>
      <c r="Q49" s="7" cm="1">
        <f t="array" aca="1" ref="Q49" ca="1">_FV(B49,"Volume average",TRUE)</f>
        <v>788597</v>
      </c>
      <c r="R49" s="8" cm="1">
        <f t="array" aca="1" ref="R49" ca="1">_FV(B49,"Year incorporated",TRUE)</f>
        <v>1996</v>
      </c>
      <c r="S49" s="7" cm="1">
        <f t="array" aca="1" ref="S49" ca="1">_FV(B49,"Employees")</f>
        <v>26000</v>
      </c>
      <c r="T49" t="str" cm="1">
        <f t="array" aca="1" ref="T49" ca="1">_FV(B49,"Industry")</f>
        <v>Machinery, Equipment &amp; Components</v>
      </c>
      <c r="U49" s="7" cm="1">
        <f t="array" aca="1" ref="U49" ca="1">_FV(B49,"Market cap",TRUE)</f>
        <v>50680254124</v>
      </c>
      <c r="V49" s="7" cm="1">
        <f t="array" aca="1" ref="V49" ca="1">_FV(B49,"Shares outstanding",TRUE)</f>
        <v>111273900</v>
      </c>
    </row>
    <row r="50" spans="1:22">
      <c r="A50" t="s">
        <v>35</v>
      </c>
      <c r="B50" t="e" vm="54">
        <v>#VALUE!</v>
      </c>
      <c r="C50" s="2">
        <f t="array" aca="1" ref="C50" ca="1">_FV(B50,"Last trade time",TRUE)</f>
        <v>46168.605603043747</v>
      </c>
      <c r="D50" t="str">
        <f t="array" aca="1" ref="D50" ca="1">_FV(B50,"Currency")</f>
        <v>USD</v>
      </c>
      <c r="E50" s="3">
        <f t="array" aca="1" ref="E50" ca="1">_FV(B50,"Price")</f>
        <v>311.5</v>
      </c>
      <c r="F50" s="4">
        <f t="array" aca="1" ref="F50" ca="1">_FV(B50,"Change (%)",TRUE)</f>
        <v>8.6779999999999999E-3</v>
      </c>
      <c r="G50" s="5">
        <f t="array" aca="1" ref="G50" ca="1">_FV(B50,"Change")</f>
        <v>2.68</v>
      </c>
      <c r="H50" s="6">
        <f t="array" aca="1" ref="H50" ca="1">_FV(B50,"P/E",TRUE)</f>
        <v>37.831899999999997</v>
      </c>
      <c r="I50" s="6">
        <f t="array" aca="1" ref="I50" ca="1">_FV(B50,"Beta")</f>
        <v>1.0824</v>
      </c>
      <c r="J50" s="3">
        <f t="array" aca="1" ref="J50" ca="1">_FV(B50,"52 week high",TRUE)</f>
        <v>311.82</v>
      </c>
      <c r="K50" s="3">
        <f t="array" aca="1" ref="K50" ca="1">_FV(B50,"52 week low",TRUE)</f>
        <v>195.07</v>
      </c>
      <c r="L50" s="3">
        <f t="array" aca="1" ref="L50" ca="1">_FV(B50,"High")</f>
        <v>311.82</v>
      </c>
      <c r="M50" s="3">
        <f t="array" aca="1" ref="M50" ca="1">_FV(B50,"Low")</f>
        <v>309.35000000000002</v>
      </c>
      <c r="N50" s="3">
        <f t="array" aca="1" ref="N50" ca="1">_FV(B50,"Open")</f>
        <v>309.57</v>
      </c>
      <c r="O50" s="3">
        <f t="array" aca="1" ref="O50" ca="1">_FV(B50,"Previous close",TRUE)</f>
        <v>308.82</v>
      </c>
      <c r="P50" s="7">
        <f t="array" aca="1" ref="P50" ca="1">_FV(B50,"Volume")</f>
        <v>9422483</v>
      </c>
      <c r="Q50" s="7">
        <f t="array" aca="1" ref="Q50" ca="1">_FV(B50,"Volume average",TRUE)</f>
        <v>46783820</v>
      </c>
      <c r="R50" s="8">
        <f t="array" aca="1" ref="R50" ca="1">_FV(B50,"Year incorporated",TRUE)</f>
        <v>1977</v>
      </c>
      <c r="S50" s="7">
        <f t="array" aca="1" ref="S50" ca="1">_FV(B50,"Employees")</f>
        <v>166000</v>
      </c>
      <c r="T50" t="str">
        <f t="array" aca="1" ref="T50" ca="1">_FV(B50,"Industry")</f>
        <v>Computers, Phones &amp; Household Electronics</v>
      </c>
      <c r="U50" s="7">
        <f t="array" aca="1" ref="U50" ca="1">_FV(B50,"Market cap",TRUE)</f>
        <v>4575112640000</v>
      </c>
      <c r="V50" s="7">
        <f t="array" aca="1" ref="V50" ca="1">_FV(B50,"Shares outstanding",TRUE)</f>
        <v>14687360000</v>
      </c>
    </row>
    <row r="51" spans="1:22">
      <c r="A51" t="s">
        <v>152</v>
      </c>
      <c r="B51" t="e" vm="55">
        <v>#VALUE!</v>
      </c>
      <c r="C51" s="2" cm="1">
        <f t="array" aca="1" ref="C51" ca="1">_FV(B51,"Last trade time",TRUE)</f>
        <v>46168.605606284378</v>
      </c>
      <c r="D51" t="str" cm="1">
        <f t="array" aca="1" ref="D51" ca="1">_FV(B51,"Currency")</f>
        <v>USD</v>
      </c>
      <c r="E51" s="3" cm="1">
        <f t="array" aca="1" ref="E51" ca="1">_FV(B51,"Price")</f>
        <v>751.58270000000005</v>
      </c>
      <c r="F51" s="4" cm="1">
        <f t="array" aca="1" ref="F51" ca="1">_FV(B51,"Change (%)",TRUE)</f>
        <v>7.9699999999999997E-3</v>
      </c>
      <c r="G51" s="5" cm="1">
        <f t="array" aca="1" ref="G51" ca="1">_FV(B51,"Change")</f>
        <v>5.9427000000000003</v>
      </c>
      <c r="H51" s="6" t="e" cm="1" vm="12">
        <f t="array" ref="H51">_FV(B51,"P/E",TRUE)</f>
        <v>#VALUE!</v>
      </c>
      <c r="I51" s="6" cm="1">
        <f t="array" aca="1" ref="I51" ca="1">_FV(B51,"Beta")</f>
        <v>0.99870000000000003</v>
      </c>
      <c r="J51" s="3" cm="1">
        <f t="array" aca="1" ref="J51" ca="1">_FV(B51,"52 week high",TRUE)</f>
        <v>751.8691</v>
      </c>
      <c r="K51" s="3" cm="1">
        <f t="array" aca="1" ref="K51" ca="1">_FV(B51,"52 week low",TRUE)</f>
        <v>578.42999999999995</v>
      </c>
      <c r="L51" s="3" cm="1">
        <f t="array" aca="1" ref="L51" ca="1">_FV(B51,"High")</f>
        <v>751.8691</v>
      </c>
      <c r="M51" s="3" cm="1">
        <f t="array" aca="1" ref="M51" ca="1">_FV(B51,"Low")</f>
        <v>749.15</v>
      </c>
      <c r="N51" s="3" cm="1">
        <f t="array" aca="1" ref="N51" ca="1">_FV(B51,"Open")</f>
        <v>750.14</v>
      </c>
      <c r="O51" s="3" cm="1">
        <f t="array" aca="1" ref="O51" ca="1">_FV(B51,"Previous close",TRUE)</f>
        <v>745.64</v>
      </c>
      <c r="P51" s="7" cm="1">
        <f t="array" aca="1" ref="P51" ca="1">_FV(B51,"Volume")</f>
        <v>7271177</v>
      </c>
      <c r="Q51" s="7" cm="1">
        <f t="array" aca="1" ref="Q51" ca="1">_FV(B51,"Volume average",TRUE)</f>
        <v>47879214</v>
      </c>
      <c r="R51" s="8" t="e" cm="1" vm="13">
        <f t="array" ref="R51">_FV(B51,"Year incorporated",TRUE)</f>
        <v>#VALUE!</v>
      </c>
      <c r="S51" s="7" t="e" cm="1" vm="14">
        <f t="array" ref="S51">_FV(B51,"Employees")</f>
        <v>#VALUE!</v>
      </c>
      <c r="T51" t="e" cm="1" vm="15">
        <f t="array" ref="T51">_FV(B51,"Industry")</f>
        <v>#VALUE!</v>
      </c>
      <c r="U51" s="7" cm="1">
        <f t="array" aca="1" ref="U51" ca="1">_FV(B51,"Market cap",TRUE)</f>
        <v>735060829033.51001</v>
      </c>
      <c r="V51" s="7" t="e" cm="1" vm="16">
        <f t="array" ref="V51">_FV(B51,"Shares outstanding",TRUE)</f>
        <v>#VALUE!</v>
      </c>
    </row>
    <row r="52" spans="1:22">
      <c r="A52" t="s">
        <v>59</v>
      </c>
      <c r="B52" t="e" vm="56">
        <v>#VALUE!</v>
      </c>
      <c r="C52" s="2">
        <f t="array" aca="1" ref="C52" ca="1">_FV(B52,"Last trade time",TRUE)</f>
        <v>46168.605568043749</v>
      </c>
      <c r="D52" t="str">
        <f t="array" aca="1" ref="D52" ca="1">_FV(B52,"Currency")</f>
        <v>USD</v>
      </c>
      <c r="E52" s="3">
        <f t="array" aca="1" ref="E52" ca="1">_FV(B52,"Price")</f>
        <v>218.065</v>
      </c>
      <c r="F52" s="4">
        <f t="array" aca="1" ref="F52" ca="1">_FV(B52,"Change (%)",TRUE)</f>
        <v>1.2701E-2</v>
      </c>
      <c r="G52" s="5">
        <f t="array" aca="1" ref="G52" ca="1">_FV(B52,"Change")</f>
        <v>2.7349999999999999</v>
      </c>
      <c r="H52" s="6">
        <f t="array" aca="1" ref="H52" ca="1">_FV(B52,"P/E",TRUE)</f>
        <v>33.394300000000001</v>
      </c>
      <c r="I52" s="6">
        <f t="array" aca="1" ref="I52" ca="1">_FV(B52,"Beta")</f>
        <v>2.2374999999999998</v>
      </c>
      <c r="J52" s="3">
        <f t="array" aca="1" ref="J52" ca="1">_FV(B52,"52 week high",TRUE)</f>
        <v>236.54</v>
      </c>
      <c r="K52" s="3">
        <f t="array" aca="1" ref="K52" ca="1">_FV(B52,"52 week low",TRUE)</f>
        <v>132.91999999999999</v>
      </c>
      <c r="L52" s="3">
        <f t="array" aca="1" ref="L52" ca="1">_FV(B52,"High")</f>
        <v>218.18</v>
      </c>
      <c r="M52" s="3">
        <f t="array" aca="1" ref="M52" ca="1">_FV(B52,"Low")</f>
        <v>214.28</v>
      </c>
      <c r="N52" s="3">
        <f t="array" aca="1" ref="N52" ca="1">_FV(B52,"Open")</f>
        <v>216.51</v>
      </c>
      <c r="O52" s="3">
        <f t="array" aca="1" ref="O52" ca="1">_FV(B52,"Previous close",TRUE)</f>
        <v>215.33</v>
      </c>
      <c r="P52" s="7">
        <f t="array" aca="1" ref="P52" ca="1">_FV(B52,"Volume")</f>
        <v>49996640</v>
      </c>
      <c r="Q52" s="7">
        <f t="array" aca="1" ref="Q52" ca="1">_FV(B52,"Volume average",TRUE)</f>
        <v>156622118</v>
      </c>
      <c r="R52" s="8">
        <f t="array" aca="1" ref="R52" ca="1">_FV(B52,"Year incorporated",TRUE)</f>
        <v>1998</v>
      </c>
      <c r="S52" s="7">
        <f t="array" aca="1" ref="S52" ca="1">_FV(B52,"Employees")</f>
        <v>42000</v>
      </c>
      <c r="T52" t="str">
        <f t="array" aca="1" ref="T52" ca="1">_FV(B52,"Industry")</f>
        <v>Semiconductors &amp; Semiconductor Equipment</v>
      </c>
      <c r="U52" s="7">
        <f t="array" aca="1" ref="U52" ca="1">_FV(B52,"Market cap",TRUE)</f>
        <v>5277173000000</v>
      </c>
      <c r="V52" s="7">
        <f t="array" aca="1" ref="V52" ca="1">_FV(B52,"Shares outstanding",TRUE)</f>
        <v>24200000000</v>
      </c>
    </row>
    <row r="53" spans="1:22">
      <c r="A53" t="s">
        <v>310</v>
      </c>
      <c r="B53" t="e" vm="57">
        <v>#VALUE!</v>
      </c>
      <c r="C53" s="2" cm="1">
        <f t="array" aca="1" ref="C53" ca="1">_FV(B53,"Last trade time",TRUE)</f>
        <v>46168.605593830471</v>
      </c>
      <c r="D53" t="str" cm="1">
        <f t="array" aca="1" ref="D53" ca="1">_FV(B53,"Currency")</f>
        <v>USD</v>
      </c>
      <c r="E53" s="3" cm="1">
        <f t="array" aca="1" ref="E53" ca="1">_FV(B53,"Price")</f>
        <v>3.0449999999999999</v>
      </c>
      <c r="F53" s="4" cm="1">
        <f t="array" aca="1" ref="F53" ca="1">_FV(B53,"Change (%)",TRUE)</f>
        <v>1.1628000000000001E-2</v>
      </c>
      <c r="G53" s="5" cm="1">
        <f t="array" aca="1" ref="G53" ca="1">_FV(B53,"Change")</f>
        <v>3.5000000000000003E-2</v>
      </c>
      <c r="H53" s="6" cm="1">
        <f t="array" aca="1" ref="H53" ca="1">_FV(B53,"P/E",TRUE)</f>
        <v>0</v>
      </c>
      <c r="I53" s="6" cm="1">
        <f t="array" aca="1" ref="I53" ca="1">_FV(B53,"Beta")</f>
        <v>1.0073000000000001</v>
      </c>
      <c r="J53" s="3" cm="1">
        <f t="array" aca="1" ref="J53" ca="1">_FV(B53,"52 week high",TRUE)</f>
        <v>7.18</v>
      </c>
      <c r="K53" s="3" cm="1">
        <f t="array" aca="1" ref="K53" ca="1">_FV(B53,"52 week low",TRUE)</f>
        <v>2.77</v>
      </c>
      <c r="L53" s="3" cm="1">
        <f t="array" aca="1" ref="L53" ca="1">_FV(B53,"High")</f>
        <v>3.14</v>
      </c>
      <c r="M53" s="3" cm="1">
        <f t="array" aca="1" ref="M53" ca="1">_FV(B53,"Low")</f>
        <v>2.99</v>
      </c>
      <c r="N53" s="3" cm="1">
        <f t="array" aca="1" ref="N53" ca="1">_FV(B53,"Open")</f>
        <v>3.03</v>
      </c>
      <c r="O53" s="3" cm="1">
        <f t="array" aca="1" ref="O53" ca="1">_FV(B53,"Previous close",TRUE)</f>
        <v>3.01</v>
      </c>
      <c r="P53" s="7" cm="1">
        <f t="array" aca="1" ref="P53" ca="1">_FV(B53,"Volume")</f>
        <v>9755377</v>
      </c>
      <c r="Q53" s="7" cm="1">
        <f t="array" aca="1" ref="Q53" ca="1">_FV(B53,"Volume average",TRUE)</f>
        <v>13106952</v>
      </c>
      <c r="R53" s="8" cm="1">
        <f t="array" aca="1" ref="R53" ca="1">_FV(B53,"Year incorporated",TRUE)</f>
        <v>2013</v>
      </c>
      <c r="S53" s="7" cm="1">
        <f t="array" aca="1" ref="S53" ca="1">_FV(B53,"Employees")</f>
        <v>600</v>
      </c>
      <c r="T53" t="str" cm="1">
        <f t="array" aca="1" ref="T53" ca="1">_FV(B53,"Industry")</f>
        <v>Biotechnology &amp; Medical Research</v>
      </c>
      <c r="U53" s="7" cm="1">
        <f t="array" aca="1" ref="U53" ca="1">_FV(B53,"Market cap",TRUE)</f>
        <v>1613561334</v>
      </c>
      <c r="V53" s="7" cm="1">
        <f t="array" aca="1" ref="V53" ca="1">_FV(B53,"Shares outstanding",TRUE)</f>
        <v>529905200</v>
      </c>
    </row>
    <row r="54" spans="1:22">
      <c r="A54" t="s">
        <v>142</v>
      </c>
      <c r="B54" t="e" vm="58">
        <v>#VALUE!</v>
      </c>
      <c r="C54" s="2" cm="1">
        <f t="array" aca="1" ref="C54" ca="1">_FV(B54,"Last trade time",TRUE)</f>
        <v>46168.60555172422</v>
      </c>
      <c r="D54" t="str" cm="1">
        <f t="array" aca="1" ref="D54" ca="1">_FV(B54,"Currency")</f>
        <v>USD</v>
      </c>
      <c r="E54" s="3" cm="1">
        <f t="array" aca="1" ref="E54" ca="1">_FV(B54,"Price")</f>
        <v>666.39</v>
      </c>
      <c r="F54" s="4" cm="1">
        <f t="array" aca="1" ref="F54" ca="1">_FV(B54,"Change (%)",TRUE)</f>
        <v>4.4159999999999998E-3</v>
      </c>
      <c r="G54" s="5" cm="1">
        <f t="array" aca="1" ref="G54" ca="1">_FV(B54,"Change")</f>
        <v>2.93</v>
      </c>
      <c r="H54" s="6" cm="1">
        <f t="array" aca="1" ref="H54" ca="1">_FV(B54,"P/E",TRUE)</f>
        <v>0</v>
      </c>
      <c r="I54" s="6" cm="1">
        <f t="array" aca="1" ref="I54" ca="1">_FV(B54,"Beta")</f>
        <v>1.1557999999999999</v>
      </c>
      <c r="J54" s="3" cm="1">
        <f t="array" aca="1" ref="J54" ca="1">_FV(B54,"52 week high",TRUE)</f>
        <v>674.84</v>
      </c>
      <c r="K54" s="3" cm="1">
        <f t="array" aca="1" ref="K54" ca="1">_FV(B54,"52 week low",TRUE)</f>
        <v>342.72</v>
      </c>
      <c r="L54" s="3" cm="1">
        <f t="array" aca="1" ref="L54" ca="1">_FV(B54,"High")</f>
        <v>669.69</v>
      </c>
      <c r="M54" s="3" cm="1">
        <f t="array" aca="1" ref="M54" ca="1">_FV(B54,"Low")</f>
        <v>648</v>
      </c>
      <c r="N54" s="3" cm="1">
        <f t="array" aca="1" ref="N54" ca="1">_FV(B54,"Open")</f>
        <v>664.38</v>
      </c>
      <c r="O54" s="3" cm="1">
        <f t="array" aca="1" ref="O54" ca="1">_FV(B54,"Previous close",TRUE)</f>
        <v>663.46</v>
      </c>
      <c r="P54" s="7" cm="1">
        <f t="array" aca="1" ref="P54" ca="1">_FV(B54,"Volume")</f>
        <v>653576</v>
      </c>
      <c r="Q54" s="7" cm="1">
        <f t="array" aca="1" ref="Q54" ca="1">_FV(B54,"Volume average",TRUE)</f>
        <v>3021963</v>
      </c>
      <c r="R54" s="8" cm="1">
        <f t="array" aca="1" ref="R54" ca="1">_FV(B54,"Year incorporated",TRUE)</f>
        <v>2011</v>
      </c>
      <c r="S54" s="7" cm="1">
        <f t="array" aca="1" ref="S54" ca="1">_FV(B54,"Employees")</f>
        <v>10698</v>
      </c>
      <c r="T54" t="str" cm="1">
        <f t="array" aca="1" ref="T54" ca="1">_FV(B54,"Industry")</f>
        <v>Software &amp; IT Services</v>
      </c>
      <c r="U54" s="7" cm="1">
        <f t="array" aca="1" ref="U54" ca="1">_FV(B54,"Market cap",TRUE)</f>
        <v>169620578235</v>
      </c>
      <c r="V54" s="7" cm="1">
        <f t="array" aca="1" ref="V54" ca="1">_FV(B54,"Shares outstanding",TRUE)</f>
        <v>254536500</v>
      </c>
    </row>
    <row r="55" spans="1:22">
      <c r="A55" t="s">
        <v>56</v>
      </c>
      <c r="B55" t="e" vm="59">
        <v>#VALUE!</v>
      </c>
      <c r="C55" s="2">
        <f t="array" aca="1" ref="C55" ca="1">_FV(B55,"Last trade time",TRUE)</f>
        <v>46167.83323616875</v>
      </c>
      <c r="D55" t="str">
        <f t="array" aca="1" ref="D55" ca="1">_FV(B55,"Currency")</f>
        <v>CAD</v>
      </c>
      <c r="E55" s="3">
        <f t="array" aca="1" ref="E55" ca="1">_FV(B55,"Price")</f>
        <v>11.86</v>
      </c>
      <c r="F55" s="4">
        <f t="array" aca="1" ref="F55" ca="1">_FV(B55,"Change (%)",TRUE)</f>
        <v>4.2339999999999999E-3</v>
      </c>
      <c r="G55" s="5">
        <f t="array" aca="1" ref="G55" ca="1">_FV(B55,"Change")</f>
        <v>0.05</v>
      </c>
      <c r="H55" s="6">
        <f t="array" aca="1" ref="H55" ca="1">_FV(B55,"P/E",TRUE)</f>
        <v>11.2706</v>
      </c>
      <c r="I55" s="6">
        <f t="array" aca="1" ref="I55" ca="1">_FV(B55,"Beta")</f>
        <v>0.84709999999999996</v>
      </c>
      <c r="J55" s="3">
        <f t="array" aca="1" ref="J55" ca="1">_FV(B55,"52 week high",TRUE)</f>
        <v>12.24</v>
      </c>
      <c r="K55" s="3">
        <f t="array" aca="1" ref="K55" ca="1">_FV(B55,"52 week low",TRUE)</f>
        <v>10.99</v>
      </c>
      <c r="L55" s="3">
        <f t="array" aca="1" ref="L55" ca="1">_FV(B55,"High")</f>
        <v>11.94</v>
      </c>
      <c r="M55" s="3">
        <f t="array" aca="1" ref="M55" ca="1">_FV(B55,"Low")</f>
        <v>11.86</v>
      </c>
      <c r="N55" s="3">
        <f t="array" aca="1" ref="N55" ca="1">_FV(B55,"Open")</f>
        <v>11.94</v>
      </c>
      <c r="O55" s="3">
        <f t="array" aca="1" ref="O55" ca="1">_FV(B55,"Previous close",TRUE)</f>
        <v>11.81</v>
      </c>
      <c r="P55" s="7">
        <f t="array" aca="1" ref="P55" ca="1">_FV(B55,"Volume")</f>
        <v>6200</v>
      </c>
      <c r="Q55" s="7">
        <f t="array" aca="1" ref="Q55" ca="1">_FV(B55,"Volume average",TRUE)</f>
        <v>108590</v>
      </c>
      <c r="R55" s="8">
        <f t="array" aca="1" ref="R55" ca="1">_FV(B55,"Year incorporated",TRUE)</f>
        <v>2001</v>
      </c>
      <c r="S55" s="7">
        <f t="array" aca="1" ref="S55" ca="1">_FV(B55,"Employees")</f>
        <v>0</v>
      </c>
      <c r="T55" t="str">
        <f t="array" aca="1" ref="T55" ca="1">_FV(B55,"Industry")</f>
        <v>Banking Services</v>
      </c>
      <c r="U55" s="7">
        <f t="array" aca="1" ref="U55" ca="1">_FV(B55,"Market cap",TRUE)</f>
        <v>570901736</v>
      </c>
      <c r="V55" s="7">
        <f t="array" aca="1" ref="V55" ca="1">_FV(B55,"Shares outstanding",TRUE)</f>
        <v>48136740</v>
      </c>
    </row>
    <row r="56" spans="1:22">
      <c r="A56" t="s">
        <v>68</v>
      </c>
      <c r="B56" t="e" vm="60">
        <v>#VALUE!</v>
      </c>
      <c r="C56" s="2">
        <f t="array" aca="1" ref="C56" ca="1">_FV(B56,"Last trade time",TRUE)</f>
        <v>46168.605603263284</v>
      </c>
      <c r="D56" t="str">
        <f t="array" aca="1" ref="D56" ca="1">_FV(B56,"Currency")</f>
        <v>USD</v>
      </c>
      <c r="E56" s="3">
        <f t="array" aca="1" ref="E56" ca="1">_FV(B56,"Price")</f>
        <v>4.1900000000000004</v>
      </c>
      <c r="F56" s="4">
        <f t="array" aca="1" ref="F56" ca="1">_FV(B56,"Change (%)",TRUE)</f>
        <v>2.392E-3</v>
      </c>
      <c r="G56" s="5">
        <f t="array" aca="1" ref="G56" ca="1">_FV(B56,"Change")</f>
        <v>0.01</v>
      </c>
      <c r="H56" s="6">
        <f t="array" aca="1" ref="H56" ca="1">_FV(B56,"P/E",TRUE)</f>
        <v>0</v>
      </c>
      <c r="I56" s="6">
        <f t="array" aca="1" ref="I56" ca="1">_FV(B56,"Beta")</f>
        <v>3.0284</v>
      </c>
      <c r="J56" s="3">
        <f t="array" aca="1" ref="J56" ca="1">_FV(B56,"52 week high",TRUE)</f>
        <v>9.39</v>
      </c>
      <c r="K56" s="3">
        <f t="array" aca="1" ref="K56" ca="1">_FV(B56,"52 week low",TRUE)</f>
        <v>3.01</v>
      </c>
      <c r="L56" s="3">
        <f t="array" aca="1" ref="L56" ca="1">_FV(B56,"High")</f>
        <v>4.29</v>
      </c>
      <c r="M56" s="3">
        <f t="array" aca="1" ref="M56" ca="1">_FV(B56,"Low")</f>
        <v>4.1500000000000004</v>
      </c>
      <c r="N56" s="3">
        <f t="array" aca="1" ref="N56" ca="1">_FV(B56,"Open")</f>
        <v>4.25</v>
      </c>
      <c r="O56" s="3">
        <f t="array" aca="1" ref="O56" ca="1">_FV(B56,"Previous close",TRUE)</f>
        <v>4.18</v>
      </c>
      <c r="P56" s="7">
        <f t="array" aca="1" ref="P56" ca="1">_FV(B56,"Volume")</f>
        <v>13220114</v>
      </c>
      <c r="Q56" s="7">
        <f t="array" aca="1" ref="Q56" ca="1">_FV(B56,"Volume average",TRUE)</f>
        <v>40816876</v>
      </c>
      <c r="R56" s="8">
        <f t="array" aca="1" ref="R56" ca="1">_FV(B56,"Year incorporated",TRUE)</f>
        <v>2020</v>
      </c>
      <c r="S56" s="7">
        <f t="array" aca="1" ref="S56" ca="1">_FV(B56,"Employees")</f>
        <v>579</v>
      </c>
      <c r="T56" t="str">
        <f t="array" aca="1" ref="T56" ca="1">_FV(B56,"Industry")</f>
        <v>Software &amp; IT Services</v>
      </c>
      <c r="U56" s="7">
        <f t="array" aca="1" ref="U56" ca="1">_FV(B56,"Market cap",TRUE)</f>
        <v>2006798405</v>
      </c>
      <c r="V56" s="7">
        <f t="array" aca="1" ref="V56" ca="1">_FV(B56,"Shares outstanding",TRUE)</f>
        <v>478949500</v>
      </c>
    </row>
    <row r="57" spans="1:22">
      <c r="A57" t="s">
        <v>16</v>
      </c>
      <c r="B57" t="e" vm="61">
        <v>#VALUE!</v>
      </c>
      <c r="C57" s="2">
        <f t="array" aca="1" ref="C57" ca="1">_FV(B57,"Last trade time",TRUE)</f>
        <v>46168.605610532031</v>
      </c>
      <c r="D57" t="str">
        <f t="array" aca="1" ref="D57" ca="1">_FV(B57,"Currency")</f>
        <v>USD</v>
      </c>
      <c r="E57" s="3">
        <f t="array" aca="1" ref="E57" ca="1">_FV(B57,"Price")</f>
        <v>101.12</v>
      </c>
      <c r="F57" s="4">
        <f t="array" aca="1" ref="F57" ca="1">_FV(B57,"Change (%)",TRUE)</f>
        <v>-9.8890000000000002E-3</v>
      </c>
      <c r="G57" s="5">
        <f t="array" aca="1" ref="G57" ca="1">_FV(B57,"Change")</f>
        <v>-1.01</v>
      </c>
      <c r="H57" s="6">
        <f t="array" aca="1" ref="H57" ca="1">_FV(B57,"P/E",TRUE)</f>
        <v>60.1404</v>
      </c>
      <c r="I57" s="6">
        <f t="array" aca="1" ref="I57" ca="1">_FV(B57,"Beta")</f>
        <v>0.84519999999999995</v>
      </c>
      <c r="J57" s="3">
        <f t="array" aca="1" ref="J57" ca="1">_FV(B57,"52 week high",TRUE)</f>
        <v>211.47800000000001</v>
      </c>
      <c r="K57" s="3">
        <f t="array" aca="1" ref="K57" ca="1">_FV(B57,"52 week low",TRUE)</f>
        <v>81.239999999999995</v>
      </c>
      <c r="L57" s="3">
        <f t="array" aca="1" ref="L57" ca="1">_FV(B57,"High")</f>
        <v>102.54</v>
      </c>
      <c r="M57" s="3">
        <f t="array" aca="1" ref="M57" ca="1">_FV(B57,"Low")</f>
        <v>98.72</v>
      </c>
      <c r="N57" s="3">
        <f t="array" aca="1" ref="N57" ca="1">_FV(B57,"Open")</f>
        <v>100.6</v>
      </c>
      <c r="O57" s="3">
        <f t="array" aca="1" ref="O57" ca="1">_FV(B57,"Previous close",TRUE)</f>
        <v>102.13</v>
      </c>
      <c r="P57" s="7">
        <f t="array" aca="1" ref="P57" ca="1">_FV(B57,"Volume")</f>
        <v>8290675</v>
      </c>
      <c r="Q57" s="7">
        <f t="array" aca="1" ref="Q57" ca="1">_FV(B57,"Volume average",TRUE)</f>
        <v>30167244</v>
      </c>
      <c r="R57" s="8">
        <f t="array" aca="1" ref="R57" ca="1">_FV(B57,"Year incorporated",TRUE)</f>
        <v>2012</v>
      </c>
      <c r="S57" s="7">
        <f t="array" aca="1" ref="S57" ca="1">_FV(B57,"Employees")</f>
        <v>29187</v>
      </c>
      <c r="T57" t="str">
        <f t="array" aca="1" ref="T57" ca="1">_FV(B57,"Industry")</f>
        <v>Software &amp; IT Services</v>
      </c>
      <c r="U57" s="7">
        <f t="array" aca="1" ref="U57" ca="1">_FV(B57,"Market cap",TRUE)</f>
        <v>104285864960</v>
      </c>
      <c r="V57" s="7">
        <f t="array" aca="1" ref="V57" ca="1">_FV(B57,"Shares outstanding",TRUE)</f>
        <v>1031308000</v>
      </c>
    </row>
    <row r="58" spans="1:22">
      <c r="A58" t="s">
        <v>23</v>
      </c>
      <c r="B58" t="e" vm="62">
        <v>#VALUE!</v>
      </c>
      <c r="C58" s="2">
        <f t="array" aca="1" ref="C58" ca="1">_FV(B58,"Last trade time",TRUE)</f>
        <v>46168.605549883592</v>
      </c>
      <c r="D58" t="str">
        <f t="array" aca="1" ref="D58" ca="1">_FV(B58,"Currency")</f>
        <v>USD</v>
      </c>
      <c r="E58" s="3">
        <f t="array" aca="1" ref="E58" ca="1">_FV(B58,"Price")</f>
        <v>417.94009999999997</v>
      </c>
      <c r="F58" s="4">
        <f t="array" aca="1" ref="F58" ca="1">_FV(B58,"Change (%)",TRUE)</f>
        <v>-1.505E-3</v>
      </c>
      <c r="G58" s="5">
        <f t="array" aca="1" ref="G58" ca="1">_FV(B58,"Change")</f>
        <v>-0.62990000000000002</v>
      </c>
      <c r="H58" s="6">
        <f t="array" aca="1" ref="H58" ca="1">_FV(B58,"P/E",TRUE)</f>
        <v>24.892800000000001</v>
      </c>
      <c r="I58" s="6">
        <f t="array" aca="1" ref="I58" ca="1">_FV(B58,"Beta")</f>
        <v>1.0896999999999999</v>
      </c>
      <c r="J58" s="3">
        <f t="array" aca="1" ref="J58" ca="1">_FV(B58,"52 week high",TRUE)</f>
        <v>555.45000000000005</v>
      </c>
      <c r="K58" s="3">
        <f t="array" aca="1" ref="K58" ca="1">_FV(B58,"52 week low",TRUE)</f>
        <v>356.28</v>
      </c>
      <c r="L58" s="3">
        <f t="array" aca="1" ref="L58" ca="1">_FV(B58,"High")</f>
        <v>419.77</v>
      </c>
      <c r="M58" s="3">
        <f t="array" aca="1" ref="M58" ca="1">_FV(B58,"Low")</f>
        <v>413.17</v>
      </c>
      <c r="N58" s="3">
        <f t="array" aca="1" ref="N58" ca="1">_FV(B58,"Open")</f>
        <v>416.5</v>
      </c>
      <c r="O58" s="3">
        <f t="array" aca="1" ref="O58" ca="1">_FV(B58,"Previous close",TRUE)</f>
        <v>418.57</v>
      </c>
      <c r="P58" s="7">
        <f t="array" aca="1" ref="P58" ca="1">_FV(B58,"Volume")</f>
        <v>9383019</v>
      </c>
      <c r="Q58" s="7">
        <f t="array" aca="1" ref="Q58" ca="1">_FV(B58,"Volume average",TRUE)</f>
        <v>33521115</v>
      </c>
      <c r="R58" s="8">
        <f t="array" aca="1" ref="R58" ca="1">_FV(B58,"Year incorporated",TRUE)</f>
        <v>1993</v>
      </c>
      <c r="S58" s="7">
        <f t="array" aca="1" ref="S58" ca="1">_FV(B58,"Employees")</f>
        <v>228000</v>
      </c>
      <c r="T58" t="str">
        <f t="array" aca="1" ref="T58" ca="1">_FV(B58,"Industry")</f>
        <v>Software &amp; IT Services</v>
      </c>
      <c r="U58" s="7">
        <f t="array" aca="1" ref="U58" ca="1">_FV(B58,"Market cap",TRUE)</f>
        <v>3104640866743</v>
      </c>
      <c r="V58" s="7">
        <f t="array" aca="1" ref="V58" ca="1">_FV(B58,"Shares outstanding",TRUE)</f>
        <v>7428435000</v>
      </c>
    </row>
    <row r="59" spans="1:22">
      <c r="A59" t="s">
        <v>64</v>
      </c>
      <c r="B59" t="e" vm="63">
        <v>#VALUE!</v>
      </c>
      <c r="C59" s="2">
        <f t="array" aca="1" ref="C59" ca="1">_FV(B59,"Last trade time",TRUE)</f>
        <v>46168.605548240623</v>
      </c>
      <c r="D59" t="str">
        <f t="array" aca="1" ref="D59" ca="1">_FV(B59,"Currency")</f>
        <v>USD</v>
      </c>
      <c r="E59" s="3">
        <f t="array" aca="1" ref="E59" ca="1">_FV(B59,"Price")</f>
        <v>426.42</v>
      </c>
      <c r="F59" s="4">
        <f t="array" aca="1" ref="F59" ca="1">_FV(B59,"Change (%)",TRUE)</f>
        <v>9.6240000000000008E-4</v>
      </c>
      <c r="G59" s="5">
        <f t="array" aca="1" ref="G59" ca="1">_FV(B59,"Change")</f>
        <v>0.41</v>
      </c>
      <c r="H59" s="6">
        <f t="array" aca="1" ref="H59" ca="1">_FV(B59,"P/E",TRUE)</f>
        <v>389.745</v>
      </c>
      <c r="I59" s="6">
        <f t="array" aca="1" ref="I59" ca="1">_FV(B59,"Beta")</f>
        <v>1.7970999999999999</v>
      </c>
      <c r="J59" s="3">
        <f t="array" aca="1" ref="J59" ca="1">_FV(B59,"52 week high",TRUE)</f>
        <v>498.83</v>
      </c>
      <c r="K59" s="3">
        <f t="array" aca="1" ref="K59" ca="1">_FV(B59,"52 week low",TRUE)</f>
        <v>273.20999999999998</v>
      </c>
      <c r="L59" s="3">
        <f t="array" aca="1" ref="L59" ca="1">_FV(B59,"High")</f>
        <v>433.67</v>
      </c>
      <c r="M59" s="3">
        <f t="array" aca="1" ref="M59" ca="1">_FV(B59,"Low")</f>
        <v>426.12</v>
      </c>
      <c r="N59" s="3">
        <f t="array" aca="1" ref="N59" ca="1">_FV(B59,"Open")</f>
        <v>430</v>
      </c>
      <c r="O59" s="3">
        <f t="array" aca="1" ref="O59" ca="1">_FV(B59,"Previous close",TRUE)</f>
        <v>426.01</v>
      </c>
      <c r="P59" s="7">
        <f t="array" aca="1" ref="P59" ca="1">_FV(B59,"Volume")</f>
        <v>11914353</v>
      </c>
      <c r="Q59" s="7">
        <f t="array" aca="1" ref="Q59" ca="1">_FV(B59,"Volume average",TRUE)</f>
        <v>57284541</v>
      </c>
      <c r="R59" s="8">
        <f t="array" aca="1" ref="R59" ca="1">_FV(B59,"Year incorporated",TRUE)</f>
        <v>2024</v>
      </c>
      <c r="S59" s="7">
        <f t="array" aca="1" ref="S59" ca="1">_FV(B59,"Employees")</f>
        <v>134785</v>
      </c>
      <c r="T59" t="str">
        <f t="array" aca="1" ref="T59" ca="1">_FV(B59,"Industry")</f>
        <v>Automobiles &amp; Auto Parts</v>
      </c>
      <c r="U59" s="7">
        <f t="array" aca="1" ref="U59" ca="1">_FV(B59,"Market cap",TRUE)</f>
        <v>1601515828080</v>
      </c>
      <c r="V59" s="7">
        <f t="array" aca="1" ref="V59" ca="1">_FV(B59,"Shares outstanding",TRUE)</f>
        <v>3755724000</v>
      </c>
    </row>
    <row r="60" spans="1:22">
      <c r="A60" t="s">
        <v>32</v>
      </c>
      <c r="B60" t="e" vm="64">
        <v>#VALUE!</v>
      </c>
      <c r="C60" s="2">
        <f t="array" aca="1" ref="C60" ca="1">_FV(B60,"Last trade time",TRUE)</f>
        <v>46168.59489649297</v>
      </c>
      <c r="D60" t="str">
        <f t="array" aca="1" ref="D60" ca="1">_FV(B60,"Currency")</f>
        <v>GBp</v>
      </c>
      <c r="E60" s="9">
        <f t="array" aca="1" ref="E60" ca="1">_FV(B60,"Price")</f>
        <v>880.6</v>
      </c>
      <c r="F60" s="4">
        <f t="array" aca="1" ref="F60" ca="1">_FV(B60,"Change (%)",TRUE)</f>
        <v>2.0479999999999999E-3</v>
      </c>
      <c r="G60" s="5">
        <f t="array" aca="1" ref="G60" ca="1">_FV(B60,"Change")</f>
        <v>1.8</v>
      </c>
      <c r="H60" s="6">
        <f t="array" aca="1" ref="H60" ca="1">_FV(B60,"P/E",TRUE)</f>
        <v>25.2393</v>
      </c>
      <c r="I60" s="6">
        <f t="array" aca="1" ref="I60" ca="1">_FV(B60,"Beta")</f>
        <v>0.35249999999999998</v>
      </c>
      <c r="J60" s="9">
        <f t="array" aca="1" ref="J60" ca="1">_FV(B60,"52 week high",TRUE)</f>
        <v>1335</v>
      </c>
      <c r="K60" s="9">
        <f t="array" aca="1" ref="K60" ca="1">_FV(B60,"52 week low",TRUE)</f>
        <v>771.66</v>
      </c>
      <c r="L60" s="9">
        <f t="array" aca="1" ref="L60" ca="1">_FV(B60,"High")</f>
        <v>884.6</v>
      </c>
      <c r="M60" s="9">
        <f t="array" aca="1" ref="M60" ca="1">_FV(B60,"Low")</f>
        <v>870.8</v>
      </c>
      <c r="N60" s="9">
        <f t="array" aca="1" ref="N60" ca="1">_FV(B60,"Open")</f>
        <v>880.8</v>
      </c>
      <c r="O60" s="9">
        <f t="array" aca="1" ref="O60" ca="1">_FV(B60,"Previous close",TRUE)</f>
        <v>878.8</v>
      </c>
      <c r="P60" s="7">
        <f t="array" aca="1" ref="P60" ca="1">_FV(B60,"Volume")</f>
        <v>1471744</v>
      </c>
      <c r="Q60" s="7">
        <f t="array" aca="1" ref="Q60" ca="1">_FV(B60,"Volume average",TRUE)</f>
        <v>5328690</v>
      </c>
      <c r="R60" s="8">
        <f t="array" aca="1" ref="R60" ca="1">_FV(B60,"Year incorporated",TRUE)</f>
        <v>1988</v>
      </c>
      <c r="S60" s="7">
        <f t="array" aca="1" ref="S60" ca="1">_FV(B60,"Employees")</f>
        <v>11074</v>
      </c>
      <c r="T60" t="str">
        <f t="array" aca="1" ref="T60" ca="1">_FV(B60,"Industry")</f>
        <v>Software &amp; IT Services</v>
      </c>
      <c r="U60" s="7">
        <f t="array" aca="1" ref="U60" ca="1">_FV(B60,"Market cap",TRUE)</f>
        <v>10571700000</v>
      </c>
      <c r="V60" s="7">
        <f t="array" aca="1" ref="V60" ca="1">_FV(B60,"Shares outstanding",TRUE)</f>
        <v>909118800</v>
      </c>
    </row>
    <row r="61" spans="1:22">
      <c r="A61" t="s">
        <v>26</v>
      </c>
      <c r="B61" t="e" vm="65">
        <v>#VALUE!</v>
      </c>
      <c r="C61" s="2">
        <f t="array" aca="1" ref="C61" ca="1">_FV(B61,"Last trade time",TRUE)</f>
        <v>46168.605621885938</v>
      </c>
      <c r="D61" t="str">
        <f t="array" aca="1" ref="D61" ca="1">_FV(B61,"Currency")</f>
        <v>USD</v>
      </c>
      <c r="E61" s="3">
        <f t="array" aca="1" ref="E61" ca="1">_FV(B61,"Price")</f>
        <v>221.02</v>
      </c>
      <c r="F61" s="4">
        <f t="array" aca="1" ref="F61" ca="1">_FV(B61,"Change (%)",TRUE)</f>
        <v>-5.8469999999999998E-3</v>
      </c>
      <c r="G61" s="5">
        <f t="array" aca="1" ref="G61" ca="1">_FV(B61,"Change")</f>
        <v>-1.3</v>
      </c>
      <c r="H61" s="6">
        <f t="array" aca="1" ref="H61" ca="1">_FV(B61,"P/E",TRUE)</f>
        <v>559.96960000000001</v>
      </c>
      <c r="I61" s="6">
        <f t="array" aca="1" ref="I61" ca="1">_FV(B61,"Beta")</f>
        <v>1.4319999999999999</v>
      </c>
      <c r="J61" s="3">
        <f t="array" aca="1" ref="J61" ca="1">_FV(B61,"52 week high",TRUE)</f>
        <v>224.76929999999999</v>
      </c>
      <c r="K61" s="3">
        <f t="array" aca="1" ref="K61" ca="1">_FV(B61,"52 week low",TRUE)</f>
        <v>98.010099999999994</v>
      </c>
      <c r="L61" s="3">
        <f t="array" aca="1" ref="L61" ca="1">_FV(B61,"High")</f>
        <v>223.93</v>
      </c>
      <c r="M61" s="3">
        <f t="array" aca="1" ref="M61" ca="1">_FV(B61,"Low")</f>
        <v>218.33</v>
      </c>
      <c r="N61" s="3">
        <f t="array" aca="1" ref="N61" ca="1">_FV(B61,"Open")</f>
        <v>222.39</v>
      </c>
      <c r="O61" s="3">
        <f t="array" aca="1" ref="O61" ca="1">_FV(B61,"Previous close",TRUE)</f>
        <v>222.32</v>
      </c>
      <c r="P61" s="7">
        <f t="array" aca="1" ref="P61" ca="1">_FV(B61,"Volume")</f>
        <v>915483</v>
      </c>
      <c r="Q61" s="7">
        <f t="array" aca="1" ref="Q61" ca="1">_FV(B61,"Volume average",TRUE)</f>
        <v>6380940</v>
      </c>
      <c r="R61" s="8">
        <f t="array" aca="1" ref="R61" ca="1">_FV(B61,"Year incorporated",TRUE)</f>
        <v>2010</v>
      </c>
      <c r="S61" s="7">
        <f t="array" aca="1" ref="S61" ca="1">_FV(B61,"Employees")</f>
        <v>8100</v>
      </c>
      <c r="T61" t="str">
        <f t="array" aca="1" ref="T61" ca="1">_FV(B61,"Industry")</f>
        <v>Software &amp; IT Services</v>
      </c>
      <c r="U61" s="7">
        <f t="array" aca="1" ref="U61" ca="1">_FV(B61,"Market cap",TRUE)</f>
        <v>78674323404</v>
      </c>
      <c r="V61" s="7">
        <f t="array" aca="1" ref="V61" ca="1">_FV(B61,"Shares outstanding",TRUE)</f>
        <v>355960200</v>
      </c>
    </row>
    <row r="62" spans="1:22">
      <c r="A62" t="s">
        <v>41</v>
      </c>
      <c r="B62" t="e" vm="66">
        <v>#VALUE!</v>
      </c>
      <c r="C62" s="2">
        <f t="array" aca="1" ref="C62" ca="1">_FV(B62,"Last trade time",TRUE)</f>
        <v>46168.60560993047</v>
      </c>
      <c r="D62" t="str">
        <f t="array" aca="1" ref="D62" ca="1">_FV(B62,"Currency")</f>
        <v>USD</v>
      </c>
      <c r="E62" s="3">
        <f t="array" aca="1" ref="E62" ca="1">_FV(B62,"Price")</f>
        <v>608.16</v>
      </c>
      <c r="F62" s="4">
        <f t="array" aca="1" ref="F62" ca="1">_FV(B62,"Change (%)",TRUE)</f>
        <v>-3.441E-3</v>
      </c>
      <c r="G62" s="5">
        <f t="array" aca="1" ref="G62" ca="1">_FV(B62,"Change")</f>
        <v>-2.1</v>
      </c>
      <c r="H62" s="6">
        <f t="array" aca="1" ref="H62" ca="1">_FV(B62,"P/E",TRUE)</f>
        <v>18.446400000000001</v>
      </c>
      <c r="I62" s="6">
        <f t="array" aca="1" ref="I62" ca="1">_FV(B62,"Beta")</f>
        <v>1.2312000000000001</v>
      </c>
      <c r="J62" s="3">
        <f t="array" aca="1" ref="J62" ca="1">_FV(B62,"52 week high",TRUE)</f>
        <v>796.25</v>
      </c>
      <c r="K62" s="3">
        <f t="array" aca="1" ref="K62" ca="1">_FV(B62,"52 week low",TRUE)</f>
        <v>520.26</v>
      </c>
      <c r="L62" s="3">
        <f t="array" aca="1" ref="L62" ca="1">_FV(B62,"High")</f>
        <v>614.47</v>
      </c>
      <c r="M62" s="3">
        <f t="array" aca="1" ref="M62" ca="1">_FV(B62,"Low")</f>
        <v>605.58500000000004</v>
      </c>
      <c r="N62" s="3">
        <f t="array" aca="1" ref="N62" ca="1">_FV(B62,"Open")</f>
        <v>608.98</v>
      </c>
      <c r="O62" s="3">
        <f t="array" aca="1" ref="O62" ca="1">_FV(B62,"Previous close",TRUE)</f>
        <v>610.26</v>
      </c>
      <c r="P62" s="7">
        <f t="array" aca="1" ref="P62" ca="1">_FV(B62,"Volume")</f>
        <v>3551414</v>
      </c>
      <c r="Q62" s="7">
        <f t="array" aca="1" ref="Q62" ca="1">_FV(B62,"Volume average",TRUE)</f>
        <v>15159019</v>
      </c>
      <c r="R62" s="8">
        <f t="array" aca="1" ref="R62" ca="1">_FV(B62,"Year incorporated",TRUE)</f>
        <v>2004</v>
      </c>
      <c r="S62" s="7">
        <f t="array" aca="1" ref="S62" ca="1">_FV(B62,"Employees")</f>
        <v>77986</v>
      </c>
      <c r="T62" t="str">
        <f t="array" aca="1" ref="T62" ca="1">_FV(B62,"Industry")</f>
        <v>Software &amp; IT Services</v>
      </c>
      <c r="U62" s="7">
        <f t="array" aca="1" ref="U62" ca="1">_FV(B62,"Market cap",TRUE)</f>
        <v>1543767331680</v>
      </c>
      <c r="V62" s="7">
        <f t="array" aca="1" ref="V62" ca="1">_FV(B62,"Shares outstanding",TRUE)</f>
        <v>2538423000</v>
      </c>
    </row>
    <row r="63" spans="1:22">
      <c r="A63" t="s">
        <v>46</v>
      </c>
      <c r="B63" t="e" vm="67">
        <v>#VALUE!</v>
      </c>
      <c r="C63" s="2">
        <f t="array" aca="1" ref="C63" ca="1">_FV(B63,"Last trade time",TRUE)</f>
        <v>46168.605584270314</v>
      </c>
      <c r="D63" t="str">
        <f t="array" aca="1" ref="D63" ca="1">_FV(B63,"Currency")</f>
        <v>USD</v>
      </c>
      <c r="E63" s="3">
        <f t="array" aca="1" ref="E63" ca="1">_FV(B63,"Price")</f>
        <v>264.88</v>
      </c>
      <c r="F63" s="4">
        <f t="array" aca="1" ref="F63" ca="1">_FV(B63,"Change (%)",TRUE)</f>
        <v>-5.4069999999999995E-3</v>
      </c>
      <c r="G63" s="5">
        <f t="array" aca="1" ref="G63" ca="1">_FV(B63,"Change")</f>
        <v>-1.44</v>
      </c>
      <c r="H63" s="6">
        <f t="array" aca="1" ref="H63" ca="1">_FV(B63,"P/E",TRUE)</f>
        <v>31.655100000000001</v>
      </c>
      <c r="I63" s="6">
        <f t="array" aca="1" ref="I63" ca="1">_FV(B63,"Beta")</f>
        <v>1.4549000000000001</v>
      </c>
      <c r="J63" s="3">
        <f t="array" aca="1" ref="J63" ca="1">_FV(B63,"52 week high",TRUE)</f>
        <v>278.56</v>
      </c>
      <c r="K63" s="3">
        <f t="array" aca="1" ref="K63" ca="1">_FV(B63,"52 week low",TRUE)</f>
        <v>196</v>
      </c>
      <c r="L63" s="3">
        <f t="array" aca="1" ref="L63" ca="1">_FV(B63,"High")</f>
        <v>269.3</v>
      </c>
      <c r="M63" s="3">
        <f t="array" aca="1" ref="M63" ca="1">_FV(B63,"Low")</f>
        <v>264.68</v>
      </c>
      <c r="N63" s="3">
        <f t="array" aca="1" ref="N63" ca="1">_FV(B63,"Open")</f>
        <v>267.58999999999997</v>
      </c>
      <c r="O63" s="3">
        <f t="array" aca="1" ref="O63" ca="1">_FV(B63,"Previous close",TRUE)</f>
        <v>266.32</v>
      </c>
      <c r="P63" s="7">
        <f t="array" aca="1" ref="P63" ca="1">_FV(B63,"Volume")</f>
        <v>8866444</v>
      </c>
      <c r="Q63" s="7">
        <f t="array" aca="1" ref="Q63" ca="1">_FV(B63,"Volume average",TRUE)</f>
        <v>43543716</v>
      </c>
      <c r="R63" s="8">
        <f t="array" aca="1" ref="R63" ca="1">_FV(B63,"Year incorporated",TRUE)</f>
        <v>1996</v>
      </c>
      <c r="S63" s="7">
        <f t="array" aca="1" ref="S63" ca="1">_FV(B63,"Employees")</f>
        <v>1575000</v>
      </c>
      <c r="T63" t="str">
        <f t="array" aca="1" ref="T63" ca="1">_FV(B63,"Industry")</f>
        <v>Diversified Retail</v>
      </c>
      <c r="U63" s="7">
        <f t="array" aca="1" ref="U63" ca="1">_FV(B63,"Market cap",TRUE)</f>
        <v>2849343296800</v>
      </c>
      <c r="V63" s="7">
        <f t="array" aca="1" ref="V63" ca="1">_FV(B63,"Shares outstanding",TRUE)</f>
        <v>10757110000</v>
      </c>
    </row>
    <row r="64" spans="1:22">
      <c r="A64" t="s">
        <v>66</v>
      </c>
      <c r="B64" t="e" vm="68">
        <v>#VALUE!</v>
      </c>
      <c r="C64" s="2">
        <f t="array" aca="1" ref="C64" ca="1">_FV(B64,"Last trade time",TRUE)</f>
        <v>46168.605590647654</v>
      </c>
      <c r="D64" t="str">
        <f t="array" aca="1" ref="D64" ca="1">_FV(B64,"Currency")</f>
        <v>USD</v>
      </c>
      <c r="E64" s="3">
        <f t="array" aca="1" ref="E64" ca="1">_FV(B64,"Price")</f>
        <v>1637.07</v>
      </c>
      <c r="F64" s="4">
        <f t="array" aca="1" ref="F64" ca="1">_FV(B64,"Change (%)",TRUE)</f>
        <v>2.5540000000000003E-3</v>
      </c>
      <c r="G64" s="5">
        <f t="array" aca="1" ref="G64" ca="1">_FV(B64,"Change")</f>
        <v>4.17</v>
      </c>
      <c r="H64" s="6">
        <f t="array" aca="1" ref="H64" ca="1">_FV(B64,"P/E",TRUE)</f>
        <v>56.282200000000003</v>
      </c>
      <c r="I64" s="6">
        <f t="array" aca="1" ref="I64" ca="1">_FV(B64,"Beta")</f>
        <v>1.8283</v>
      </c>
      <c r="J64" s="3">
        <f t="array" aca="1" ref="J64" ca="1">_FV(B64,"52 week high",TRUE)</f>
        <v>1653.53</v>
      </c>
      <c r="K64" s="3">
        <f t="array" aca="1" ref="K64" ca="1">_FV(B64,"52 week low",TRUE)</f>
        <v>683.48</v>
      </c>
      <c r="L64" s="3">
        <f t="array" aca="1" ref="L64" ca="1">_FV(B64,"High")</f>
        <v>1648.01</v>
      </c>
      <c r="M64" s="3">
        <f t="array" aca="1" ref="M64" ca="1">_FV(B64,"Low")</f>
        <v>1617.86</v>
      </c>
      <c r="N64" s="3">
        <f t="array" aca="1" ref="N64" ca="1">_FV(B64,"Open")</f>
        <v>1642.92</v>
      </c>
      <c r="O64" s="3">
        <f t="array" aca="1" ref="O64" ca="1">_FV(B64,"Previous close",TRUE)</f>
        <v>1632.9</v>
      </c>
      <c r="P64" s="7">
        <f t="array" aca="1" ref="P64" ca="1">_FV(B64,"Volume")</f>
        <v>536781</v>
      </c>
      <c r="Q64" s="7">
        <f t="array" aca="1" ref="Q64" ca="1">_FV(B64,"Volume average",TRUE)</f>
        <v>1666315</v>
      </c>
      <c r="R64" s="8">
        <f t="array" aca="1" ref="R64" ca="1">_FV(B64,"Year incorporated",TRUE)</f>
        <v>1994</v>
      </c>
      <c r="S64" s="7">
        <f t="array" aca="1" ref="S64" ca="1">_FV(B64,"Employees")</f>
        <v>43882</v>
      </c>
      <c r="T64" t="str">
        <f t="array" aca="1" ref="T64" ca="1">_FV(B64,"Industry")</f>
        <v>Semiconductors &amp; Semiconductor Equipment</v>
      </c>
      <c r="U64" s="7">
        <f t="array" aca="1" ref="U64" ca="1">_FV(B64,"Market cap",TRUE)</f>
        <v>635424955239</v>
      </c>
      <c r="V64" s="7">
        <f t="array" aca="1" ref="V64" ca="1">_FV(B64,"Shares outstanding",TRUE)</f>
        <v>388147700</v>
      </c>
    </row>
    <row r="65" spans="1:22">
      <c r="A65" t="s">
        <v>30</v>
      </c>
      <c r="B65" t="e" vm="69">
        <v>#VALUE!</v>
      </c>
      <c r="C65" s="2">
        <f t="array" aca="1" ref="C65" ca="1">_FV(B65,"Last trade time",TRUE)</f>
        <v>46168.605626457815</v>
      </c>
      <c r="D65" t="str">
        <f t="array" aca="1" ref="D65" ca="1">_FV(B65,"Currency")</f>
        <v>USD</v>
      </c>
      <c r="E65" s="3">
        <f t="array" aca="1" ref="E65" ca="1">_FV(B65,"Price")</f>
        <v>89.784999999999997</v>
      </c>
      <c r="F65" s="4">
        <f t="array" aca="1" ref="F65" ca="1">_FV(B65,"Change (%)",TRUE)</f>
        <v>-4.0489999999999996E-3</v>
      </c>
      <c r="G65" s="5">
        <f t="array" aca="1" ref="G65" ca="1">_FV(B65,"Change")</f>
        <v>-0.36499999999999999</v>
      </c>
      <c r="H65" s="6">
        <f t="array" aca="1" ref="H65" ca="1">_FV(B65,"P/E",TRUE)</f>
        <v>17.804600000000001</v>
      </c>
      <c r="I65" s="6">
        <f t="array" aca="1" ref="I65" ca="1">_FV(B65,"Beta")</f>
        <v>0.78939999999999999</v>
      </c>
      <c r="J65" s="3">
        <f t="array" aca="1" ref="J65" ca="1">_FV(B65,"52 week high",TRUE)</f>
        <v>107.5</v>
      </c>
      <c r="K65" s="3">
        <f t="array" aca="1" ref="K65" ca="1">_FV(B65,"52 week low",TRUE)</f>
        <v>85.760099999999994</v>
      </c>
      <c r="L65" s="3">
        <f t="array" aca="1" ref="L65" ca="1">_FV(B65,"High")</f>
        <v>90.42</v>
      </c>
      <c r="M65" s="3">
        <f t="array" aca="1" ref="M65" ca="1">_FV(B65,"Low")</f>
        <v>89.49</v>
      </c>
      <c r="N65" s="3">
        <f t="array" aca="1" ref="N65" ca="1">_FV(B65,"Open")</f>
        <v>89.75</v>
      </c>
      <c r="O65" s="3">
        <f t="array" aca="1" ref="O65" ca="1">_FV(B65,"Previous close",TRUE)</f>
        <v>90.15</v>
      </c>
      <c r="P65" s="7">
        <f t="array" aca="1" ref="P65" ca="1">_FV(B65,"Volume")</f>
        <v>1041144</v>
      </c>
      <c r="Q65" s="7">
        <f t="array" aca="1" ref="Q65" ca="1">_FV(B65,"Volume average",TRUE)</f>
        <v>10307089</v>
      </c>
      <c r="R65" s="8">
        <f t="array" aca="1" ref="R65" ca="1">_FV(B65,"Year incorporated",TRUE)</f>
        <v>1986</v>
      </c>
      <c r="S65" s="7">
        <f t="array" aca="1" ref="S65" ca="1">_FV(B65,"Employees")</f>
        <v>33500</v>
      </c>
      <c r="T65" t="str">
        <f t="array" aca="1" ref="T65" ca="1">_FV(B65,"Industry")</f>
        <v>Investment Banking &amp; Investment Services</v>
      </c>
      <c r="U65" s="7">
        <f t="array" aca="1" ref="U65" ca="1">_FV(B65,"Market cap",TRUE)</f>
        <v>156148235975</v>
      </c>
      <c r="V65" s="7">
        <f t="array" aca="1" ref="V65" ca="1">_FV(B65,"Shares outstanding",TRUE)</f>
        <v>1739135000</v>
      </c>
    </row>
    <row r="66" spans="1:22">
      <c r="A66" t="s">
        <v>308</v>
      </c>
      <c r="B66" t="e" vm="70">
        <v>#VALUE!</v>
      </c>
      <c r="C66" s="2" cm="1">
        <f t="array" aca="1" ref="C66" ca="1">_FV(B66,"Last trade time",TRUE)</f>
        <v>46168.605593356253</v>
      </c>
      <c r="D66" t="str" cm="1">
        <f t="array" aca="1" ref="D66" ca="1">_FV(B66,"Currency")</f>
        <v>USD</v>
      </c>
      <c r="E66" s="3" cm="1">
        <f t="array" aca="1" ref="E66" ca="1">_FV(B66,"Price")</f>
        <v>186.81</v>
      </c>
      <c r="F66" s="4" cm="1">
        <f t="array" aca="1" ref="F66" ca="1">_FV(B66,"Change (%)",TRUE)</f>
        <v>-5.6950000000000004E-3</v>
      </c>
      <c r="G66" s="5" cm="1">
        <f t="array" aca="1" ref="G66" ca="1">_FV(B66,"Change")</f>
        <v>-1.07</v>
      </c>
      <c r="H66" s="6" cm="1">
        <f t="array" aca="1" ref="H66" ca="1">_FV(B66,"P/E",TRUE)</f>
        <v>290.39330000000001</v>
      </c>
      <c r="I66" s="6" cm="1">
        <f t="array" aca="1" ref="I66" ca="1">_FV(B66,"Beta")</f>
        <v>1.3674999999999999</v>
      </c>
      <c r="J66" s="3" cm="1">
        <f t="array" aca="1" ref="J66" ca="1">_FV(B66,"52 week high",TRUE)</f>
        <v>203.71</v>
      </c>
      <c r="K66" s="3" cm="1">
        <f t="array" aca="1" ref="K66" ca="1">_FV(B66,"52 week low",TRUE)</f>
        <v>91.84</v>
      </c>
      <c r="L66" s="3" cm="1">
        <f t="array" aca="1" ref="L66" ca="1">_FV(B66,"High")</f>
        <v>188.34</v>
      </c>
      <c r="M66" s="3" cm="1">
        <f t="array" aca="1" ref="M66" ca="1">_FV(B66,"Low")</f>
        <v>180.36</v>
      </c>
      <c r="N66" s="3" cm="1">
        <f t="array" aca="1" ref="N66" ca="1">_FV(B66,"Open")</f>
        <v>188.34</v>
      </c>
      <c r="O66" s="3" cm="1">
        <f t="array" aca="1" ref="O66" ca="1">_FV(B66,"Previous close",TRUE)</f>
        <v>187.88</v>
      </c>
      <c r="P66" s="7" cm="1">
        <f t="array" aca="1" ref="P66" ca="1">_FV(B66,"Volume")</f>
        <v>463657</v>
      </c>
      <c r="Q66" s="7" cm="1">
        <f t="array" aca="1" ref="Q66" ca="1">_FV(B66,"Volume average",TRUE)</f>
        <v>2986723</v>
      </c>
      <c r="R66" s="8" cm="1">
        <f t="array" aca="1" ref="R66" ca="1">_FV(B66,"Year incorporated",TRUE)</f>
        <v>2008</v>
      </c>
      <c r="S66" s="7" cm="1">
        <f t="array" aca="1" ref="S66" ca="1">_FV(B66,"Employees")</f>
        <v>5558</v>
      </c>
      <c r="T66" t="str" cm="1">
        <f t="array" aca="1" ref="T66" ca="1">_FV(B66,"Industry")</f>
        <v>Software &amp; IT Services</v>
      </c>
      <c r="U66" s="7" cm="1">
        <f t="array" aca="1" ref="U66" ca="1">_FV(B66,"Market cap",TRUE)</f>
        <v>28352882259</v>
      </c>
      <c r="V66" s="7" cm="1">
        <f t="array" aca="1" ref="V66" ca="1">_FV(B66,"Shares outstanding",TRUE)</f>
        <v>151773900</v>
      </c>
    </row>
    <row r="67" spans="1:22">
      <c r="A67" t="s">
        <v>20</v>
      </c>
      <c r="B67" t="e" vm="71">
        <v>#VALUE!</v>
      </c>
      <c r="C67" s="2">
        <f t="array" aca="1" ref="C67" ca="1">_FV(B67,"Last trade time",TRUE)</f>
        <v>46168.605605937497</v>
      </c>
      <c r="D67" t="str">
        <f t="array" aca="1" ref="D67" ca="1">_FV(B67,"Currency")</f>
        <v>USD</v>
      </c>
      <c r="E67" s="3">
        <f t="array" aca="1" ref="E67" ca="1">_FV(B67,"Price")</f>
        <v>101.78</v>
      </c>
      <c r="F67" s="4">
        <f t="array" aca="1" ref="F67" ca="1">_FV(B67,"Change (%)",TRUE)</f>
        <v>-5.7630000000000008E-3</v>
      </c>
      <c r="G67" s="5">
        <f t="array" aca="1" ref="G67" ca="1">_FV(B67,"Change")</f>
        <v>-0.59</v>
      </c>
      <c r="H67" s="6">
        <f t="array" aca="1" ref="H67" ca="1">_FV(B67,"P/E",TRUE)</f>
        <v>18.276499999999999</v>
      </c>
      <c r="I67" s="6">
        <f t="array" aca="1" ref="I67" ca="1">_FV(B67,"Beta")</f>
        <v>0.61119999999999997</v>
      </c>
      <c r="J67" s="3">
        <f t="array" aca="1" ref="J67" ca="1">_FV(B67,"52 week high",TRUE)</f>
        <v>155.47</v>
      </c>
      <c r="K67" s="3">
        <f t="array" aca="1" ref="K67" ca="1">_FV(B67,"52 week low",TRUE)</f>
        <v>74.510000000000005</v>
      </c>
      <c r="L67" s="3">
        <f t="array" aca="1" ref="L67" ca="1">_FV(B67,"High")</f>
        <v>102.5</v>
      </c>
      <c r="M67" s="3">
        <f t="array" aca="1" ref="M67" ca="1">_FV(B67,"Low")</f>
        <v>99.694999999999993</v>
      </c>
      <c r="N67" s="3">
        <f t="array" aca="1" ref="N67" ca="1">_FV(B67,"Open")</f>
        <v>101.4</v>
      </c>
      <c r="O67" s="3">
        <f t="array" aca="1" ref="O67" ca="1">_FV(B67,"Previous close",TRUE)</f>
        <v>102.37</v>
      </c>
      <c r="P67" s="7">
        <f t="array" aca="1" ref="P67" ca="1">_FV(B67,"Volume")</f>
        <v>41616</v>
      </c>
      <c r="Q67" s="7">
        <f t="array" aca="1" ref="Q67" ca="1">_FV(B67,"Volume average",TRUE)</f>
        <v>829984</v>
      </c>
      <c r="R67" s="8">
        <f t="array" aca="1" ref="R67" ca="1">_FV(B67,"Year incorporated",TRUE)</f>
        <v>1999</v>
      </c>
      <c r="S67" s="7">
        <f t="array" aca="1" ref="S67" ca="1">_FV(B67,"Employees")</f>
        <v>2683</v>
      </c>
      <c r="T67" t="str">
        <f t="array" aca="1" ref="T67" ca="1">_FV(B67,"Industry")</f>
        <v>Software &amp; IT Services</v>
      </c>
      <c r="U67" s="7">
        <f t="array" aca="1" ref="U67" ca="1">_FV(B67,"Market cap",TRUE)</f>
        <v>3584387277</v>
      </c>
      <c r="V67" s="7">
        <f t="array" aca="1" ref="V67" ca="1">_FV(B67,"Shares outstanding",TRUE)</f>
        <v>35217010</v>
      </c>
    </row>
    <row r="68" spans="1:22">
      <c r="A68" t="s">
        <v>19</v>
      </c>
      <c r="B68" t="e" vm="72">
        <v>#VALUE!</v>
      </c>
      <c r="C68" s="2">
        <f t="array" aca="1" ref="C68" ca="1">_FV(B68,"Last trade time",TRUE)</f>
        <v>46168.605597152346</v>
      </c>
      <c r="D68" t="str">
        <f t="array" aca="1" ref="D68" ca="1">_FV(B68,"Currency")</f>
        <v>USD</v>
      </c>
      <c r="E68" s="3">
        <f t="array" aca="1" ref="E68" ca="1">_FV(B68,"Price")</f>
        <v>241.98500000000001</v>
      </c>
      <c r="F68" s="4">
        <f t="array" aca="1" ref="F68" ca="1">_FV(B68,"Change (%)",TRUE)</f>
        <v>-1.1337999999999999E-2</v>
      </c>
      <c r="G68" s="5">
        <f t="array" aca="1" ref="G68" ca="1">_FV(B68,"Change")</f>
        <v>-2.7749999999999999</v>
      </c>
      <c r="H68" s="6">
        <f t="array" aca="1" ref="H68" ca="1">_FV(B68,"P/E",TRUE)</f>
        <v>14.103899999999999</v>
      </c>
      <c r="I68" s="6">
        <f t="array" aca="1" ref="I68" ca="1">_FV(B68,"Beta")</f>
        <v>1.4095</v>
      </c>
      <c r="J68" s="3">
        <f t="array" aca="1" ref="J68" ca="1">_FV(B68,"52 week high",TRUE)</f>
        <v>421.48</v>
      </c>
      <c r="K68" s="3">
        <f t="array" aca="1" ref="K68" ca="1">_FV(B68,"52 week low",TRUE)</f>
        <v>224.13</v>
      </c>
      <c r="L68" s="3">
        <f t="array" aca="1" ref="L68" ca="1">_FV(B68,"High")</f>
        <v>243.57</v>
      </c>
      <c r="M68" s="3">
        <f t="array" aca="1" ref="M68" ca="1">_FV(B68,"Low")</f>
        <v>238.57</v>
      </c>
      <c r="N68" s="3">
        <f t="array" aca="1" ref="N68" ca="1">_FV(B68,"Open")</f>
        <v>242</v>
      </c>
      <c r="O68" s="3">
        <f t="array" aca="1" ref="O68" ca="1">_FV(B68,"Previous close",TRUE)</f>
        <v>244.76</v>
      </c>
      <c r="P68" s="7">
        <f t="array" aca="1" ref="P68" ca="1">_FV(B68,"Volume")</f>
        <v>900682</v>
      </c>
      <c r="Q68" s="7">
        <f t="array" aca="1" ref="Q68" ca="1">_FV(B68,"Volume average",TRUE)</f>
        <v>4992158</v>
      </c>
      <c r="R68" s="8">
        <f t="array" aca="1" ref="R68" ca="1">_FV(B68,"Year incorporated",TRUE)</f>
        <v>1997</v>
      </c>
      <c r="S68" s="7">
        <f t="array" aca="1" ref="S68" ca="1">_FV(B68,"Employees")</f>
        <v>31360</v>
      </c>
      <c r="T68" t="str">
        <f t="array" aca="1" ref="T68" ca="1">_FV(B68,"Industry")</f>
        <v>Software &amp; IT Services</v>
      </c>
      <c r="U68" s="7">
        <f t="array" aca="1" ref="U68" ca="1">_FV(B68,"Market cap",TRUE)</f>
        <v>97810337000</v>
      </c>
      <c r="V68" s="7">
        <f t="array" aca="1" ref="V68" ca="1">_FV(B68,"Shares outstanding",TRUE)</f>
        <v>404200000</v>
      </c>
    </row>
    <row r="69" spans="1:22">
      <c r="A69" t="s">
        <v>309</v>
      </c>
      <c r="B69" t="e" vm="73">
        <v>#VALUE!</v>
      </c>
      <c r="C69" s="2" cm="1">
        <f t="array" aca="1" ref="C69" ca="1">_FV(B69,"Last trade time",TRUE)</f>
        <v>46168.605605578123</v>
      </c>
      <c r="D69" t="str" cm="1">
        <f t="array" aca="1" ref="D69" ca="1">_FV(B69,"Currency")</f>
        <v>USD</v>
      </c>
      <c r="E69" s="3" cm="1">
        <f t="array" aca="1" ref="E69" ca="1">_FV(B69,"Price")</f>
        <v>40.700000000000003</v>
      </c>
      <c r="F69" s="4" cm="1">
        <f t="array" aca="1" ref="F69" ca="1">_FV(B69,"Change (%)",TRUE)</f>
        <v>-1.2376E-2</v>
      </c>
      <c r="G69" s="5" cm="1">
        <f t="array" aca="1" ref="G69" ca="1">_FV(B69,"Change")</f>
        <v>-0.51</v>
      </c>
      <c r="H69" s="6" cm="1">
        <f t="array" aca="1" ref="H69" ca="1">_FV(B69,"P/E",TRUE)</f>
        <v>75.961200000000005</v>
      </c>
      <c r="I69" s="6" cm="1">
        <f t="array" aca="1" ref="I69" ca="1">_FV(B69,"Beta")</f>
        <v>0.72819999999999996</v>
      </c>
      <c r="J69" s="3" cm="1">
        <f t="array" aca="1" ref="J69" ca="1">_FV(B69,"52 week high",TRUE)</f>
        <v>57.55</v>
      </c>
      <c r="K69" s="3" cm="1">
        <f t="array" aca="1" ref="K69" ca="1">_FV(B69,"52 week low",TRUE)</f>
        <v>31.635000000000002</v>
      </c>
      <c r="L69" s="3" cm="1">
        <f t="array" aca="1" ref="L69" ca="1">_FV(B69,"High")</f>
        <v>40.984999999999999</v>
      </c>
      <c r="M69" s="3" cm="1">
        <f t="array" aca="1" ref="M69" ca="1">_FV(B69,"Low")</f>
        <v>39.984999999999999</v>
      </c>
      <c r="N69" s="3" cm="1">
        <f t="array" aca="1" ref="N69" ca="1">_FV(B69,"Open")</f>
        <v>40.880000000000003</v>
      </c>
      <c r="O69" s="3" cm="1">
        <f t="array" aca="1" ref="O69" ca="1">_FV(B69,"Previous close",TRUE)</f>
        <v>41.21</v>
      </c>
      <c r="P69" s="7" cm="1">
        <f t="array" aca="1" ref="P69" ca="1">_FV(B69,"Volume")</f>
        <v>539643</v>
      </c>
      <c r="Q69" s="7" cm="1">
        <f t="array" aca="1" ref="Q69" ca="1">_FV(B69,"Volume average",TRUE)</f>
        <v>7111700</v>
      </c>
      <c r="R69" s="8" cm="1">
        <f t="array" aca="1" ref="R69" ca="1">_FV(B69,"Year incorporated",TRUE)</f>
        <v>2014</v>
      </c>
      <c r="S69" s="7" cm="1">
        <f t="array" aca="1" ref="S69" ca="1">_FV(B69,"Employees")</f>
        <v>5600</v>
      </c>
      <c r="T69" t="str" cm="1">
        <f t="array" aca="1" ref="T69" ca="1">_FV(B69,"Industry")</f>
        <v>Software &amp; IT Services</v>
      </c>
      <c r="U69" s="7" cm="1">
        <f t="array" aca="1" ref="U69" ca="1">_FV(B69,"Market cap",TRUE)</f>
        <v>11863060990</v>
      </c>
      <c r="V69" s="7" cm="1">
        <f t="array" aca="1" ref="V69" ca="1">_FV(B69,"Shares outstanding",TRUE)</f>
        <v>291475700</v>
      </c>
    </row>
    <row r="70" spans="1:22">
      <c r="A70" t="s">
        <v>145</v>
      </c>
      <c r="B70" t="e" vm="74">
        <v>#VALUE!</v>
      </c>
      <c r="C70" s="2" cm="1">
        <f t="array" aca="1" ref="C70" ca="1">_FV(B70,"Last trade time",TRUE)</f>
        <v>46168.605609640625</v>
      </c>
      <c r="D70" t="str" cm="1">
        <f t="array" aca="1" ref="D70" ca="1">_FV(B70,"Currency")</f>
        <v>USD</v>
      </c>
      <c r="E70" s="3" cm="1">
        <f t="array" aca="1" ref="E70" ca="1">_FV(B70,"Price")</f>
        <v>132.4999</v>
      </c>
      <c r="F70" s="4" cm="1">
        <f t="array" aca="1" ref="F70" ca="1">_FV(B70,"Change (%)",TRUE)</f>
        <v>-1.0678E-2</v>
      </c>
      <c r="G70" s="5" cm="1">
        <f t="array" aca="1" ref="G70" ca="1">_FV(B70,"Change")</f>
        <v>-1.4300999999999999</v>
      </c>
      <c r="H70" s="6" cm="1">
        <f t="array" aca="1" ref="H70" ca="1">_FV(B70,"P/E",TRUE)</f>
        <v>51.189900000000002</v>
      </c>
      <c r="I70" s="6" cm="1">
        <f t="array" aca="1" ref="I70" ca="1">_FV(B70,"Beta")</f>
        <v>1.038</v>
      </c>
      <c r="J70" s="3" cm="1">
        <f t="array" aca="1" ref="J70" ca="1">_FV(B70,"52 week high",TRUE)</f>
        <v>134.19</v>
      </c>
      <c r="K70" s="3" cm="1">
        <f t="array" aca="1" ref="K70" ca="1">_FV(B70,"52 week low",TRUE)</f>
        <v>70.12</v>
      </c>
      <c r="L70" s="3" cm="1">
        <f t="array" aca="1" ref="L70" ca="1">_FV(B70,"High")</f>
        <v>133.59020000000001</v>
      </c>
      <c r="M70" s="3" cm="1">
        <f t="array" aca="1" ref="M70" ca="1">_FV(B70,"Low")</f>
        <v>130.6</v>
      </c>
      <c r="N70" s="3" cm="1">
        <f t="array" aca="1" ref="N70" ca="1">_FV(B70,"Open")</f>
        <v>133.37</v>
      </c>
      <c r="O70" s="3" cm="1">
        <f t="array" aca="1" ref="O70" ca="1">_FV(B70,"Previous close",TRUE)</f>
        <v>133.93</v>
      </c>
      <c r="P70" s="7" cm="1">
        <f t="array" aca="1" ref="P70" ca="1">_FV(B70,"Volume")</f>
        <v>807410</v>
      </c>
      <c r="Q70" s="7" cm="1">
        <f t="array" aca="1" ref="Q70" ca="1">_FV(B70,"Volume average",TRUE)</f>
        <v>5987731</v>
      </c>
      <c r="R70" s="8" cm="1">
        <f t="array" aca="1" ref="R70" ca="1">_FV(B70,"Year incorporated",TRUE)</f>
        <v>2000</v>
      </c>
      <c r="S70" s="7" cm="1">
        <f t="array" aca="1" ref="S70" ca="1">_FV(B70,"Employees")</f>
        <v>15311</v>
      </c>
      <c r="T70" t="str" cm="1">
        <f t="array" aca="1" ref="T70" ca="1">_FV(B70,"Industry")</f>
        <v>Software &amp; IT Services</v>
      </c>
      <c r="U70" s="7" cm="1">
        <f t="array" aca="1" ref="U70" ca="1">_FV(B70,"Market cap",TRUE)</f>
        <v>97075839735</v>
      </c>
      <c r="V70" s="7" cm="1">
        <f t="array" aca="1" ref="V70" ca="1">_FV(B70,"Shares outstanding",TRUE)</f>
        <v>732648400</v>
      </c>
    </row>
    <row r="71" spans="1:22">
      <c r="A71" t="s">
        <v>55</v>
      </c>
      <c r="B71" t="e" vm="75">
        <v>#VALUE!</v>
      </c>
      <c r="C71" s="2">
        <f t="array" aca="1" ref="C71" ca="1">_FV(B71,"Last trade time",TRUE)</f>
        <v>46168.605593957815</v>
      </c>
      <c r="D71" t="str">
        <f t="array" aca="1" ref="D71" ca="1">_FV(B71,"Currency")</f>
        <v>USD</v>
      </c>
      <c r="E71" s="3">
        <f t="array" aca="1" ref="E71" ca="1">_FV(B71,"Price")</f>
        <v>36.71</v>
      </c>
      <c r="F71" s="4">
        <f t="array" aca="1" ref="F71" ca="1">_FV(B71,"Change (%)",TRUE)</f>
        <v>-1.3436999999999999E-2</v>
      </c>
      <c r="G71" s="5">
        <f t="array" aca="1" ref="G71" ca="1">_FV(B71,"Change")</f>
        <v>-0.5</v>
      </c>
      <c r="H71" s="6">
        <f t="array" aca="1" ref="H71" ca="1">_FV(B71,"P/E",TRUE)</f>
        <v>15.735799999999999</v>
      </c>
      <c r="I71" s="6">
        <f t="array" aca="1" ref="I71" ca="1">_FV(B71,"Beta")</f>
        <v>3.3182</v>
      </c>
      <c r="J71" s="3">
        <f t="array" aca="1" ref="J71" ca="1">_FV(B71,"52 week high",TRUE)</f>
        <v>38.39</v>
      </c>
      <c r="K71" s="3">
        <f t="array" aca="1" ref="K71" ca="1">_FV(B71,"52 week low",TRUE)</f>
        <v>8.18</v>
      </c>
      <c r="L71" s="3">
        <f t="array" aca="1" ref="L71" ca="1">_FV(B71,"High")</f>
        <v>37.5</v>
      </c>
      <c r="M71" s="3">
        <f t="array" aca="1" ref="M71" ca="1">_FV(B71,"Low")</f>
        <v>36.450000000000003</v>
      </c>
      <c r="N71" s="3">
        <f t="array" aca="1" ref="N71" ca="1">_FV(B71,"Open")</f>
        <v>37.270000000000003</v>
      </c>
      <c r="O71" s="3">
        <f t="array" aca="1" ref="O71" ca="1">_FV(B71,"Previous close",TRUE)</f>
        <v>37.21</v>
      </c>
      <c r="P71" s="7">
        <f t="array" aca="1" ref="P71" ca="1">_FV(B71,"Volume")</f>
        <v>194305</v>
      </c>
      <c r="Q71" s="7">
        <f t="array" aca="1" ref="Q71" ca="1">_FV(B71,"Volume average",TRUE)</f>
        <v>1272966</v>
      </c>
      <c r="R71" s="8">
        <f t="array" aca="1" ref="R71" ca="1">_FV(B71,"Year incorporated",TRUE)</f>
        <v>2016</v>
      </c>
      <c r="S71" s="7">
        <f t="array" aca="1" ref="S71" ca="1">_FV(B71,"Employees")</f>
        <v>1551</v>
      </c>
      <c r="T71" t="str">
        <f t="array" aca="1" ref="T71" ca="1">_FV(B71,"Industry")</f>
        <v>Semiconductors &amp; Semiconductor Equipment</v>
      </c>
      <c r="U71" s="7">
        <f t="array" aca="1" ref="U71" ca="1">_FV(B71,"Market cap",TRUE)</f>
        <v>1806300866</v>
      </c>
      <c r="V71" s="7">
        <f t="array" aca="1" ref="V71" ca="1">_FV(B71,"Shares outstanding",TRUE)</f>
        <v>49204600</v>
      </c>
    </row>
    <row r="72" spans="1:22">
      <c r="A72" t="s">
        <v>37</v>
      </c>
      <c r="B72" t="e" vm="76">
        <v>#VALUE!</v>
      </c>
      <c r="C72" s="2">
        <f t="array" aca="1" ref="C72" ca="1">_FV(B72,"Last trade time",TRUE)</f>
        <v>46168.60563905078</v>
      </c>
      <c r="D72" t="str">
        <f t="array" aca="1" ref="D72" ca="1">_FV(B72,"Currency")</f>
        <v>USD</v>
      </c>
      <c r="E72" s="3">
        <f t="array" aca="1" ref="E72" ca="1">_FV(B72,"Price")</f>
        <v>80.495000000000005</v>
      </c>
      <c r="F72" s="4">
        <f t="array" aca="1" ref="F72" ca="1">_FV(B72,"Change (%)",TRUE)</f>
        <v>-1.2089000000000001E-2</v>
      </c>
      <c r="G72" s="5">
        <f t="array" aca="1" ref="G72" ca="1">_FV(B72,"Change")</f>
        <v>-0.98499999999999999</v>
      </c>
      <c r="H72" s="6">
        <f t="array" aca="1" ref="H72" ca="1">_FV(B72,"P/E",TRUE)</f>
        <v>25.340800000000002</v>
      </c>
      <c r="I72" s="6">
        <f t="array" aca="1" ref="I72" ca="1">_FV(B72,"Beta")</f>
        <v>0.36109999999999998</v>
      </c>
      <c r="J72" s="3">
        <f t="array" aca="1" ref="J72" ca="1">_FV(B72,"52 week high",TRUE)</f>
        <v>82.663499999999999</v>
      </c>
      <c r="K72" s="3">
        <f t="array" aca="1" ref="K72" ca="1">_FV(B72,"52 week low",TRUE)</f>
        <v>65.353800000000007</v>
      </c>
      <c r="L72" s="3">
        <f t="array" aca="1" ref="L72" ca="1">_FV(B72,"High")</f>
        <v>81.599999999999994</v>
      </c>
      <c r="M72" s="3">
        <f t="array" aca="1" ref="M72" ca="1">_FV(B72,"Low")</f>
        <v>80.305000000000007</v>
      </c>
      <c r="N72" s="3">
        <f t="array" aca="1" ref="N72" ca="1">_FV(B72,"Open")</f>
        <v>80.97</v>
      </c>
      <c r="O72" s="3">
        <f t="array" aca="1" ref="O72" ca="1">_FV(B72,"Previous close",TRUE)</f>
        <v>81.48</v>
      </c>
      <c r="P72" s="7">
        <f t="array" aca="1" ref="P72" ca="1">_FV(B72,"Volume")</f>
        <v>2980022</v>
      </c>
      <c r="Q72" s="7">
        <f t="array" aca="1" ref="Q72" ca="1">_FV(B72,"Volume average",TRUE)</f>
        <v>14263576</v>
      </c>
      <c r="R72" s="8">
        <f t="array" aca="1" ref="R72" ca="1">_FV(B72,"Year incorporated",TRUE)</f>
        <v>1919</v>
      </c>
      <c r="S72" s="7">
        <f t="array" aca="1" ref="S72" ca="1">_FV(B72,"Employees")</f>
        <v>65900</v>
      </c>
      <c r="T72" t="str">
        <f t="array" aca="1" ref="T72" ca="1">_FV(B72,"Industry")</f>
        <v>Beverages</v>
      </c>
      <c r="U72" s="7">
        <f t="array" aca="1" ref="U72" ca="1">_FV(B72,"Market cap",TRUE)</f>
        <v>346328288590</v>
      </c>
      <c r="V72" s="7">
        <f t="array" aca="1" ref="V72" ca="1">_FV(B72,"Shares outstanding",TRUE)</f>
        <v>4302482000</v>
      </c>
    </row>
    <row r="73" spans="1:22">
      <c r="A73" t="s">
        <v>146</v>
      </c>
      <c r="B73" t="e" vm="77">
        <v>#VALUE!</v>
      </c>
      <c r="C73" s="2" cm="1">
        <f t="array" aca="1" ref="C73" ca="1">_FV(B73,"Last trade time",TRUE)</f>
        <v>46168.605617164059</v>
      </c>
      <c r="D73" t="str" cm="1">
        <f t="array" aca="1" ref="D73" ca="1">_FV(B73,"Currency")</f>
        <v>USD</v>
      </c>
      <c r="E73" s="3" cm="1">
        <f t="array" aca="1" ref="E73" ca="1">_FV(B73,"Price")</f>
        <v>53.34</v>
      </c>
      <c r="F73" s="4" cm="1">
        <f t="array" aca="1" ref="F73" ca="1">_FV(B73,"Change (%)",TRUE)</f>
        <v>-1.2770999999999999E-2</v>
      </c>
      <c r="G73" s="5" cm="1">
        <f t="array" aca="1" ref="G73" ca="1">_FV(B73,"Change")</f>
        <v>-0.69</v>
      </c>
      <c r="H73" s="6" cm="1">
        <f t="array" aca="1" ref="H73" ca="1">_FV(B73,"P/E",TRUE)</f>
        <v>0</v>
      </c>
      <c r="I73" s="6" cm="1">
        <f t="array" aca="1" ref="I73" ca="1">_FV(B73,"Beta")</f>
        <v>1.9946999999999999</v>
      </c>
      <c r="J73" s="3" cm="1">
        <f t="array" aca="1" ref="J73" ca="1">_FV(B73,"52 week high",TRUE)</f>
        <v>87.88</v>
      </c>
      <c r="K73" s="3" cm="1">
        <f t="array" aca="1" ref="K73" ca="1">_FV(B73,"52 week low",TRUE)</f>
        <v>27.26</v>
      </c>
      <c r="L73" s="3" cm="1">
        <f t="array" aca="1" ref="L73" ca="1">_FV(B73,"High")</f>
        <v>56.36</v>
      </c>
      <c r="M73" s="3" cm="1">
        <f t="array" aca="1" ref="M73" ca="1">_FV(B73,"Low")</f>
        <v>52.8</v>
      </c>
      <c r="N73" s="3" cm="1">
        <f t="array" aca="1" ref="N73" ca="1">_FV(B73,"Open")</f>
        <v>55.52</v>
      </c>
      <c r="O73" s="3" cm="1">
        <f t="array" aca="1" ref="O73" ca="1">_FV(B73,"Previous close",TRUE)</f>
        <v>54.03</v>
      </c>
      <c r="P73" s="7" cm="1">
        <f t="array" aca="1" ref="P73" ca="1">_FV(B73,"Volume")</f>
        <v>952793</v>
      </c>
      <c r="Q73" s="7" cm="1">
        <f t="array" aca="1" ref="Q73" ca="1">_FV(B73,"Volume average",TRUE)</f>
        <v>1811267</v>
      </c>
      <c r="R73" s="8" cm="1">
        <f t="array" aca="1" ref="R73" ca="1">_FV(B73,"Year incorporated",TRUE)</f>
        <v>2022</v>
      </c>
      <c r="S73" s="7" cm="1">
        <f t="array" aca="1" ref="S73" ca="1">_FV(B73,"Employees")</f>
        <v>2000</v>
      </c>
      <c r="T73" t="str" cm="1">
        <f t="array" aca="1" ref="T73" ca="1">_FV(B73,"Industry")</f>
        <v>Machinery, Equipment &amp; Components</v>
      </c>
      <c r="U73" s="7" cm="1">
        <f t="array" aca="1" ref="U73" ca="1">_FV(B73,"Market cap",TRUE)</f>
        <v>32148380712</v>
      </c>
      <c r="V73" s="7" cm="1">
        <f t="array" aca="1" ref="V73" ca="1">_FV(B73,"Shares outstanding",TRUE)</f>
        <v>602706800</v>
      </c>
    </row>
    <row r="74" spans="1:22">
      <c r="A74" t="s">
        <v>307</v>
      </c>
      <c r="B74" t="e" vm="78">
        <v>#VALUE!</v>
      </c>
      <c r="C74" s="2" cm="1">
        <f t="array" aca="1" ref="C74" ca="1">_FV(B74,"Last trade time",TRUE)</f>
        <v>46168.605627036719</v>
      </c>
      <c r="D74" t="str" cm="1">
        <f t="array" aca="1" ref="D74" ca="1">_FV(B74,"Currency")</f>
        <v>USD</v>
      </c>
      <c r="E74" s="3" cm="1">
        <f t="array" aca="1" ref="E74" ca="1">_FV(B74,"Price")</f>
        <v>125.2</v>
      </c>
      <c r="F74" s="4" cm="1">
        <f t="array" aca="1" ref="F74" ca="1">_FV(B74,"Change (%)",TRUE)</f>
        <v>-2.2943999999999999E-2</v>
      </c>
      <c r="G74" s="5" cm="1">
        <f t="array" aca="1" ref="G74" ca="1">_FV(B74,"Change")</f>
        <v>-2.94</v>
      </c>
      <c r="H74" s="6" cm="1">
        <f t="array" aca="1" ref="H74" ca="1">_FV(B74,"P/E",TRUE)</f>
        <v>39.082299999999996</v>
      </c>
      <c r="I74" s="6" cm="1">
        <f t="array" aca="1" ref="I74" ca="1">_FV(B74,"Beta")</f>
        <v>1.0374000000000001</v>
      </c>
      <c r="J74" s="3" cm="1">
        <f t="array" aca="1" ref="J74" ca="1">_FV(B74,"52 week high",TRUE)</f>
        <v>257.08999999999997</v>
      </c>
      <c r="K74" s="3" cm="1">
        <f t="array" aca="1" ref="K74" ca="1">_FV(B74,"52 week low",TRUE)</f>
        <v>110.36</v>
      </c>
      <c r="L74" s="3" cm="1">
        <f t="array" aca="1" ref="L74" ca="1">_FV(B74,"High")</f>
        <v>127.06</v>
      </c>
      <c r="M74" s="3" cm="1">
        <f t="array" aca="1" ref="M74" ca="1">_FV(B74,"Low")</f>
        <v>122.18</v>
      </c>
      <c r="N74" s="3" cm="1">
        <f t="array" aca="1" ref="N74" ca="1">_FV(B74,"Open")</f>
        <v>126.07</v>
      </c>
      <c r="O74" s="3" cm="1">
        <f t="array" aca="1" ref="O74" ca="1">_FV(B74,"Previous close",TRUE)</f>
        <v>128.13999999999999</v>
      </c>
      <c r="P74" s="7" cm="1">
        <f t="array" aca="1" ref="P74" ca="1">_FV(B74,"Volume")</f>
        <v>1157261</v>
      </c>
      <c r="Q74" s="7" cm="1">
        <f t="array" aca="1" ref="Q74" ca="1">_FV(B74,"Volume average",TRUE)</f>
        <v>5179599</v>
      </c>
      <c r="R74" s="8" cm="1">
        <f t="array" aca="1" ref="R74" ca="1">_FV(B74,"Year incorporated",TRUE)</f>
        <v>2012</v>
      </c>
      <c r="S74" s="7" cm="1">
        <f t="array" aca="1" ref="S74" ca="1">_FV(B74,"Employees")</f>
        <v>20834</v>
      </c>
      <c r="T74" t="str" cm="1">
        <f t="array" aca="1" ref="T74" ca="1">_FV(B74,"Industry")</f>
        <v>Software &amp; IT Services</v>
      </c>
      <c r="U74" s="7" cm="1">
        <f t="array" aca="1" ref="U74" ca="1">_FV(B74,"Market cap",TRUE)</f>
        <v>30924400000</v>
      </c>
      <c r="V74" s="7" cm="1">
        <f t="array" aca="1" ref="V74" ca="1">_FV(B74,"Shares outstanding",TRUE)</f>
        <v>247000000</v>
      </c>
    </row>
    <row r="75" spans="1:22">
      <c r="A75" t="s">
        <v>311</v>
      </c>
      <c r="B75" t="e" vm="79">
        <v>#VALUE!</v>
      </c>
      <c r="C75" s="2" cm="1">
        <f t="array" aca="1" ref="C75" ca="1">_FV(B75,"Last trade time",TRUE)</f>
        <v>46168.605586226564</v>
      </c>
      <c r="D75" t="str" cm="1">
        <f t="array" aca="1" ref="D75" ca="1">_FV(B75,"Currency")</f>
        <v>USD</v>
      </c>
      <c r="E75" s="3" cm="1">
        <f t="array" aca="1" ref="E75" ca="1">_FV(B75,"Price")</f>
        <v>18.37</v>
      </c>
      <c r="F75" s="4" cm="1">
        <f t="array" aca="1" ref="F75" ca="1">_FV(B75,"Change (%)",TRUE)</f>
        <v>-1.8172000000000001E-2</v>
      </c>
      <c r="G75" s="5" cm="1">
        <f t="array" aca="1" ref="G75" ca="1">_FV(B75,"Change")</f>
        <v>-0.34</v>
      </c>
      <c r="H75" s="6" t="e" cm="1" vm="12">
        <f t="array" ref="H75">_FV(B75,"P/E",TRUE)</f>
        <v>#VALUE!</v>
      </c>
      <c r="I75" s="6" cm="1">
        <f t="array" aca="1" ref="I75" ca="1">_FV(B75,"Beta")</f>
        <v>0.85129999999999995</v>
      </c>
      <c r="J75" s="3" cm="1">
        <f t="array" aca="1" ref="J75" ca="1">_FV(B75,"52 week high",TRUE)</f>
        <v>21.4</v>
      </c>
      <c r="K75" s="3" cm="1">
        <f t="array" aca="1" ref="K75" ca="1">_FV(B75,"52 week low",TRUE)</f>
        <v>11.81</v>
      </c>
      <c r="L75" s="3" cm="1">
        <f t="array" aca="1" ref="L75" ca="1">_FV(B75,"High")</f>
        <v>18.669799999999999</v>
      </c>
      <c r="M75" s="3" cm="1">
        <f t="array" aca="1" ref="M75" ca="1">_FV(B75,"Low")</f>
        <v>18.21</v>
      </c>
      <c r="N75" s="3" cm="1">
        <f t="array" aca="1" ref="N75" ca="1">_FV(B75,"Open")</f>
        <v>18.649999999999999</v>
      </c>
      <c r="O75" s="3" cm="1">
        <f t="array" aca="1" ref="O75" ca="1">_FV(B75,"Previous close",TRUE)</f>
        <v>18.71</v>
      </c>
      <c r="P75" s="7" cm="1">
        <f t="array" aca="1" ref="P75" ca="1">_FV(B75,"Volume")</f>
        <v>2210641</v>
      </c>
      <c r="Q75" s="7" cm="1">
        <f t="array" aca="1" ref="Q75" ca="1">_FV(B75,"Volume average",TRUE)</f>
        <v>6933336</v>
      </c>
      <c r="R75" s="8" cm="1">
        <f t="array" aca="1" ref="R75" ca="1">_FV(B75,"Year incorporated",TRUE)</f>
        <v>2013</v>
      </c>
      <c r="S75" s="7" cm="1">
        <f t="array" aca="1" ref="S75" ca="1">_FV(B75,"Employees")</f>
        <v>2900</v>
      </c>
      <c r="T75" t="str" cm="1">
        <f t="array" aca="1" ref="T75" ca="1">_FV(B75,"Industry")</f>
        <v>Software &amp; IT Services</v>
      </c>
      <c r="U75" s="7" cm="1">
        <f t="array" aca="1" ref="U75" ca="1">_FV(B75,"Market cap",TRUE)</f>
        <v>6273026177</v>
      </c>
      <c r="V75" s="7" cm="1">
        <f t="array" aca="1" ref="V75" ca="1">_FV(B75,"Shares outstanding",TRUE)</f>
        <v>341482100</v>
      </c>
    </row>
    <row r="76" spans="1:22">
      <c r="A76" t="s">
        <v>140</v>
      </c>
      <c r="B76" t="e" vm="80">
        <v>#VALUE!</v>
      </c>
      <c r="C76" s="2" cm="1">
        <f t="array" aca="1" ref="C76" ca="1">_FV(B76,"Last trade time",TRUE)</f>
        <v>46168.60562790469</v>
      </c>
      <c r="D76" t="str" cm="1">
        <f t="array" aca="1" ref="D76" ca="1">_FV(B76,"Currency")</f>
        <v>USD</v>
      </c>
      <c r="E76" s="3" cm="1">
        <f t="array" aca="1" ref="E76" ca="1">_FV(B76,"Price")</f>
        <v>117.68</v>
      </c>
      <c r="F76" s="4" cm="1">
        <f t="array" aca="1" ref="F76" ca="1">_FV(B76,"Change (%)",TRUE)</f>
        <v>-2.2673000000000002E-2</v>
      </c>
      <c r="G76" s="5" cm="1">
        <f t="array" aca="1" ref="G76" ca="1">_FV(B76,"Change")</f>
        <v>-2.73</v>
      </c>
      <c r="H76" s="6" cm="1">
        <f t="array" aca="1" ref="H76" ca="1">_FV(B76,"P/E",TRUE)</f>
        <v>39.2136</v>
      </c>
      <c r="I76" s="6" cm="1">
        <f t="array" aca="1" ref="I76" ca="1">_FV(B76,"Beta")</f>
        <v>0.97330000000000005</v>
      </c>
      <c r="J76" s="3" cm="1">
        <f t="array" aca="1" ref="J76" ca="1">_FV(B76,"52 week high",TRUE)</f>
        <v>120.79</v>
      </c>
      <c r="K76" s="3" cm="1">
        <f t="array" aca="1" ref="K76" ca="1">_FV(B76,"52 week low",TRUE)</f>
        <v>62.3</v>
      </c>
      <c r="L76" s="3" cm="1">
        <f t="array" aca="1" ref="L76" ca="1">_FV(B76,"High")</f>
        <v>120.77</v>
      </c>
      <c r="M76" s="3" cm="1">
        <f t="array" aca="1" ref="M76" ca="1">_FV(B76,"Low")</f>
        <v>117.095</v>
      </c>
      <c r="N76" s="3" cm="1">
        <f t="array" aca="1" ref="N76" ca="1">_FV(B76,"Open")</f>
        <v>120.48</v>
      </c>
      <c r="O76" s="3" cm="1">
        <f t="array" aca="1" ref="O76" ca="1">_FV(B76,"Previous close",TRUE)</f>
        <v>120.41</v>
      </c>
      <c r="P76" s="7" cm="1">
        <f t="array" aca="1" ref="P76" ca="1">_FV(B76,"Volume")</f>
        <v>6543783</v>
      </c>
      <c r="Q76" s="7" cm="1">
        <f t="array" aca="1" ref="Q76" ca="1">_FV(B76,"Volume average",TRUE)</f>
        <v>24599703</v>
      </c>
      <c r="R76" s="8" cm="1">
        <f t="array" aca="1" ref="R76" ca="1">_FV(B76,"Year incorporated",TRUE)</f>
        <v>2021</v>
      </c>
      <c r="S76" s="7" cm="1">
        <f t="array" aca="1" ref="S76" ca="1">_FV(B76,"Employees")</f>
        <v>86200</v>
      </c>
      <c r="T76" t="str" cm="1">
        <f t="array" aca="1" ref="T76" ca="1">_FV(B76,"Industry")</f>
        <v>Communications &amp; Networking</v>
      </c>
      <c r="U76" s="7" cm="1">
        <f t="array" aca="1" ref="U76" ca="1">_FV(B76,"Market cap",TRUE)</f>
        <v>463828070800</v>
      </c>
      <c r="V76" s="7" cm="1">
        <f t="array" aca="1" ref="V76" ca="1">_FV(B76,"Shares outstanding",TRUE)</f>
        <v>3941435000</v>
      </c>
    </row>
    <row r="77" spans="1:22">
      <c r="A77" t="s">
        <v>143</v>
      </c>
      <c r="B77" t="e" vm="81">
        <v>#VALUE!</v>
      </c>
      <c r="C77" s="2" cm="1">
        <f t="array" aca="1" ref="C77" ca="1">_FV(B77,"Last trade time",TRUE)</f>
        <v>46168.605639247653</v>
      </c>
      <c r="D77" t="str" cm="1">
        <f t="array" aca="1" ref="D77" ca="1">_FV(B77,"Currency")</f>
        <v>USD</v>
      </c>
      <c r="E77" s="3" cm="1">
        <f t="array" aca="1" ref="E77" ca="1">_FV(B77,"Price")</f>
        <v>253.64</v>
      </c>
      <c r="F77" s="4" cm="1">
        <f t="array" aca="1" ref="F77" ca="1">_FV(B77,"Change (%)",TRUE)</f>
        <v>-2.6633E-2</v>
      </c>
      <c r="G77" s="5" cm="1">
        <f t="array" aca="1" ref="G77" ca="1">_FV(B77,"Change")</f>
        <v>-6.94</v>
      </c>
      <c r="H77" s="6" cm="1">
        <f t="array" aca="1" ref="H77" ca="1">_FV(B77,"P/E",TRUE)</f>
        <v>140.44300000000001</v>
      </c>
      <c r="I77" s="6" cm="1">
        <f t="array" aca="1" ref="I77" ca="1">_FV(B77,"Beta")</f>
        <v>0.85740000000000005</v>
      </c>
      <c r="J77" s="3" cm="1">
        <f t="array" aca="1" ref="J77" ca="1">_FV(B77,"52 week high",TRUE)</f>
        <v>261.41199999999998</v>
      </c>
      <c r="K77" s="3" cm="1">
        <f t="array" aca="1" ref="K77" ca="1">_FV(B77,"52 week low",TRUE)</f>
        <v>139.57060000000001</v>
      </c>
      <c r="L77" s="3" cm="1">
        <f t="array" aca="1" ref="L77" ca="1">_FV(B77,"High")</f>
        <v>259.83999999999997</v>
      </c>
      <c r="M77" s="3" cm="1">
        <f t="array" aca="1" ref="M77" ca="1">_FV(B77,"Low")</f>
        <v>250.77</v>
      </c>
      <c r="N77" s="3" cm="1">
        <f t="array" aca="1" ref="N77" ca="1">_FV(B77,"Open")</f>
        <v>257.89999999999998</v>
      </c>
      <c r="O77" s="3" cm="1">
        <f t="array" aca="1" ref="O77" ca="1">_FV(B77,"Previous close",TRUE)</f>
        <v>260.58</v>
      </c>
      <c r="P77" s="7" cm="1">
        <f t="array" aca="1" ref="P77" ca="1">_FV(B77,"Volume")</f>
        <v>1873687</v>
      </c>
      <c r="Q77" s="7" cm="1">
        <f t="array" aca="1" ref="Q77" ca="1">_FV(B77,"Volume average",TRUE)</f>
        <v>7476247</v>
      </c>
      <c r="R77" s="8" cm="1">
        <f t="array" aca="1" ref="R77" ca="1">_FV(B77,"Year incorporated",TRUE)</f>
        <v>2005</v>
      </c>
      <c r="S77" s="7" cm="1">
        <f t="array" aca="1" ref="S77" ca="1">_FV(B77,"Employees")</f>
        <v>17027</v>
      </c>
      <c r="T77" t="str" cm="1">
        <f t="array" aca="1" ref="T77" ca="1">_FV(B77,"Industry")</f>
        <v>Software &amp; IT Services</v>
      </c>
      <c r="U77" s="7" cm="1">
        <f t="array" aca="1" ref="U77" ca="1">_FV(B77,"Market cap",TRUE)</f>
        <v>205702040000</v>
      </c>
      <c r="V77" s="7" cm="1">
        <f t="array" aca="1" ref="V77" ca="1">_FV(B77,"Shares outstanding",TRUE)</f>
        <v>811000000</v>
      </c>
    </row>
    <row r="78" spans="1:22">
      <c r="A78" t="s">
        <v>34</v>
      </c>
      <c r="B78" t="e" vm="82">
        <v>#VALUE!</v>
      </c>
      <c r="C78" s="2">
        <f t="array" aca="1" ref="C78" ca="1">_FV(B78,"Last trade time",TRUE)</f>
        <v>46168.605640068752</v>
      </c>
      <c r="D78" t="str">
        <f t="array" aca="1" ref="D78" ca="1">_FV(B78,"Currency")</f>
        <v>USD</v>
      </c>
      <c r="E78" s="3">
        <f t="array" aca="1" ref="E78" ca="1">_FV(B78,"Price")</f>
        <v>246.54</v>
      </c>
      <c r="F78" s="4">
        <f t="array" aca="1" ref="F78" ca="1">_FV(B78,"Change (%)",TRUE)</f>
        <v>-2.8757999999999999E-2</v>
      </c>
      <c r="G78" s="5">
        <f t="array" aca="1" ref="G78" ca="1">_FV(B78,"Change")</f>
        <v>-7.3</v>
      </c>
      <c r="H78" s="6">
        <f t="array" aca="1" ref="H78" ca="1">_FV(B78,"P/E",TRUE)</f>
        <v>19.729500000000002</v>
      </c>
      <c r="I78" s="6">
        <f t="array" aca="1" ref="I78" ca="1">_FV(B78,"Beta")</f>
        <v>0.58960000000000001</v>
      </c>
      <c r="J78" s="3">
        <f t="array" aca="1" ref="J78" ca="1">_FV(B78,"52 week high",TRUE)</f>
        <v>324.89999999999998</v>
      </c>
      <c r="K78" s="3">
        <f t="array" aca="1" ref="K78" ca="1">_FV(B78,"52 week low",TRUE)</f>
        <v>212.34</v>
      </c>
      <c r="L78" s="3">
        <f t="array" aca="1" ref="L78" ca="1">_FV(B78,"High")</f>
        <v>254.73</v>
      </c>
      <c r="M78" s="3">
        <f t="array" aca="1" ref="M78" ca="1">_FV(B78,"Low")</f>
        <v>245.45</v>
      </c>
      <c r="N78" s="3">
        <f t="array" aca="1" ref="N78" ca="1">_FV(B78,"Open")</f>
        <v>254.73</v>
      </c>
      <c r="O78" s="3">
        <f t="array" aca="1" ref="O78" ca="1">_FV(B78,"Previous close",TRUE)</f>
        <v>253.84</v>
      </c>
      <c r="P78" s="7">
        <f t="array" aca="1" ref="P78" ca="1">_FV(B78,"Volume")</f>
        <v>3399060</v>
      </c>
      <c r="Q78" s="7">
        <f t="array" aca="1" ref="Q78" ca="1">_FV(B78,"Volume average",TRUE)</f>
        <v>8239166</v>
      </c>
      <c r="R78" s="8">
        <f t="array" aca="1" ref="R78" ca="1">_FV(B78,"Year incorporated",TRUE)</f>
        <v>1911</v>
      </c>
      <c r="S78" s="7">
        <f t="array" aca="1" ref="S78" ca="1">_FV(B78,"Employees")</f>
        <v>286800</v>
      </c>
      <c r="T78" t="str">
        <f t="array" aca="1" ref="T78" ca="1">_FV(B78,"Industry")</f>
        <v>Software &amp; IT Services</v>
      </c>
      <c r="U78" s="7">
        <f t="array" aca="1" ref="U78" ca="1">_FV(B78,"Market cap",TRUE)</f>
        <v>231719321862</v>
      </c>
      <c r="V78" s="7">
        <f t="array" aca="1" ref="V78" ca="1">_FV(B78,"Shares outstanding",TRUE)</f>
        <v>939885300</v>
      </c>
    </row>
    <row r="79" spans="1:22">
      <c r="A79" t="s">
        <v>79</v>
      </c>
      <c r="B79" t="e" vm="83">
        <v>#VALUE!</v>
      </c>
      <c r="C79" s="2">
        <f t="array" aca="1" ref="C79" ca="1">_FV(B79,"Last trade time",TRUE)</f>
        <v>46168.605618344533</v>
      </c>
      <c r="D79" t="str">
        <f t="array" aca="1" ref="D79" ca="1">_FV(B79,"Currency")</f>
        <v>USD</v>
      </c>
      <c r="E79" s="3">
        <f t="array" aca="1" ref="E79" ca="1">_FV(B79,"Price")</f>
        <v>61.53</v>
      </c>
      <c r="F79" s="4">
        <f t="array" aca="1" ref="F79" ca="1">_FV(B79,"Change (%)",TRUE)</f>
        <v>-3.3155000000000004E-2</v>
      </c>
      <c r="G79" s="5">
        <f t="array" aca="1" ref="G79" ca="1">_FV(B79,"Change")</f>
        <v>-2.11</v>
      </c>
      <c r="H79" s="6">
        <f t="array" aca="1" ref="H79" ca="1">_FV(B79,"P/E",TRUE)</f>
        <v>1050</v>
      </c>
      <c r="I79" s="6">
        <f t="array" aca="1" ref="I79" ca="1">_FV(B79,"Beta")</f>
        <v>3.1023000000000001</v>
      </c>
      <c r="J79" s="3">
        <f t="array" aca="1" ref="J79" ca="1">_FV(B79,"52 week high",TRUE)</f>
        <v>84.64</v>
      </c>
      <c r="K79" s="3">
        <f t="array" aca="1" ref="K79" ca="1">_FV(B79,"52 week low",TRUE)</f>
        <v>25.89</v>
      </c>
      <c r="L79" s="3">
        <f t="array" aca="1" ref="L79" ca="1">_FV(B79,"High")</f>
        <v>65</v>
      </c>
      <c r="M79" s="3">
        <f t="array" aca="1" ref="M79" ca="1">_FV(B79,"Low")</f>
        <v>60.52</v>
      </c>
      <c r="N79" s="3">
        <f t="array" aca="1" ref="N79" ca="1">_FV(B79,"Open")</f>
        <v>64.28</v>
      </c>
      <c r="O79" s="3">
        <f t="array" aca="1" ref="O79" ca="1">_FV(B79,"Previous close",TRUE)</f>
        <v>63.64</v>
      </c>
      <c r="P79" s="7">
        <f t="array" aca="1" ref="P79" ca="1">_FV(B79,"Volume")</f>
        <v>12466432</v>
      </c>
      <c r="Q79" s="7">
        <f t="array" aca="1" ref="Q79" ca="1">_FV(B79,"Volume average",TRUE)</f>
        <v>34430022</v>
      </c>
      <c r="R79" s="8">
        <f t="array" aca="1" ref="R79" ca="1">_FV(B79,"Year incorporated",TRUE)</f>
        <v>2020</v>
      </c>
      <c r="S79" s="7">
        <f t="array" aca="1" ref="S79" ca="1">_FV(B79,"Employees")</f>
        <v>1132</v>
      </c>
      <c r="T79" t="str">
        <f t="array" aca="1" ref="T79" ca="1">_FV(B79,"Industry")</f>
        <v>Computers, Phones &amp; Household Electronics</v>
      </c>
      <c r="U79" s="7">
        <f t="array" aca="1" ref="U79" ca="1">_FV(B79,"Market cap",TRUE)</f>
        <v>22967303100</v>
      </c>
      <c r="V79" s="7">
        <f t="array" aca="1" ref="V79" ca="1">_FV(B79,"Shares outstanding",TRUE)</f>
        <v>373270000</v>
      </c>
    </row>
    <row r="80" spans="1:22">
      <c r="A80" t="s">
        <v>138</v>
      </c>
      <c r="B80" t="e" vm="84">
        <v>#VALUE!</v>
      </c>
      <c r="C80" s="2" cm="1">
        <f t="array" aca="1" ref="C80" ca="1">_FV(B80,"Last trade time",TRUE)</f>
        <v>46168.605586863283</v>
      </c>
      <c r="D80" t="str" cm="1">
        <f t="array" aca="1" ref="D80" ca="1">_FV(B80,"Currency")</f>
        <v>USD</v>
      </c>
      <c r="E80" s="3" cm="1">
        <f t="array" aca="1" ref="E80" ca="1">_FV(B80,"Price")</f>
        <v>309.5</v>
      </c>
      <c r="F80" s="4" cm="1">
        <f t="array" aca="1" ref="F80" ca="1">_FV(B80,"Change (%)",TRUE)</f>
        <v>-5.0991999999999996E-2</v>
      </c>
      <c r="G80" s="5" cm="1">
        <f t="array" aca="1" ref="G80" ca="1">_FV(B80,"Change")</f>
        <v>-16.63</v>
      </c>
      <c r="H80" s="6" cm="1">
        <f t="array" aca="1" ref="H80" ca="1">_FV(B80,"P/E",TRUE)</f>
        <v>0</v>
      </c>
      <c r="I80" s="6" cm="1">
        <f t="array" aca="1" ref="I80" ca="1">_FV(B80,"Beta")</f>
        <v>1.5371999999999999</v>
      </c>
      <c r="J80" s="3" cm="1">
        <f t="array" aca="1" ref="J80" ca="1">_FV(B80,"52 week high",TRUE)</f>
        <v>444.72</v>
      </c>
      <c r="K80" s="3" cm="1">
        <f t="array" aca="1" ref="K80" ca="1">_FV(B80,"52 week low",TRUE)</f>
        <v>182.43</v>
      </c>
      <c r="L80" s="3" cm="1">
        <f t="array" aca="1" ref="L80" ca="1">_FV(B80,"High")</f>
        <v>317.45499999999998</v>
      </c>
      <c r="M80" s="3" cm="1">
        <f t="array" aca="1" ref="M80" ca="1">_FV(B80,"Low")</f>
        <v>307.81</v>
      </c>
      <c r="N80" s="3" cm="1">
        <f t="array" aca="1" ref="N80" ca="1">_FV(B80,"Open")</f>
        <v>313.04000000000002</v>
      </c>
      <c r="O80" s="3" cm="1">
        <f t="array" aca="1" ref="O80" ca="1">_FV(B80,"Previous close",TRUE)</f>
        <v>326.13</v>
      </c>
      <c r="P80" s="7" cm="1">
        <f t="array" aca="1" ref="P80" ca="1">_FV(B80,"Volume")</f>
        <v>814118</v>
      </c>
      <c r="Q80" s="7" cm="1">
        <f t="array" aca="1" ref="Q80" ca="1">_FV(B80,"Volume average",TRUE)</f>
        <v>1596784</v>
      </c>
      <c r="R80" s="8" cm="1">
        <f t="array" aca="1" ref="R80" ca="1">_FV(B80,"Year incorporated",TRUE)</f>
        <v>2007</v>
      </c>
      <c r="S80" s="7" cm="1">
        <f t="array" aca="1" ref="S80" ca="1">_FV(B80,"Employees")</f>
        <v>5636</v>
      </c>
      <c r="T80" t="str" cm="1">
        <f t="array" aca="1" ref="T80" ca="1">_FV(B80,"Industry")</f>
        <v>Software &amp; IT Services</v>
      </c>
      <c r="U80" s="7" cm="1">
        <f t="array" aca="1" ref="U80" ca="1">_FV(B80,"Market cap",TRUE)</f>
        <v>24914728335</v>
      </c>
      <c r="V80" s="7" cm="1">
        <f t="array" aca="1" ref="V80" ca="1">_FV(B80,"Shares outstanding",TRUE)</f>
        <v>80499930</v>
      </c>
    </row>
    <row r="81" spans="1:22">
      <c r="A81" t="s">
        <v>76</v>
      </c>
      <c r="B81" t="e" vm="85">
        <v>#VALUE!</v>
      </c>
      <c r="C81" s="2">
        <f t="array" aca="1" ref="C81" ca="1">_FV(B81,"Last trade time",TRUE)</f>
        <v>46168.60554841406</v>
      </c>
      <c r="D81" t="str">
        <f t="array" aca="1" ref="D81" ca="1">_FV(B81,"Currency")</f>
        <v>USD</v>
      </c>
      <c r="E81" s="3">
        <f t="array" aca="1" ref="E81" ca="1">_FV(B81,"Price")</f>
        <v>12.180899999999999</v>
      </c>
      <c r="F81" s="4">
        <f t="array" aca="1" ref="F81" ca="1">_FV(B81,"Change (%)",TRUE)</f>
        <v>-5.2069999999999998E-2</v>
      </c>
      <c r="G81" s="5">
        <f t="array" aca="1" ref="G81" ca="1">_FV(B81,"Change")</f>
        <v>-0.66910000000000003</v>
      </c>
      <c r="H81" s="6">
        <f t="array" aca="1" ref="H81" ca="1">_FV(B81,"P/E",TRUE)</f>
        <v>0</v>
      </c>
      <c r="I81" s="6">
        <f t="array" aca="1" ref="I81" ca="1">_FV(B81,"Beta")</f>
        <v>3.1711</v>
      </c>
      <c r="J81" s="3">
        <f t="array" aca="1" ref="J81" ca="1">_FV(B81,"52 week high",TRUE)</f>
        <v>18.709</v>
      </c>
      <c r="K81" s="3">
        <f t="array" aca="1" ref="K81" ca="1">_FV(B81,"52 week low",TRUE)</f>
        <v>0.91510000000000002</v>
      </c>
      <c r="L81" s="3">
        <f t="array" aca="1" ref="L81" ca="1">_FV(B81,"High")</f>
        <v>13.3</v>
      </c>
      <c r="M81" s="3">
        <f t="array" aca="1" ref="M81" ca="1">_FV(B81,"Low")</f>
        <v>11.81</v>
      </c>
      <c r="N81" s="3">
        <f t="array" aca="1" ref="N81" ca="1">_FV(B81,"Open")</f>
        <v>13.1</v>
      </c>
      <c r="O81" s="3">
        <f t="array" aca="1" ref="O81" ca="1">_FV(B81,"Previous close",TRUE)</f>
        <v>12.85</v>
      </c>
      <c r="P81" s="7">
        <f t="array" aca="1" ref="P81" ca="1">_FV(B81,"Volume")</f>
        <v>2747657</v>
      </c>
      <c r="Q81" s="7">
        <f t="array" aca="1" ref="Q81" ca="1">_FV(B81,"Volume average",TRUE)</f>
        <v>9859144</v>
      </c>
      <c r="R81" s="8">
        <f t="array" aca="1" ref="R81" ca="1">_FV(B81,"Year incorporated",TRUE)</f>
        <v>1997</v>
      </c>
      <c r="S81" s="7">
        <f t="array" aca="1" ref="S81" ca="1">_FV(B81,"Employees")</f>
        <v>34</v>
      </c>
      <c r="T81" t="str">
        <f t="array" aca="1" ref="T81" ca="1">_FV(B81,"Industry")</f>
        <v>Electronic Equipment &amp; Parts</v>
      </c>
      <c r="U81" s="7">
        <f t="array" aca="1" ref="U81" ca="1">_FV(B81,"Market cap",TRUE)</f>
        <v>1876828199</v>
      </c>
      <c r="V81" s="7">
        <f t="array" aca="1" ref="V81" ca="1">_FV(B81,"Shares outstanding",TRUE)</f>
        <v>154079600</v>
      </c>
    </row>
    <row r="82" spans="1:22">
      <c r="A82" t="s">
        <v>80</v>
      </c>
      <c r="B82" t="e" vm="86">
        <v>#VALUE!</v>
      </c>
      <c r="C82" s="2">
        <f t="array" aca="1" ref="C82" ca="1">_FV(B82,"Last trade time",TRUE)</f>
        <v>46168.605639710157</v>
      </c>
      <c r="D82" t="str">
        <f t="array" aca="1" ref="D82" ca="1">_FV(B82,"Currency")</f>
        <v>USD</v>
      </c>
      <c r="E82" s="3">
        <f t="array" aca="1" ref="E82" ca="1">_FV(B82,"Price")</f>
        <v>13.505000000000001</v>
      </c>
      <c r="F82" s="4">
        <f t="array" aca="1" ref="F82" ca="1">_FV(B82,"Change (%)",TRUE)</f>
        <v>-7.4366000000000002E-2</v>
      </c>
      <c r="G82" s="5">
        <f t="array" aca="1" ref="G82" ca="1">_FV(B82,"Change")</f>
        <v>-1.085</v>
      </c>
      <c r="H82" s="6">
        <f t="array" aca="1" ref="H82" ca="1">_FV(B82,"P/E",TRUE)</f>
        <v>0</v>
      </c>
      <c r="I82" s="6">
        <f t="array" aca="1" ref="I82" ca="1">_FV(B82,"Beta")</f>
        <v>0.75739999999999996</v>
      </c>
      <c r="J82" s="3">
        <f t="array" aca="1" ref="J82" ca="1">_FV(B82,"52 week high",TRUE)</f>
        <v>20.81</v>
      </c>
      <c r="K82" s="3">
        <f t="array" aca="1" ref="K82" ca="1">_FV(B82,"52 week low",TRUE)</f>
        <v>3.87</v>
      </c>
      <c r="L82" s="3">
        <f t="array" aca="1" ref="L82" ca="1">_FV(B82,"High")</f>
        <v>15.074999999999999</v>
      </c>
      <c r="M82" s="3">
        <f t="array" aca="1" ref="M82" ca="1">_FV(B82,"Low")</f>
        <v>13.11</v>
      </c>
      <c r="N82" s="3">
        <f t="array" aca="1" ref="N82" ca="1">_FV(B82,"Open")</f>
        <v>15</v>
      </c>
      <c r="O82" s="3">
        <f t="array" aca="1" ref="O82" ca="1">_FV(B82,"Previous close",TRUE)</f>
        <v>14.59</v>
      </c>
      <c r="P82" s="7">
        <f t="array" aca="1" ref="P82" ca="1">_FV(B82,"Volume")</f>
        <v>21230342</v>
      </c>
      <c r="Q82" s="7">
        <f t="array" aca="1" ref="Q82" ca="1">_FV(B82,"Volume average",TRUE)</f>
        <v>70503017</v>
      </c>
      <c r="R82" s="8">
        <f t="array" aca="1" ref="R82" ca="1">_FV(B82,"Year incorporated",TRUE)</f>
        <v>2010</v>
      </c>
      <c r="S82" s="7">
        <f t="array" aca="1" ref="S82" ca="1">_FV(B82,"Employees")</f>
        <v>180</v>
      </c>
      <c r="T82" t="str">
        <f t="array" aca="1" ref="T82" ca="1">_FV(B82,"Industry")</f>
        <v>Semiconductors &amp; Semiconductor Equipment</v>
      </c>
      <c r="U82" s="7">
        <f t="array" aca="1" ref="U82" ca="1">_FV(B82,"Market cap",TRUE)</f>
        <v>2330900877</v>
      </c>
      <c r="V82" s="7">
        <f t="array" aca="1" ref="V82" ca="1">_FV(B82,"Shares outstanding",TRUE)</f>
        <v>172595400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M11"/>
  <sheetViews>
    <sheetView workbookViewId="0">
      <selection activeCell="K3" sqref="K3:K10"/>
    </sheetView>
  </sheetViews>
  <sheetFormatPr defaultColWidth="9.125" defaultRowHeight="15.4"/>
  <cols>
    <col min="1" max="1" width="9.875" style="16" bestFit="1" customWidth="1"/>
    <col min="2" max="2" width="45.875" style="16" bestFit="1" customWidth="1"/>
    <col min="3" max="3" width="18.4375" style="16" bestFit="1" customWidth="1"/>
    <col min="4" max="4" width="12" style="16" bestFit="1" customWidth="1"/>
    <col min="5" max="5" width="9.4375" style="16" bestFit="1" customWidth="1"/>
    <col min="6" max="6" width="11.4375" style="16" bestFit="1" customWidth="1"/>
    <col min="7" max="7" width="8.3125" style="16" bestFit="1" customWidth="1"/>
    <col min="8" max="8" width="11.5625" style="16" bestFit="1" customWidth="1"/>
    <col min="9" max="9" width="10" style="16" bestFit="1" customWidth="1"/>
    <col min="10" max="10" width="7.6875" style="16" bestFit="1" customWidth="1"/>
    <col min="11" max="11" width="12.125" style="16" bestFit="1" customWidth="1"/>
    <col min="12" max="12" width="10.125" style="16" bestFit="1" customWidth="1"/>
    <col min="13" max="13" width="11.3125" style="16" bestFit="1" customWidth="1"/>
    <col min="14" max="16384" width="9.125" style="16"/>
  </cols>
  <sheetData>
    <row r="1" spans="1:13">
      <c r="A1" s="13" t="s">
        <v>312</v>
      </c>
      <c r="B1" s="13" t="s">
        <v>93</v>
      </c>
      <c r="C1" s="14" t="s">
        <v>95</v>
      </c>
      <c r="D1" s="15" t="s">
        <v>313</v>
      </c>
      <c r="E1" s="15" t="s">
        <v>314</v>
      </c>
      <c r="F1" s="15" t="s">
        <v>315</v>
      </c>
      <c r="G1" s="15" t="s">
        <v>316</v>
      </c>
      <c r="H1" s="15" t="s">
        <v>317</v>
      </c>
      <c r="I1" s="15" t="s">
        <v>96</v>
      </c>
      <c r="J1" s="15" t="s">
        <v>318</v>
      </c>
      <c r="K1" s="15" t="s">
        <v>319</v>
      </c>
      <c r="L1" s="15" t="s">
        <v>320</v>
      </c>
      <c r="M1" s="15" t="s">
        <v>321</v>
      </c>
    </row>
    <row r="2" spans="1:13" hidden="1">
      <c r="A2" s="17" t="s">
        <v>35</v>
      </c>
      <c r="B2" s="17" t="e" vm="87">
        <f>IFERROR(_xlfn.XLOOKUP(A2,[1]!tblWatchlist[Symbol],[1]!tblWatchlist[StockName]),"")</f>
        <v>#VALUE!</v>
      </c>
      <c r="C2" s="18" t="str">
        <f t="shared" ref="C2:C11" ca="1" si="0">_FV(B2,"Currency")</f>
        <v>USD</v>
      </c>
      <c r="D2" s="19">
        <v>32</v>
      </c>
      <c r="E2" s="19">
        <v>23</v>
      </c>
      <c r="F2" s="19">
        <v>9</v>
      </c>
      <c r="G2" s="20">
        <v>33.90625</v>
      </c>
      <c r="H2" s="20">
        <f t="shared" ref="H2:H11" si="1">F2*G2</f>
        <v>305.15625</v>
      </c>
      <c r="I2" s="21">
        <f t="shared" ref="I2:I11" ca="1" si="2">_FV(B2,"Price")</f>
        <v>301.21499999999997</v>
      </c>
      <c r="J2" s="22">
        <f ca="1">Config!$C$1</f>
        <v>0.74280000000000002</v>
      </c>
      <c r="K2" s="20">
        <f t="shared" ref="K2:K11" ca="1" si="3">F2*I2*J2</f>
        <v>2013.6825180000001</v>
      </c>
      <c r="L2" s="20">
        <f t="shared" ref="L2:L11" ca="1" si="4">K2-H2</f>
        <v>1708.5262680000001</v>
      </c>
      <c r="M2" s="23">
        <f t="shared" ref="M2:M11" ca="1" si="5">IF(H2=0,"",L2/H2)</f>
        <v>5.5988572018433178</v>
      </c>
    </row>
    <row r="3" spans="1:13">
      <c r="A3" s="17" t="s">
        <v>41</v>
      </c>
      <c r="B3" s="17" t="e" vm="88">
        <f>IFERROR(_xlfn.XLOOKUP(A3,[1]!tblWatchlist[Symbol],[1]!tblWatchlist[StockName]),"")</f>
        <v>#VALUE!</v>
      </c>
      <c r="C3" s="18" t="str">
        <f t="shared" ca="1" si="0"/>
        <v>USD</v>
      </c>
      <c r="D3" s="19">
        <v>6</v>
      </c>
      <c r="E3" s="19">
        <v>0</v>
      </c>
      <c r="F3" s="19">
        <v>6</v>
      </c>
      <c r="G3" s="20">
        <v>527.97666700000002</v>
      </c>
      <c r="H3" s="20">
        <f t="shared" si="1"/>
        <v>3167.8600020000003</v>
      </c>
      <c r="I3" s="21">
        <f t="shared" ca="1" si="2"/>
        <v>604.61369999999999</v>
      </c>
      <c r="J3" s="22">
        <f ca="1">Config!$C$1</f>
        <v>0.74280000000000002</v>
      </c>
      <c r="K3" s="20">
        <f t="shared" ca="1" si="3"/>
        <v>2694.6423381600002</v>
      </c>
      <c r="L3" s="20">
        <f t="shared" ca="1" si="4"/>
        <v>-473.21766384000011</v>
      </c>
      <c r="M3" s="23">
        <f t="shared" ca="1" si="5"/>
        <v>-0.14938086390851815</v>
      </c>
    </row>
    <row r="4" spans="1:13">
      <c r="A4" s="17" t="s">
        <v>60</v>
      </c>
      <c r="B4" s="17" t="e" vm="89">
        <f>IFERROR(_xlfn.XLOOKUP(A4,[1]!tblWatchlist[Symbol],[1]!tblWatchlist[StockName]),"")</f>
        <v>#VALUE!</v>
      </c>
      <c r="C4" s="18" t="str">
        <f t="shared" ca="1" si="0"/>
        <v>USD</v>
      </c>
      <c r="D4" s="19">
        <v>75</v>
      </c>
      <c r="E4" s="19">
        <v>0</v>
      </c>
      <c r="F4" s="19">
        <v>75</v>
      </c>
      <c r="G4" s="20">
        <v>48.637323999999992</v>
      </c>
      <c r="H4" s="20">
        <f t="shared" si="1"/>
        <v>3647.7992999999992</v>
      </c>
      <c r="I4" s="21">
        <f t="shared" ca="1" si="2"/>
        <v>76.185000000000002</v>
      </c>
      <c r="J4" s="22">
        <f ca="1">Config!$C$1</f>
        <v>0.74280000000000002</v>
      </c>
      <c r="K4" s="20">
        <f t="shared" ca="1" si="3"/>
        <v>4244.2663499999999</v>
      </c>
      <c r="L4" s="20">
        <f t="shared" ca="1" si="4"/>
        <v>596.46705000000065</v>
      </c>
      <c r="M4" s="23">
        <f t="shared" ca="1" si="5"/>
        <v>0.16351421801084309</v>
      </c>
    </row>
    <row r="5" spans="1:13">
      <c r="A5" s="17" t="s">
        <v>200</v>
      </c>
      <c r="B5" s="17" t="e" vm="90">
        <f>IFERROR(_xlfn.XLOOKUP(A5,[1]!tblWatchlist[Symbol],[1]!tblWatchlist[StockName]),"")</f>
        <v>#VALUE!</v>
      </c>
      <c r="C5" s="18" t="str">
        <f t="shared" ca="1" si="0"/>
        <v>USD</v>
      </c>
      <c r="D5" s="19">
        <v>18</v>
      </c>
      <c r="E5" s="19">
        <v>0</v>
      </c>
      <c r="F5" s="19">
        <v>18</v>
      </c>
      <c r="G5" s="20">
        <v>129.58000000000001</v>
      </c>
      <c r="H5" s="20">
        <f t="shared" si="1"/>
        <v>2332.44</v>
      </c>
      <c r="I5" s="21">
        <f t="shared" ca="1" si="2"/>
        <v>224.66</v>
      </c>
      <c r="J5" s="22">
        <f ca="1">Config!$C$1</f>
        <v>0.74280000000000002</v>
      </c>
      <c r="K5" s="20">
        <f t="shared" ca="1" si="3"/>
        <v>3003.7940640000002</v>
      </c>
      <c r="L5" s="20">
        <f t="shared" ca="1" si="4"/>
        <v>671.35406400000011</v>
      </c>
      <c r="M5" s="23">
        <f t="shared" ca="1" si="5"/>
        <v>0.2878333693471215</v>
      </c>
    </row>
    <row r="6" spans="1:13">
      <c r="A6" s="17" t="s">
        <v>63</v>
      </c>
      <c r="B6" s="17" t="e" vm="91">
        <f>IFERROR(_xlfn.XLOOKUP(A6,[1]!tblWatchlist[Symbol],[1]!tblWatchlist[StockName]),"")</f>
        <v>#VALUE!</v>
      </c>
      <c r="C6" s="18" t="str">
        <f t="shared" ca="1" si="0"/>
        <v>USD</v>
      </c>
      <c r="D6" s="19">
        <v>12</v>
      </c>
      <c r="E6" s="19">
        <v>0</v>
      </c>
      <c r="F6" s="19">
        <v>12</v>
      </c>
      <c r="G6" s="20">
        <v>154.96</v>
      </c>
      <c r="H6" s="20">
        <f t="shared" si="1"/>
        <v>1859.52</v>
      </c>
      <c r="I6" s="21">
        <f t="shared" ca="1" si="2"/>
        <v>446.1</v>
      </c>
      <c r="J6" s="22">
        <f ca="1">Config!$C$1</f>
        <v>0.74280000000000002</v>
      </c>
      <c r="K6" s="20">
        <f t="shared" ca="1" si="3"/>
        <v>3976.3569600000005</v>
      </c>
      <c r="L6" s="20">
        <f t="shared" ca="1" si="4"/>
        <v>2116.8369600000005</v>
      </c>
      <c r="M6" s="23">
        <f t="shared" ca="1" si="5"/>
        <v>1.1383781621063502</v>
      </c>
    </row>
    <row r="7" spans="1:13">
      <c r="A7" s="17" t="s">
        <v>70</v>
      </c>
      <c r="B7" s="17" t="e" vm="92">
        <f>IFERROR(_xlfn.XLOOKUP(A7,[1]!tblWatchlist[Symbol],[1]!tblWatchlist[StockName]),"")</f>
        <v>#VALUE!</v>
      </c>
      <c r="C7" s="18" t="str">
        <f t="shared" ca="1" si="0"/>
        <v>USD</v>
      </c>
      <c r="D7" s="19">
        <v>31</v>
      </c>
      <c r="E7" s="19">
        <v>0</v>
      </c>
      <c r="F7" s="19">
        <v>31</v>
      </c>
      <c r="G7" s="20">
        <v>66.906129000000007</v>
      </c>
      <c r="H7" s="20">
        <f t="shared" si="1"/>
        <v>2074.0899990000003</v>
      </c>
      <c r="I7" s="21">
        <f t="shared" ca="1" si="2"/>
        <v>102.1901</v>
      </c>
      <c r="J7" s="22">
        <f ca="1">Config!$C$1</f>
        <v>0.74280000000000002</v>
      </c>
      <c r="K7" s="20">
        <f t="shared" ca="1" si="3"/>
        <v>2353.1109946800002</v>
      </c>
      <c r="L7" s="20">
        <f t="shared" ca="1" si="4"/>
        <v>279.02099567999994</v>
      </c>
      <c r="M7" s="23">
        <f t="shared" ca="1" si="5"/>
        <v>0.13452694715008839</v>
      </c>
    </row>
    <row r="8" spans="1:13">
      <c r="A8" s="17" t="s">
        <v>64</v>
      </c>
      <c r="B8" s="17" t="e" vm="93">
        <f>IFERROR(_xlfn.XLOOKUP(A8,[1]!tblWatchlist[Symbol],[1]!tblWatchlist[StockName]),"")</f>
        <v>#VALUE!</v>
      </c>
      <c r="C8" s="18" t="str">
        <f t="shared" ca="1" si="0"/>
        <v>USD</v>
      </c>
      <c r="D8" s="19">
        <v>18</v>
      </c>
      <c r="E8" s="19">
        <v>0</v>
      </c>
      <c r="F8" s="19">
        <v>18</v>
      </c>
      <c r="G8" s="20">
        <v>269.68166111111105</v>
      </c>
      <c r="H8" s="20">
        <f t="shared" si="1"/>
        <v>4854.2698999999993</v>
      </c>
      <c r="I8" s="21">
        <f t="shared" ca="1" si="2"/>
        <v>412.56</v>
      </c>
      <c r="J8" s="22">
        <f ca="1">Config!$C$1</f>
        <v>0.74280000000000002</v>
      </c>
      <c r="K8" s="20">
        <f t="shared" ca="1" si="3"/>
        <v>5516.092224</v>
      </c>
      <c r="L8" s="20">
        <f t="shared" ca="1" si="4"/>
        <v>661.82232400000066</v>
      </c>
      <c r="M8" s="23">
        <f t="shared" ca="1" si="5"/>
        <v>0.1363381801246776</v>
      </c>
    </row>
    <row r="9" spans="1:13">
      <c r="A9" s="17" t="s">
        <v>76</v>
      </c>
      <c r="B9" s="17" t="e" vm="94">
        <f>IFERROR(_xlfn.XLOOKUP(A9,[1]!tblWatchlist[Symbol],[1]!tblWatchlist[StockName]),"")</f>
        <v>#VALUE!</v>
      </c>
      <c r="C9" s="18" t="str">
        <f t="shared" ca="1" si="0"/>
        <v>USD</v>
      </c>
      <c r="D9" s="19">
        <v>124</v>
      </c>
      <c r="E9" s="19">
        <v>0</v>
      </c>
      <c r="F9" s="19">
        <v>124</v>
      </c>
      <c r="G9" s="20">
        <v>8.8163710000000002</v>
      </c>
      <c r="H9" s="20">
        <f t="shared" si="1"/>
        <v>1093.230004</v>
      </c>
      <c r="I9" s="21">
        <f t="shared" ca="1" si="2"/>
        <v>11.74</v>
      </c>
      <c r="J9" s="22">
        <f ca="1">Config!$C$1</f>
        <v>0.74280000000000002</v>
      </c>
      <c r="K9" s="20">
        <f t="shared" ca="1" si="3"/>
        <v>1081.338528</v>
      </c>
      <c r="L9" s="20">
        <f t="shared" ca="1" si="4"/>
        <v>-11.891476000000011</v>
      </c>
      <c r="M9" s="23">
        <f t="shared" ca="1" si="5"/>
        <v>-1.0877378005077156E-2</v>
      </c>
    </row>
    <row r="10" spans="1:13">
      <c r="A10" s="17" t="s">
        <v>80</v>
      </c>
      <c r="B10" s="17" t="e" vm="95">
        <f>IFERROR(_xlfn.XLOOKUP(A10,[1]!tblWatchlist[Symbol],[1]!tblWatchlist[StockName]),"")</f>
        <v>#VALUE!</v>
      </c>
      <c r="C10" s="18" t="str">
        <f t="shared" ca="1" si="0"/>
        <v>USD</v>
      </c>
      <c r="D10" s="19">
        <v>446</v>
      </c>
      <c r="E10" s="19">
        <v>0</v>
      </c>
      <c r="F10" s="19">
        <v>446</v>
      </c>
      <c r="G10" s="20">
        <v>5.6275115156950681</v>
      </c>
      <c r="H10" s="20">
        <f t="shared" si="1"/>
        <v>2509.8701360000005</v>
      </c>
      <c r="I10" s="21">
        <f t="shared" ca="1" si="2"/>
        <v>14.0611</v>
      </c>
      <c r="J10" s="22">
        <f ca="1">Config!$C$1</f>
        <v>0.74280000000000002</v>
      </c>
      <c r="K10" s="20">
        <f t="shared" ca="1" si="3"/>
        <v>4658.2849456800004</v>
      </c>
      <c r="L10" s="20">
        <f t="shared" ca="1" si="4"/>
        <v>2148.41480968</v>
      </c>
      <c r="M10" s="23">
        <f t="shared" ca="1" si="5"/>
        <v>0.85598644283004433</v>
      </c>
    </row>
    <row r="11" spans="1:13" hidden="1">
      <c r="A11" s="17" t="s">
        <v>32</v>
      </c>
      <c r="B11" s="17" t="e" vm="96">
        <f>IFERROR(_xlfn.XLOOKUP(A11,[1]!tblWatchlist[Symbol],[1]!tblWatchlist[StockName]),"")</f>
        <v>#VALUE!</v>
      </c>
      <c r="C11" s="18" t="str">
        <f t="shared" ca="1" si="0"/>
        <v>GBp</v>
      </c>
      <c r="D11" s="19">
        <v>100</v>
      </c>
      <c r="E11" s="19">
        <v>50</v>
      </c>
      <c r="F11" s="19">
        <v>50</v>
      </c>
      <c r="G11" s="20">
        <v>100</v>
      </c>
      <c r="H11" s="20">
        <f t="shared" si="1"/>
        <v>5000</v>
      </c>
      <c r="I11" s="21">
        <f t="shared" ca="1" si="2"/>
        <v>897</v>
      </c>
      <c r="J11" s="22">
        <f ca="1">Config!$C$1</f>
        <v>0.74280000000000002</v>
      </c>
      <c r="K11" s="20">
        <f t="shared" ca="1" si="3"/>
        <v>33314.58</v>
      </c>
      <c r="L11" s="20">
        <f t="shared" ca="1" si="4"/>
        <v>28314.58</v>
      </c>
      <c r="M11" s="23">
        <f t="shared" ca="1" si="5"/>
        <v>5.6629160000000001</v>
      </c>
    </row>
  </sheetData>
  <conditionalFormatting sqref="A2:A11">
    <cfRule type="expression" dxfId="17" priority="16" stopIfTrue="1">
      <formula>L2&gt;0</formula>
    </cfRule>
    <cfRule type="expression" dxfId="16" priority="17" stopIfTrue="1">
      <formula>L2&lt;0</formula>
    </cfRule>
    <cfRule type="expression" dxfId="15" priority="18" stopIfTrue="1">
      <formula>L2=0</formula>
    </cfRule>
  </conditionalFormatting>
  <conditionalFormatting sqref="G2:G11">
    <cfRule type="cellIs" dxfId="14" priority="1" stopIfTrue="1" operator="greaterThan">
      <formula>0</formula>
    </cfRule>
    <cfRule type="cellIs" dxfId="13" priority="2" stopIfTrue="1" operator="lessThan">
      <formula>0</formula>
    </cfRule>
    <cfRule type="cellIs" dxfId="12" priority="3" stopIfTrue="1" operator="equal">
      <formula>0</formula>
    </cfRule>
  </conditionalFormatting>
  <conditionalFormatting sqref="H2:H11">
    <cfRule type="cellIs" dxfId="11" priority="4" stopIfTrue="1" operator="greaterThan">
      <formula>0</formula>
    </cfRule>
    <cfRule type="cellIs" dxfId="10" priority="5" stopIfTrue="1" operator="lessThan">
      <formula>0</formula>
    </cfRule>
    <cfRule type="cellIs" dxfId="9" priority="6" stopIfTrue="1" operator="equal">
      <formula>0</formula>
    </cfRule>
  </conditionalFormatting>
  <conditionalFormatting sqref="K2:K11">
    <cfRule type="cellIs" dxfId="8" priority="7" stopIfTrue="1" operator="greaterThan">
      <formula>0</formula>
    </cfRule>
    <cfRule type="cellIs" dxfId="7" priority="8" stopIfTrue="1" operator="lessThan">
      <formula>0</formula>
    </cfRule>
    <cfRule type="cellIs" dxfId="6" priority="9" stopIfTrue="1" operator="equal">
      <formula>0</formula>
    </cfRule>
  </conditionalFormatting>
  <conditionalFormatting sqref="L2:L11">
    <cfRule type="cellIs" dxfId="5" priority="10" stopIfTrue="1" operator="greaterThan">
      <formula>0</formula>
    </cfRule>
    <cfRule type="cellIs" dxfId="4" priority="11" stopIfTrue="1" operator="lessThan">
      <formula>0</formula>
    </cfRule>
    <cfRule type="cellIs" dxfId="3" priority="12" stopIfTrue="1" operator="equal">
      <formula>0</formula>
    </cfRule>
  </conditionalFormatting>
  <conditionalFormatting sqref="M2:M11">
    <cfRule type="cellIs" dxfId="2" priority="13" stopIfTrue="1" operator="greaterThan">
      <formula>0</formula>
    </cfRule>
    <cfRule type="cellIs" dxfId="1" priority="14" stopIfTrue="1" operator="lessThan">
      <formula>0</formula>
    </cfRule>
    <cfRule type="cellIs" dxfId="0" priority="15" stopIfTrue="1" operator="equal">
      <formula>0</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E2" sqref="E2"/>
    </sheetView>
  </sheetViews>
  <sheetFormatPr defaultRowHeight="13.5"/>
  <sheetData>
    <row r="1" spans="1:3">
      <c r="A1" t="s">
        <v>395</v>
      </c>
      <c r="B1" t="e" vm="97">
        <v>#VALUE!</v>
      </c>
      <c r="C1" s="3" cm="1">
        <f t="array" aca="1" ref="C1" ca="1">_FV(B1,"Price")</f>
        <v>0.74280000000000002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workbookViewId="0">
      <selection activeCell="F11" sqref="F11"/>
    </sheetView>
  </sheetViews>
  <sheetFormatPr defaultRowHeight="13.5"/>
  <cols>
    <col min="1" max="1" width="19.5625" bestFit="1" customWidth="1"/>
    <col min="2" max="2" width="10.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3.5"/>
  <cols>
    <col min="1" max="1" width="14.125" bestFit="1" customWidth="1"/>
    <col min="2" max="2" width="34.125" bestFit="1" customWidth="1"/>
    <col min="3" max="3" width="11.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211"/>
  <sheetViews>
    <sheetView topLeftCell="A13" workbookViewId="0"/>
  </sheetViews>
  <sheetFormatPr defaultRowHeight="13.5"/>
  <cols>
    <col min="1" max="1" width="9.125" customWidth="1"/>
  </cols>
  <sheetData>
    <row r="1" spans="1:1" ht="13.9">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3.5"/>
  <sheetData>
    <row r="1" spans="1:3" ht="30">
      <c r="A1" s="25" t="s">
        <v>323</v>
      </c>
    </row>
    <row r="5" spans="1:3" ht="30">
      <c r="A5" s="25" t="s">
        <v>324</v>
      </c>
    </row>
    <row r="7" spans="1:3">
      <c r="A7" t="s">
        <v>325</v>
      </c>
    </row>
    <row r="8" spans="1:3">
      <c r="A8" s="24"/>
    </row>
    <row r="9" spans="1:3">
      <c r="A9" s="26" t="s">
        <v>326</v>
      </c>
    </row>
    <row r="11" spans="1:3">
      <c r="A11" t="s">
        <v>327</v>
      </c>
    </row>
    <row r="13" spans="1:3" ht="13.9">
      <c r="A13" s="27" t="s">
        <v>328</v>
      </c>
      <c r="B13" s="27" t="s">
        <v>329</v>
      </c>
      <c r="C13" s="27" t="s">
        <v>330</v>
      </c>
    </row>
    <row r="14" spans="1:3">
      <c r="A14" s="28" t="s">
        <v>331</v>
      </c>
      <c r="B14" s="28" t="s">
        <v>198</v>
      </c>
      <c r="C14" s="28" t="s">
        <v>332</v>
      </c>
    </row>
    <row r="16" spans="1:3">
      <c r="A16" t="s">
        <v>271</v>
      </c>
    </row>
    <row r="18" spans="1:3" ht="13.9">
      <c r="A18" s="27" t="s">
        <v>331</v>
      </c>
      <c r="B18" s="27" t="s">
        <v>198</v>
      </c>
      <c r="C18" s="27" t="s">
        <v>332</v>
      </c>
    </row>
    <row r="19" spans="1:3">
      <c r="A19" s="29">
        <v>46143</v>
      </c>
      <c r="B19" s="28" t="s">
        <v>80</v>
      </c>
      <c r="C19" s="28">
        <v>5.22</v>
      </c>
    </row>
    <row r="20" spans="1:3">
      <c r="A20" s="29">
        <v>46144</v>
      </c>
      <c r="B20" s="28" t="s">
        <v>80</v>
      </c>
      <c r="C20" s="28">
        <v>5.31</v>
      </c>
    </row>
    <row r="23" spans="1:3" ht="22.5">
      <c r="A23" s="30" t="s">
        <v>333</v>
      </c>
    </row>
    <row r="25" spans="1:3">
      <c r="A25" t="s">
        <v>334</v>
      </c>
    </row>
    <row r="26" spans="1:3">
      <c r="A26" s="31"/>
    </row>
    <row r="27" spans="1:3">
      <c r="A27" s="31" t="s">
        <v>335</v>
      </c>
    </row>
    <row r="28" spans="1:3">
      <c r="A28" s="31" t="s">
        <v>336</v>
      </c>
    </row>
    <row r="29" spans="1:3">
      <c r="A29" s="31" t="s">
        <v>337</v>
      </c>
    </row>
    <row r="33" spans="1:4" ht="30">
      <c r="A33" s="25" t="s">
        <v>338</v>
      </c>
    </row>
    <row r="35" spans="1:4">
      <c r="A35" t="s">
        <v>339</v>
      </c>
    </row>
    <row r="37" spans="1:4" ht="27.75">
      <c r="A37" s="27" t="s">
        <v>198</v>
      </c>
      <c r="B37" s="27" t="s">
        <v>340</v>
      </c>
      <c r="C37" s="27" t="s">
        <v>341</v>
      </c>
      <c r="D37" s="27" t="s">
        <v>342</v>
      </c>
    </row>
    <row r="39" spans="1:4">
      <c r="A39" t="s">
        <v>343</v>
      </c>
    </row>
    <row r="40" spans="1:4">
      <c r="A40" s="31"/>
    </row>
    <row r="41" spans="1:4">
      <c r="A41" s="31" t="s">
        <v>344</v>
      </c>
    </row>
    <row r="42" spans="1:4">
      <c r="A42" s="31" t="s">
        <v>345</v>
      </c>
    </row>
    <row r="46" spans="1:4" ht="30">
      <c r="A46" s="25" t="s">
        <v>346</v>
      </c>
    </row>
    <row r="48" spans="1:4">
      <c r="A48" t="s">
        <v>347</v>
      </c>
    </row>
    <row r="50" spans="1:1">
      <c r="A50" t="s">
        <v>348</v>
      </c>
    </row>
    <row r="52" spans="1:1">
      <c r="A52" t="s">
        <v>349</v>
      </c>
    </row>
    <row r="54" spans="1:1">
      <c r="A54" t="s">
        <v>350</v>
      </c>
    </row>
    <row r="56" spans="1:1">
      <c r="A56" t="s">
        <v>351</v>
      </c>
    </row>
    <row r="60" spans="1:1" ht="2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0">
      <c r="A84" s="25" t="s">
        <v>361</v>
      </c>
    </row>
    <row r="86" spans="1:2">
      <c r="A86" t="s">
        <v>362</v>
      </c>
    </row>
    <row r="88" spans="1:2">
      <c r="A88" t="s">
        <v>327</v>
      </c>
    </row>
    <row r="90" spans="1:2">
      <c r="A90" t="s">
        <v>363</v>
      </c>
    </row>
    <row r="94" spans="1:2" ht="22.5">
      <c r="A94" s="30" t="s">
        <v>172</v>
      </c>
    </row>
    <row r="96" spans="1:2" ht="13.9">
      <c r="A96" s="27" t="s">
        <v>364</v>
      </c>
      <c r="B96" s="27" t="s">
        <v>124</v>
      </c>
    </row>
    <row r="97" spans="1:2" ht="54">
      <c r="A97" s="28" t="s">
        <v>365</v>
      </c>
      <c r="B97" s="28" t="s">
        <v>366</v>
      </c>
    </row>
    <row r="98" spans="1:2" ht="27">
      <c r="A98" s="28" t="s">
        <v>367</v>
      </c>
      <c r="B98" s="28" t="s">
        <v>368</v>
      </c>
    </row>
    <row r="99" spans="1:2" ht="27">
      <c r="A99" s="28" t="s">
        <v>369</v>
      </c>
      <c r="B99" s="28" t="s">
        <v>370</v>
      </c>
    </row>
    <row r="100" spans="1:2" ht="27">
      <c r="A100" s="28" t="s">
        <v>371</v>
      </c>
      <c r="B100" s="28" t="s">
        <v>372</v>
      </c>
    </row>
    <row r="103" spans="1:2" ht="30">
      <c r="A103" s="25" t="s">
        <v>373</v>
      </c>
    </row>
    <row r="105" spans="1:2">
      <c r="A105" t="s">
        <v>271</v>
      </c>
    </row>
    <row r="106" spans="1:2">
      <c r="A106" s="24"/>
    </row>
    <row r="107" spans="1:2">
      <c r="A107" s="26" t="e" cm="1">
        <f t="array" ref="A107">IF(CurrentPrice&gt;MA50,"Bullish","Bearish")</f>
        <v>#NAME?</v>
      </c>
    </row>
    <row r="109" spans="1:2">
      <c r="A109" t="s">
        <v>374</v>
      </c>
    </row>
    <row r="113" spans="1:1" ht="30">
      <c r="A113" s="25" t="s">
        <v>375</v>
      </c>
    </row>
    <row r="115" spans="1:1">
      <c r="A115" t="s">
        <v>376</v>
      </c>
    </row>
    <row r="117" spans="1:1">
      <c r="A117" t="s">
        <v>377</v>
      </c>
    </row>
    <row r="121" spans="1:1" ht="22.5">
      <c r="A121" s="30" t="s">
        <v>98</v>
      </c>
    </row>
    <row r="122" spans="1:1">
      <c r="A122" s="24"/>
    </row>
    <row r="123" spans="1:1">
      <c r="A123" s="26">
        <f>C3-C2</f>
        <v>0</v>
      </c>
    </row>
    <row r="127" spans="1:1" ht="22.5">
      <c r="A127" s="30" t="s">
        <v>378</v>
      </c>
    </row>
    <row r="128" spans="1:1">
      <c r="A128" s="24"/>
    </row>
    <row r="129" spans="1:1">
      <c r="A129" s="26">
        <f>MAX(D3,0)</f>
        <v>0</v>
      </c>
    </row>
    <row r="133" spans="1:1" ht="22.5">
      <c r="A133" s="30" t="s">
        <v>379</v>
      </c>
    </row>
    <row r="134" spans="1:1">
      <c r="A134" s="24"/>
    </row>
    <row r="135" spans="1:1">
      <c r="A135" s="26">
        <f>ABS(MIN(D3,0))</f>
        <v>0</v>
      </c>
    </row>
    <row r="139" spans="1:1" ht="30">
      <c r="A139" s="25" t="s">
        <v>380</v>
      </c>
    </row>
    <row r="141" spans="1:1">
      <c r="A141" t="s">
        <v>381</v>
      </c>
    </row>
    <row r="143" spans="1:1">
      <c r="A143" t="s">
        <v>382</v>
      </c>
    </row>
    <row r="147" spans="1:1" ht="22.5">
      <c r="A147" s="30" t="s">
        <v>383</v>
      </c>
    </row>
    <row r="149" spans="1:1" ht="17.25">
      <c r="A149" s="32" t="s">
        <v>384</v>
      </c>
    </row>
    <row r="150" spans="1:1">
      <c r="A150" s="24"/>
    </row>
    <row r="151" spans="1:1">
      <c r="A151" s="26" t="e">
        <f>AVERAGE(E2:E15)</f>
        <v>#DIV/0!</v>
      </c>
    </row>
    <row r="153" spans="1:1" ht="17.25">
      <c r="A153" s="32" t="s">
        <v>385</v>
      </c>
    </row>
    <row r="154" spans="1:1">
      <c r="A154" s="24"/>
    </row>
    <row r="155" spans="1:1">
      <c r="A155" s="26" t="e">
        <f>AVERAGE(F2:F15)</f>
        <v>#DIV/0!</v>
      </c>
    </row>
    <row r="157" spans="1:1" ht="17.25">
      <c r="A157" s="32" t="s">
        <v>386</v>
      </c>
    </row>
    <row r="158" spans="1:1">
      <c r="A158" s="24"/>
    </row>
    <row r="159" spans="1:1">
      <c r="A159" s="26" t="e" cm="1">
        <f t="array" ref="A159">AvgGain/AvgLoss</f>
        <v>#NAME?</v>
      </c>
    </row>
    <row r="161" spans="1:1" ht="17.25">
      <c r="A161" s="32" t="s">
        <v>119</v>
      </c>
    </row>
    <row r="162" spans="1:1">
      <c r="A162" s="24"/>
    </row>
    <row r="163" spans="1:1">
      <c r="A163" s="26" t="e" cm="1">
        <f t="array" ref="A163">100-(100/(1+RS))</f>
        <v>#NAME?</v>
      </c>
    </row>
    <row r="167" spans="1:1" ht="30">
      <c r="A167" s="25" t="s">
        <v>387</v>
      </c>
    </row>
    <row r="168" spans="1:1">
      <c r="A168" s="24"/>
    </row>
    <row r="169" spans="1:1">
      <c r="A169" s="26" t="e" cm="1">
        <f t="array" ref="A169">IF(RSI&lt;30,"Oversold",IF(RSI&gt;70,"Overbought","Neutral"))</f>
        <v>#NAME?</v>
      </c>
    </row>
    <row r="173" spans="1:1" ht="30">
      <c r="A173" s="25" t="s">
        <v>388</v>
      </c>
    </row>
    <row r="175" spans="1:1">
      <c r="A175" t="s">
        <v>381</v>
      </c>
    </row>
    <row r="177" spans="1:1">
      <c r="A177" t="s">
        <v>389</v>
      </c>
    </row>
    <row r="179" spans="1:1">
      <c r="A179" t="s">
        <v>390</v>
      </c>
    </row>
    <row r="183" spans="1:1" ht="22.5">
      <c r="A183" s="30" t="s">
        <v>383</v>
      </c>
    </row>
    <row r="185" spans="1:1" ht="17.25">
      <c r="A185" s="32" t="s">
        <v>391</v>
      </c>
    </row>
    <row r="186" spans="1:1">
      <c r="A186" s="24"/>
    </row>
    <row r="187" spans="1:1">
      <c r="A187" s="26" t="e">
        <f>AVERAGE(last20)</f>
        <v>#NAME?</v>
      </c>
    </row>
    <row r="189" spans="1:1" ht="17.25">
      <c r="A189" s="32" t="s">
        <v>392</v>
      </c>
    </row>
    <row r="190" spans="1:1">
      <c r="A190" s="24"/>
    </row>
    <row r="191" spans="1:1">
      <c r="A191" s="26" t="e">
        <f>_xlfn.STDEV.P(last20)</f>
        <v>#NAME?</v>
      </c>
    </row>
    <row r="193" spans="1:1" ht="17.25">
      <c r="A193" s="32" t="s">
        <v>393</v>
      </c>
    </row>
    <row r="194" spans="1:1">
      <c r="A194" s="24"/>
    </row>
    <row r="195" spans="1:1">
      <c r="A195" s="26" t="e" cm="1">
        <f t="array" ref="A195">MA20+(2*StdDev)</f>
        <v>#NAME?</v>
      </c>
    </row>
    <row r="197" spans="1:1" ht="17.25">
      <c r="A197" s="32" t="s">
        <v>394</v>
      </c>
    </row>
    <row r="198" spans="1:1">
      <c r="A198" s="24"/>
    </row>
    <row r="199" spans="1:1">
      <c r="A199" s="26" t="e" cm="1">
        <f t="array" ref="A199">MA20-(2*StdDev)</f>
        <v>#NAME?</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3.5"/>
  <sheetData>
    <row r="1" spans="1:2">
      <c r="A1" t="s">
        <v>397</v>
      </c>
    </row>
    <row r="3" spans="1:2">
      <c r="A3" t="s">
        <v>398</v>
      </c>
    </row>
    <row r="7" spans="1:2">
      <c r="A7" t="s">
        <v>399</v>
      </c>
    </row>
    <row r="9" spans="1:2">
      <c r="A9" t="s">
        <v>400</v>
      </c>
    </row>
    <row r="11" spans="1:2">
      <c r="A11" t="s">
        <v>401</v>
      </c>
      <c r="B11" t="s">
        <v>125</v>
      </c>
    </row>
    <row r="12" spans="1:2">
      <c r="A12" t="s">
        <v>402</v>
      </c>
      <c r="B12" t="s">
        <v>403</v>
      </c>
    </row>
    <row r="13" spans="1:2">
      <c r="A13" t="s">
        <v>404</v>
      </c>
      <c r="B13" t="s">
        <v>405</v>
      </c>
    </row>
    <row r="14" spans="1:2">
      <c r="A14" t="s">
        <v>406</v>
      </c>
      <c r="B14" t="s">
        <v>407</v>
      </c>
    </row>
    <row r="15" spans="1:2">
      <c r="A15" t="s">
        <v>408</v>
      </c>
      <c r="B15" t="s">
        <v>409</v>
      </c>
    </row>
    <row r="16" spans="1:2">
      <c r="A16" t="s">
        <v>410</v>
      </c>
      <c r="B16" t="s">
        <v>411</v>
      </c>
    </row>
    <row r="18" spans="1:2">
      <c r="A18" t="s">
        <v>334</v>
      </c>
    </row>
    <row r="20" spans="1:2">
      <c r="A20" t="s">
        <v>412</v>
      </c>
    </row>
    <row r="22" spans="1:2">
      <c r="A22" t="s">
        <v>401</v>
      </c>
      <c r="B22" t="s">
        <v>413</v>
      </c>
    </row>
    <row r="23" spans="1:2">
      <c r="A23" t="s">
        <v>414</v>
      </c>
      <c r="B23" t="s">
        <v>415</v>
      </c>
    </row>
    <row r="24" spans="1:2">
      <c r="A24" t="s">
        <v>416</v>
      </c>
      <c r="B24" t="s">
        <v>417</v>
      </c>
    </row>
    <row r="25" spans="1:2">
      <c r="A25" t="s">
        <v>418</v>
      </c>
      <c r="B25" t="s">
        <v>419</v>
      </c>
    </row>
    <row r="26" spans="1:2">
      <c r="A26" t="s">
        <v>420</v>
      </c>
      <c r="B26" t="s">
        <v>421</v>
      </c>
    </row>
    <row r="28" spans="1:2">
      <c r="A28" t="s">
        <v>433</v>
      </c>
    </row>
    <row r="29" spans="1:2">
      <c r="A29" t="s">
        <v>422</v>
      </c>
    </row>
    <row r="31" spans="1:2">
      <c r="A31" t="s">
        <v>423</v>
      </c>
      <c r="B31" t="s">
        <v>424</v>
      </c>
    </row>
    <row r="32" spans="1:2">
      <c r="A32" t="s">
        <v>425</v>
      </c>
      <c r="B32" t="s">
        <v>426</v>
      </c>
    </row>
    <row r="33" spans="1:2">
      <c r="A33" t="s">
        <v>427</v>
      </c>
      <c r="B33" t="s">
        <v>428</v>
      </c>
    </row>
    <row r="34" spans="1:2">
      <c r="A34" t="s">
        <v>429</v>
      </c>
      <c r="B34" t="s">
        <v>428</v>
      </c>
    </row>
    <row r="35" spans="1:2">
      <c r="A35" t="s">
        <v>430</v>
      </c>
      <c r="B35" t="s">
        <v>431</v>
      </c>
    </row>
    <row r="37" spans="1:2">
      <c r="A37" t="s">
        <v>432</v>
      </c>
    </row>
    <row r="39" spans="1:2">
      <c r="A39" t="s">
        <v>434</v>
      </c>
      <c r="B39" t="s">
        <v>413</v>
      </c>
    </row>
    <row r="40" spans="1:2">
      <c r="A40" t="s">
        <v>435</v>
      </c>
      <c r="B40" t="s">
        <v>436</v>
      </c>
    </row>
    <row r="41" spans="1:2">
      <c r="A41" t="s">
        <v>437</v>
      </c>
      <c r="B41" t="s">
        <v>438</v>
      </c>
    </row>
    <row r="42" spans="1:2">
      <c r="A42" t="s">
        <v>439</v>
      </c>
      <c r="B42" t="s">
        <v>440</v>
      </c>
    </row>
    <row r="43" spans="1:2">
      <c r="A43" t="s">
        <v>152</v>
      </c>
      <c r="B43" t="s">
        <v>441</v>
      </c>
    </row>
    <row r="44" spans="1:2">
      <c r="A44" t="s">
        <v>153</v>
      </c>
      <c r="B44" t="s">
        <v>442</v>
      </c>
    </row>
    <row r="45" spans="1:2">
      <c r="A45" t="s">
        <v>443</v>
      </c>
      <c r="B45" t="s">
        <v>444</v>
      </c>
    </row>
    <row r="46" spans="1:2">
      <c r="A46" t="s">
        <v>445</v>
      </c>
      <c r="B46" t="s">
        <v>446</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2026-05-26T14:33:51Z</dcterms:modified>
</cp:coreProperties>
</file>