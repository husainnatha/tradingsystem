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47B4A082-44FB-4AD0-AAEA-3524704E9B1E}" xr6:coauthVersionLast="47" xr6:coauthVersionMax="47" xr10:uidLastSave="{00000000-0000-0000-0000-000000000000}"/>
  <bookViews>
    <workbookView xWindow="-98" yWindow="-98" windowWidth="21795" windowHeight="12975" firstSheet="2"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5" i="2" l="1"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B5" i="10"/>
  <c r="D9" i="10" s="1"/>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H2"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<sst xmlns="http://schemas.openxmlformats.org/spreadsheetml/2006/main" count="1963" uniqueCount="618">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</sst>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0">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3.6577000000000002</v>
    <v>21.45</v>
    <v>0.116532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207.4</v>
    <v>Electronic Equipment &amp; Parts</v>
    <v>Stock</v>
    <v>46177.81135984922</v>
    <v>0</v>
    <v>171.09200000000001</v>
    <v>16491494090</v>
    <v>APPLIED OPTOELECTRONICS, INC.</v>
    <v>APPLIED OPTOELECTRONICS, INC.</v>
    <v>173.71</v>
    <v>0</v>
    <v>184.07</v>
    <v>205.52</v>
    <v>80242770</v>
    <v>AAOI</v>
    <v>APPLIED OPTOELECTRONICS, INC. (XNAS:AAOI)</v>
    <v>11464719</v>
    <v>12025936</v>
    <v>2013</v>
  </rv>
  <rv s="2">
    <v>1</v>
  </rv>
  <rv s="0">
    <v>https://www.bing.com/financeapi/forcetrigger?t=a1mou2&amp;q=XNAS%3aAAPL&amp;form=skydnc</v>
    <v>Learn more on Bing</v>
  </rv>
  <rv s="1">
    <v>en-GB</v>
    <v>a1mou2</v>
    <v>268435456</v>
    <v>1</v>
    <v>Powered by Refinitiv</v>
    <v>0</v>
    <v>APPLE INC. (XNAS:AAPL)</v>
    <v>2</v>
    <v>3</v>
    <v>Finance</v>
    <v>4</v>
    <v>316.94</v>
    <v>195.07</v>
    <v>1.0865</v>
    <v>1.625</v>
    <v>5.2380000000000005E-3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313.54000000000002</v>
    <v>Computers, Phones &amp; Household Electronics</v>
    <v>Stock</v>
    <v>46177.811375995312</v>
    <v>3</v>
    <v>309.64999999999998</v>
    <v>4580767273600</v>
    <v>APPLE INC.</v>
    <v>APPLE INC.</v>
    <v>313.13</v>
    <v>37.878599999999999</v>
    <v>310.26</v>
    <v>311.88499999999999</v>
    <v>14687360000</v>
    <v>AAPL</v>
    <v>APPLE INC. (XNAS:AAPL)</v>
    <v>24586891</v>
    <v>49896154</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1.4017999999999999</v>
    <v>3.31</v>
    <v>1.2918000000000001E-2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265.94</v>
    <v>9</v>
    <v>Software &amp; IT Services</v>
    <v>Stock</v>
    <v>46177.811375798439</v>
    <v>10</v>
    <v>258.83999999999997</v>
    <v>104910110000</v>
    <v>ADOBE INC.</v>
    <v>ADOBE INC.</v>
    <v>263.77999999999997</v>
    <v>15.127700000000001</v>
    <v>256.24</v>
    <v>259.55</v>
    <v>404200000</v>
    <v>ADBE</v>
    <v>ADOBE INC. (XNAS:ADBE)</v>
    <v>3211287</v>
    <v>4836151</v>
    <v>1997</v>
  </rv>
  <rv s="2">
    <v>11</v>
  </rv>
  <rv s="0">
    <v>https://www.bing.com/financeapi/forcetrigger?t=a1mxtc&amp;q=XNAS%3aAEHR&amp;form=skydnc</v>
    <v>Learn more on Bing</v>
  </rv>
  <rv s="1">
    <v>en-GB</v>
    <v>a1mxtc</v>
    <v>268435456</v>
    <v>1</v>
    <v>Powered by Refinitiv</v>
    <v>0</v>
    <v>AEHR TEST SYSTEMS (XNAS:AEHR)</v>
    <v>2</v>
    <v>3</v>
    <v>Finance</v>
    <v>4</v>
    <v>121.8</v>
    <v>10.27</v>
    <v>3.1621999999999999</v>
    <v>3.91</v>
    <v>3.4122E-2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119</v>
    <v>Semiconductors &amp; Semiconductor Equipment</v>
    <v>Stock</v>
    <v>46177.811385346875</v>
    <v>13</v>
    <v>103.18</v>
    <v>3727210125</v>
    <v>AEHR TEST SYSTEMS</v>
    <v>AEHR TEST SYSTEMS</v>
    <v>105.34</v>
    <v>0</v>
    <v>114.59</v>
    <v>118.5</v>
    <v>31453250</v>
    <v>AEHR</v>
    <v>AEHR TEST SYSTEMS (XNAS:AEHR)</v>
    <v>1442749</v>
    <v>2571348</v>
    <v>1977</v>
  </rv>
  <rv s="2">
    <v>14</v>
  </rv>
  <rv s="6">
    <v>en-GB</v>
    <v>cdocfr</v>
    <v>268435456</v>
    <v>1</v>
    <v>Powered by Refinitiv</v>
    <v>10</v>
    <v>ATRIUM MORTGAGE INVESTMENT CORPORATION (NEOE:AI)</v>
    <v>11</v>
    <v>12</v>
    <v>Finance</v>
    <v>13</v>
    <v>12.24</v>
    <v>10.99</v>
    <v>0.83909999999999996</v>
    <v>0.08</v>
    <v>6.855E-3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11.76</v>
    <v>Banking Services</v>
    <v>Stock</v>
    <v>46177.767052974217</v>
    <v>11.7</v>
    <v>566192080</v>
    <v>ATRIUM MORTGAGE INVESTMENT CORPORATION</v>
    <v>ATRIUM MORTGAGE INVESTMENT CORPORATION</v>
    <v>11.7</v>
    <v>11.166</v>
    <v>11.67</v>
    <v>11.75</v>
    <v>48186560</v>
    <v>AI</v>
    <v>ATRIUM MORTGAGE INVESTMENT CORPORATION (NEOE:AI)</v>
    <v>3200</v>
    <v>119620</v>
    <v>2001</v>
  </rv>
  <rv s="2">
    <v>16</v>
  </rv>
  <rv s="6">
    <v>en-GB</v>
    <v>ccqpyc</v>
    <v>268435456</v>
    <v>1</v>
    <v>Powered by Refinitiv</v>
    <v>14</v>
    <v>ASTERA LABS, INC. (XNAS:ALAB)</v>
    <v>11</v>
    <v>3</v>
    <v>Finance</v>
    <v>4</v>
    <v>372.37</v>
    <v>84.78</v>
    <v>2.625</v>
    <v>-2.67</v>
    <v>-7.3440000000000007E-3</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365.23</v>
    <v>Semiconductors &amp; Semiconductor Equipment</v>
    <v>Stock</v>
    <v>46177.81133384219</v>
    <v>338.02</v>
    <v>61855968873</v>
    <v>ASTERA LABS, INC.</v>
    <v>ASTERA LABS, INC.</v>
    <v>347.85</v>
    <v>243.2722</v>
    <v>363.54</v>
    <v>360.87</v>
    <v>171407900</v>
    <v>ALAB</v>
    <v>ASTERA LABS, INC. (XNAS:ALAB)</v>
    <v>2836214</v>
    <v>6192077</v>
    <v>2017</v>
  </rv>
  <rv s="2">
    <v>18</v>
  </rv>
  <rv s="0">
    <v>https://www.bing.com/financeapi/forcetrigger?t=a1ndcw&amp;q=XNAS%3aAMBA&amp;form=skydnc</v>
    <v>Learn more on Bing</v>
  </rv>
  <rv s="1">
    <v>en-GB</v>
    <v>a1ndcw</v>
    <v>268435456</v>
    <v>1</v>
    <v>Powered by Refinitiv</v>
    <v>0</v>
    <v>AMBARELLA, INC. (XNAS:AMBA)</v>
    <v>2</v>
    <v>3</v>
    <v>Finance</v>
    <v>4</v>
    <v>96.69</v>
    <v>48.3</v>
    <v>2.1408999999999998</v>
    <v>-1.085</v>
    <v>-1.4702E-2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73.290000000000006</v>
    <v>Semiconductors &amp; Semiconductor Equipment</v>
    <v>Stock</v>
    <v>46177.811338286716</v>
    <v>20</v>
    <v>68.574100000000001</v>
    <v>3189874708</v>
    <v>AMBARELLA, INC.</v>
    <v>AMBARELLA, INC.</v>
    <v>71.05</v>
    <v>0</v>
    <v>73.8</v>
    <v>72.715000000000003</v>
    <v>43868180</v>
    <v>AMBA</v>
    <v>AMBARELLA, INC. (XNAS:AMBA)</v>
    <v>1353597</v>
    <v>1503267</v>
    <v>2004</v>
  </rv>
  <rv s="2">
    <v>21</v>
  </rv>
  <rv s="0">
    <v>https://www.bing.com/financeapi/forcetrigger?t=a1ndww&amp;q=XNAS%3aAMD&amp;form=skydnc</v>
    <v>Learn more on Bing</v>
  </rv>
  <rv s="1">
    <v>en-GB</v>
    <v>a1ndww</v>
    <v>268435456</v>
    <v>1</v>
    <v>Powered by Refinitiv</v>
    <v>0</v>
    <v>ADVANCED MICRO DEVICES, INC. (XNAS:AMD)</v>
    <v>2</v>
    <v>3</v>
    <v>Finance</v>
    <v>4</v>
    <v>546.44000000000005</v>
    <v>114.71</v>
    <v>2.4866999999999999</v>
    <v>-15.785</v>
    <v>-2.9096E-2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532.19000000000005</v>
    <v>Semiconductors &amp; Semiconductor Equipment</v>
    <v>Stock</v>
    <v>46177.811375392972</v>
    <v>23</v>
    <v>499.87009999999998</v>
    <v>858894617735</v>
    <v>ADVANCED MICRO DEVICES, INC.</v>
    <v>ADVANCED MICRO DEVICES, INC.</v>
    <v>514.98</v>
    <v>175.58420000000001</v>
    <v>542.52</v>
    <v>526.73500000000001</v>
    <v>1630601000</v>
    <v>AMD</v>
    <v>ADVANCED MICRO DEVICES, INC. (XNAS:AMD)</v>
    <v>23463693</v>
    <v>38785452</v>
    <v>1969</v>
  </rv>
  <rv s="2">
    <v>24</v>
  </rv>
  <rv s="0">
    <v>https://www.bing.com/financeapi/forcetrigger?t=a1nhlh&amp;q=XNAS%3aAMZN&amp;form=skydnc</v>
    <v>Learn more on Bing</v>
  </rv>
  <rv s="1">
    <v>en-GB</v>
    <v>a1nhlh</v>
    <v>268435456</v>
    <v>1</v>
    <v>Powered by Refinitiv</v>
    <v>0</v>
    <v>AMAZON.COM, INC. (XNAS:AMZN)</v>
    <v>2</v>
    <v>3</v>
    <v>Finance</v>
    <v>4</v>
    <v>278.56</v>
    <v>196</v>
    <v>1.4518</v>
    <v>3.8849999999999998</v>
    <v>1.5539000000000001E-2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255.82990000000001</v>
    <v>Diversified Retail</v>
    <v>Stock</v>
    <v>46177.811379039063</v>
    <v>26</v>
    <v>251.78</v>
    <v>2731284014550</v>
    <v>AMAZON.COM, INC.</v>
    <v>AMAZON.COM, INC.</v>
    <v>253.1</v>
    <v>30.343499999999999</v>
    <v>250.02</v>
    <v>253.905</v>
    <v>10757110000</v>
    <v>AMZN</v>
    <v>AMAZON.COM, INC. (XNAS:AMZN)</v>
    <v>25946626</v>
    <v>44417671</v>
    <v>1996</v>
  </rv>
  <rv s="2">
    <v>27</v>
  </rv>
  <rv s="0">
    <v>https://www.bing.com/financeapi/forcetrigger?t=a1nihw&amp;q=XNYS%3aANET&amp;form=skydnc</v>
    <v>Learn more on Bing</v>
  </rv>
  <rv s="1">
    <v>en-GB</v>
    <v>a1nihw</v>
    <v>268435456</v>
    <v>1</v>
    <v>Powered by Refinitiv</v>
    <v>0</v>
    <v>ARISTA NETWORKS, INC. (XNYS:ANET)</v>
    <v>2</v>
    <v>3</v>
    <v>Finance</v>
    <v>4</v>
    <v>179.8</v>
    <v>85.58</v>
    <v>1.6027</v>
    <v>-7.1050000000000004</v>
    <v>-4.0746999999999998E-2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167.79</v>
    <v>Communications &amp; Networking</v>
    <v>Stock</v>
    <v>46177.811394282035</v>
    <v>29</v>
    <v>157.43</v>
    <v>210620589794</v>
    <v>ARISTA NETWORKS, INC.</v>
    <v>ARISTA NETWORKS, INC.</v>
    <v>165</v>
    <v>57.290399999999998</v>
    <v>174.37</v>
    <v>167.26499999999999</v>
    <v>1259203000</v>
    <v>ANET</v>
    <v>ARISTA NETWORKS, INC. (XNYS:ANET)</v>
    <v>8004677</v>
    <v>12282774</v>
    <v>2011</v>
  </rv>
  <rv s="2">
    <v>30</v>
  </rv>
  <rv s="0">
    <v>https://www.bing.com/financeapi/forcetrigger?t=c1sd3m&amp;q=XNAS%3aAPP&amp;form=skydnc</v>
    <v>Learn more on Bing</v>
  </rv>
  <rv s="1">
    <v>en-GB</v>
    <v>c1sd3m</v>
    <v>268435456</v>
    <v>1</v>
    <v>Powered by Refinitiv</v>
    <v>0</v>
    <v>APPLOVIN CORPORATION (XNAS:APP)</v>
    <v>2</v>
    <v>3</v>
    <v>Finance</v>
    <v>4</v>
    <v>745.61</v>
    <v>320</v>
    <v>2.4651999999999998</v>
    <v>-7.04</v>
    <v>-1.2333E-2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587</v>
    <v>Software &amp; IT Services</v>
    <v>Stock</v>
    <v>46177.811399027341</v>
    <v>32</v>
    <v>554.23</v>
    <v>189399612600</v>
    <v>APPLOVIN CORPORATION</v>
    <v>APPLOVIN CORPORATION</v>
    <v>572.4</v>
    <v>48.993299999999998</v>
    <v>570.83000000000004</v>
    <v>563.79</v>
    <v>335940000</v>
    <v>APP</v>
    <v>APPLOVIN CORPORATION (XNAS:APP)</v>
    <v>4136276</v>
    <v>4959294</v>
    <v>2011</v>
  </rv>
  <rv s="2">
    <v>33</v>
  </rv>
  <rv s="0">
    <v>https://www.bing.com/financeapi/forcetrigger?t=a1nq6h&amp;q=ARCX%3aARKK&amp;form=skydnc</v>
    <v>Learn more on Bing</v>
  </rv>
  <rv s="7">
    <v>en-GB</v>
    <v>a1nq6h</v>
    <v>268435456</v>
    <v>1</v>
    <v>Powered by Refinitiv</v>
    <v>15</v>
    <v>ARK Innovation (BATS:ARKK)</v>
    <v>16</v>
    <v>17</v>
    <v>Finance</v>
    <v>18</v>
    <v>92.65</v>
    <v>55.64</v>
    <v>2.0400999999999998</v>
    <v>2.27</v>
    <v>2.9042999999999999E-2</v>
    <v>USD</v>
    <v>CBOE BZX Exchange</v>
    <v>BATS</v>
    <v>7.4999999999999997E-3</v>
    <v>81.14</v>
    <v>ETF</v>
    <v>46177.811404698441</v>
    <v>35</v>
    <v>77.709999999999994</v>
    <v>7262198811.6000004</v>
    <v>ARK Innovation</v>
    <v>78.165000000000006</v>
    <v>78.16</v>
    <v>80.430000000000007</v>
    <v>ARKK</v>
    <v>ARK Innovation (BATS:ARKK)</v>
    <v>5564018</v>
    <v>7310519</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427.99</v>
    <v>100.02</v>
    <v>1.4450000000000001</v>
    <v>-18.52</v>
    <v>-4.4969999999999996E-2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397.44990000000001</v>
    <v>Semiconductors &amp; Semiconductor Equipment</v>
    <v>Stock</v>
    <v>46177.811406446097</v>
    <v>367.52</v>
    <v>420086151490</v>
    <v>ARM HOLDINGS PLC</v>
    <v>ARM HOLDINGS PLC</v>
    <v>380.41</v>
    <v>464.6857</v>
    <v>411.83</v>
    <v>393.31</v>
    <v>1068079000</v>
    <v>ARM</v>
    <v>ARM HOLDINGS PLC (XNAS:ARM)</v>
    <v>9416043</v>
    <v>12269399</v>
    <v>2018</v>
  </rv>
  <rv s="2">
    <v>43</v>
  </rv>
  <rv s="0">
    <v>https://www.bing.com/financeapi/forcetrigger?t=a1ntlh&amp;q=XNAS%3aASML&amp;form=skydnc</v>
    <v>Learn more on Bing</v>
  </rv>
  <rv s="1">
    <v>en-GB</v>
    <v>a1ntlh</v>
    <v>268435456</v>
    <v>1</v>
    <v>Powered by Refinitiv</v>
    <v>0</v>
    <v>ASML Holding NV (XNAS:ASML)</v>
    <v>2</v>
    <v>3</v>
    <v>Finance</v>
    <v>4</v>
    <v>1779.2850000000001</v>
    <v>683.48</v>
    <v>1.8159000000000001</v>
    <v>46.02</v>
    <v>2.6657E-2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1779.2850000000001</v>
    <v>Semiconductors &amp; Semiconductor Equipment</v>
    <v>Stock</v>
    <v>46177.811327626565</v>
    <v>45</v>
    <v>1672.43</v>
    <v>687945220526</v>
    <v>ASML Holding NV</v>
    <v>ASML Holding NV</v>
    <v>1680.05</v>
    <v>60.934199999999997</v>
    <v>1726.36</v>
    <v>1772.38</v>
    <v>388147700</v>
    <v>ASML</v>
    <v>ASML Holding NV (XNAS:ASML)</v>
    <v>1835225</v>
    <v>1571746</v>
    <v>1994</v>
  </rv>
  <rv s="2">
    <v>46</v>
  </rv>
  <rv s="0">
    <v>https://www.bing.com/financeapi/forcetrigger?t=a1nz8m&amp;q=XNAS%3aAVGO&amp;form=skydnc</v>
    <v>Learn more on Bing</v>
  </rv>
  <rv s="1">
    <v>en-GB</v>
    <v>a1nz8m</v>
    <v>268435456</v>
    <v>1</v>
    <v>Powered by Refinitiv</v>
    <v>0</v>
    <v>BROADCOM INC. (XNAS:AVGO)</v>
    <v>2</v>
    <v>3</v>
    <v>Finance</v>
    <v>4</v>
    <v>495</v>
    <v>241.11</v>
    <v>1.4277</v>
    <v>-59.061199999999999</v>
    <v>-0.12324199999999999</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426.48</v>
    <v>Semiconductors &amp; Semiconductor Equipment</v>
    <v>Stock</v>
    <v>46177.811407939065</v>
    <v>48</v>
    <v>403.01010000000002</v>
    <v>1989359771958</v>
    <v>BROADCOM INC.</v>
    <v>BROADCOM INC.</v>
    <v>406.83</v>
    <v>82.017799999999994</v>
    <v>479.23</v>
    <v>420.16879999999998</v>
    <v>4734668000</v>
    <v>AVGO</v>
    <v>BROADCOM INC. (XNAS:AVGO)</v>
    <v>68910113</v>
    <v>21926433</v>
    <v>2018</v>
  </rv>
  <rv s="2">
    <v>49</v>
  </rv>
  <rv s="0">
    <v>https://www.bing.com/financeapi/forcetrigger?t=c4efww&amp;q=XNYS%3aBBAI&amp;form=skydnc</v>
    <v>Learn more on Bing</v>
  </rv>
  <rv s="1">
    <v>en-GB</v>
    <v>c4efww</v>
    <v>268435456</v>
    <v>1</v>
    <v>Powered by Refinitiv</v>
    <v>0</v>
    <v>BIGBEAR.AI HOLDINGS, INC. (XNYS:BBAI)</v>
    <v>2</v>
    <v>3</v>
    <v>Finance</v>
    <v>4</v>
    <v>9.39</v>
    <v>3.01</v>
    <v>3.0891000000000002</v>
    <v>-3.5000000000000003E-2</v>
    <v>-7.2459999999999998E-3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4.9800000000000004</v>
    <v>Software &amp; IT Services</v>
    <v>Stock</v>
    <v>46177.81139430547</v>
    <v>51</v>
    <v>4.78</v>
    <v>2296562852</v>
    <v>BIGBEAR.AI HOLDINGS, INC.</v>
    <v>BIGBEAR.AI HOLDINGS, INC.</v>
    <v>4.83</v>
    <v>0</v>
    <v>4.83</v>
    <v>4.7949999999999999</v>
    <v>478949500</v>
    <v>BBAI</v>
    <v>BIGBEAR.AI HOLDINGS, INC. (XNYS:BBAI)</v>
    <v>36544589</v>
    <v>49635790</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0.95979999999999999</v>
    <v>-1.1399999999999999</v>
    <v>-1.5894999999999999E-2</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71.94</v>
    <v>Automobiles &amp; Auto Parts</v>
    <v>Stock</v>
    <v>46177.75</v>
    <v>54</v>
    <v>70</v>
    <v>54471310000</v>
    <v>Bayerische Motoren Werke AG</v>
    <v>Bayerische Motoren Werke AG</v>
    <v>71.319999999999993</v>
    <v>6.3586</v>
    <v>71.72</v>
    <v>70.58</v>
    <v>615810400</v>
    <v>BMW</v>
    <v>Bayerische Motoren Werke AG (XFRA:BMW)</v>
    <v>1319</v>
    <v>1194980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1.1393</v>
    <v>5.98</v>
    <v>1.4657E-2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415.83</v>
    <v>Software &amp; IT Services</v>
    <v>Stock</v>
    <v>46177.811419803125</v>
    <v>57</v>
    <v>401.93</v>
    <v>114182307680</v>
    <v>CADENCE DESIGN SYSTEMS, INC.</v>
    <v>CADENCE DESIGN SYSTEMS, INC.</v>
    <v>407.73</v>
    <v>96.645300000000006</v>
    <v>408</v>
    <v>413.98</v>
    <v>275816000</v>
    <v>CDNS</v>
    <v>CADENCE DESIGN SYSTEMS, INC. (XNAS:CDNS)</v>
    <v>1775362</v>
    <v>2334433</v>
    <v>1987</v>
  </rv>
  <rv s="2">
    <v>58</v>
  </rv>
  <rv s="0">
    <v>https://www.bing.com/financeapi/forcetrigger?t=c4xjc7&amp;q=XNAS%3aCEG&amp;form=skydnc</v>
    <v>Learn more on Bing</v>
  </rv>
  <rv s="1">
    <v>en-GB</v>
    <v>c4xjc7</v>
    <v>268435456</v>
    <v>1</v>
    <v>Powered by Refinitiv</v>
    <v>0</v>
    <v>CONSTELLATION ENERGY CORPORATION. (XNAS:CEG)</v>
    <v>2</v>
    <v>3</v>
    <v>Finance</v>
    <v>4</v>
    <v>412.7</v>
    <v>243.3</v>
    <v>1.1037999999999999</v>
    <v>-1.9650000000000001</v>
    <v>-7.3529999999999993E-3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268.56</v>
    <v>Electrical Utilities &amp; IPPs</v>
    <v>Stock</v>
    <v>46177.811399015627</v>
    <v>60</v>
    <v>261.20999999999998</v>
    <v>95260783049</v>
    <v>CONSTELLATION ENERGY CORPORATION.</v>
    <v>CONSTELLATION ENERGY CORPORATION.</v>
    <v>267.3</v>
    <v>23.046099999999999</v>
    <v>267.24</v>
    <v>265.27499999999998</v>
    <v>359102000</v>
    <v>CEG</v>
    <v>CONSTELLATION ENERGY CORPORATION. (XNAS:CEG)</v>
    <v>2144489</v>
    <v>3898851</v>
    <v>2021</v>
  </rv>
  <rv s="2">
    <v>61</v>
  </rv>
  <rv s="0">
    <v>https://www.bing.com/financeapi/forcetrigger?t=c4s6z2&amp;q=XNAS%3aCRDO&amp;form=skydnc</v>
    <v>Learn more on Bing</v>
  </rv>
  <rv s="9">
    <v>en-GB</v>
    <v>c4s6z2</v>
    <v>268435456</v>
    <v>1</v>
    <v>Powered by Refinitiv</v>
    <v>21</v>
    <v>Credo Technology Group Holding Ltd (XNAS:CRDO)</v>
    <v>2</v>
    <v>22</v>
    <v>Finance</v>
    <v>4</v>
    <v>245.94990000000001</v>
    <v>66.75</v>
    <v>3.2444999999999999</v>
    <v>5.48</v>
    <v>2.5536E-2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227.68960000000001</v>
    <v>Semiconductors &amp; Semiconductor Equipment</v>
    <v>Stock</v>
    <v>46177.811385763278</v>
    <v>63</v>
    <v>200</v>
    <v>40593733992</v>
    <v>Credo Technology Group Holding Ltd</v>
    <v>Credo Technology Group Holding Ltd</v>
    <v>204.36</v>
    <v>88.749099999999999</v>
    <v>214.6</v>
    <v>220.08</v>
    <v>184449900</v>
    <v>CRDO</v>
    <v>Credo Technology Group Holding Ltd (XNAS:CRDO)</v>
    <v>5928881</v>
    <v>7050303</v>
  </rv>
  <rv s="2">
    <v>64</v>
  </rv>
  <rv s="0">
    <v>https://www.bing.com/financeapi/forcetrigger?t=a1qc1h&amp;q=XNYS%3aCRM&amp;form=skydnc</v>
    <v>Learn more on Bing</v>
  </rv>
  <rv s="1">
    <v>en-GB</v>
    <v>a1qc1h</v>
    <v>268435456</v>
    <v>1</v>
    <v>Powered by Refinitiv</v>
    <v>0</v>
    <v>SALESFORCE, INC. (XNYS:CRM)</v>
    <v>2</v>
    <v>3</v>
    <v>Finance</v>
    <v>4</v>
    <v>276.8</v>
    <v>163.52000000000001</v>
    <v>1.1498999999999999</v>
    <v>-1.1588000000000001</v>
    <v>-6.0790000000000002E-3</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198.09</v>
    <v>Software &amp; IT Services</v>
    <v>Stock</v>
    <v>46177.811355566409</v>
    <v>66</v>
    <v>187.18</v>
    <v>155160532800</v>
    <v>SALESFORCE, INC.</v>
    <v>SALESFORCE, INC.</v>
    <v>197.54</v>
    <v>21.9191</v>
    <v>190.61</v>
    <v>189.4512</v>
    <v>819000000</v>
    <v>CRM</v>
    <v>SALESFORCE, INC. (XNYS:CRM)</v>
    <v>9511176</v>
    <v>14565386</v>
    <v>1999</v>
  </rv>
  <rv s="2">
    <v>67</v>
  </rv>
  <rv s="0">
    <v>https://www.bing.com/financeapi/forcetrigger?t=bq8rqh&amp;q=XNAS%3aCRWD&amp;form=skydnc</v>
    <v>Learn more on Bing</v>
  </rv>
  <rv s="1">
    <v>en-GB</v>
    <v>bq8rqh</v>
    <v>268435456</v>
    <v>1</v>
    <v>Powered by Refinitiv</v>
    <v>0</v>
    <v>CROWDSTRIKE HOLDINGS, INC. (XNAS:CRWD)</v>
    <v>2</v>
    <v>3</v>
    <v>Finance</v>
    <v>4</v>
    <v>785.66</v>
    <v>342.72</v>
    <v>1.2425999999999999</v>
    <v>-27.6404</v>
    <v>-3.6971999999999998E-2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719.96960000000001</v>
    <v>Software &amp; IT Services</v>
    <v>Stock</v>
    <v>46177.811425034371</v>
    <v>69</v>
    <v>671.2201</v>
    <v>183258542090</v>
    <v>CROWDSTRIKE HOLDINGS, INC.</v>
    <v>CROWDSTRIKE HOLDINGS, INC.</v>
    <v>678</v>
    <v>0</v>
    <v>747.61</v>
    <v>719.96960000000001</v>
    <v>254536500</v>
    <v>CRWD</v>
    <v>CROWDSTRIKE HOLDINGS, INC. (XNAS:CRWD)</v>
    <v>6255509</v>
    <v>3320633</v>
    <v>2011</v>
  </rv>
  <rv s="2">
    <v>70</v>
  </rv>
  <rv s="6">
    <v>en-GB</v>
    <v>cgblqh</v>
    <v>268435456</v>
    <v>1</v>
    <v>Powered by Refinitiv</v>
    <v>14</v>
    <v>COREWEAVE, INC. (XNAS:CRWV)</v>
    <v>11</v>
    <v>3</v>
    <v>Finance</v>
    <v>4</v>
    <v>187</v>
    <v>63.8</v>
    <v>2.4409999999999998</v>
    <v>-1.24</v>
    <v>-1.1177999999999999E-2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110.44</v>
    <v>Software &amp; IT Services</v>
    <v>Stock</v>
    <v>46177.811408356247</v>
    <v>105.0395</v>
    <v>59843617176</v>
    <v>COREWEAVE, INC.</v>
    <v>COREWEAVE, INC.</v>
    <v>107.49</v>
    <v>0</v>
    <v>110.93</v>
    <v>109.69</v>
    <v>545570400</v>
    <v>CRWV</v>
    <v>COREWEAVE, INC. (XNAS:CRWV)</v>
    <v>21218381</v>
    <v>29914873</v>
    <v>2017</v>
  </rv>
  <rv s="2">
    <v>72</v>
  </rv>
  <rv s="0">
    <v>https://www.bing.com/financeapi/forcetrigger?t=a1qe5r&amp;q=XNAS%3aCSCO&amp;form=skydnc</v>
    <v>Learn more on Bing</v>
  </rv>
  <rv s="1">
    <v>en-GB</v>
    <v>a1qe5r</v>
    <v>268435456</v>
    <v>1</v>
    <v>Powered by Refinitiv</v>
    <v>0</v>
    <v>CISCO SYSTEMS, INC. (XNAS:CSCO)</v>
    <v>2</v>
    <v>3</v>
    <v>Finance</v>
    <v>4</v>
    <v>130.3656</v>
    <v>63.865000000000002</v>
    <v>0.99850000000000005</v>
    <v>3.7</v>
    <v>2.9249000000000001E-2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130.3656</v>
    <v>Communications &amp; Networking</v>
    <v>Stock</v>
    <v>46177.811417881247</v>
    <v>74</v>
    <v>124.14400000000001</v>
    <v>513174836999</v>
    <v>CISCO SYSTEMS, INC.</v>
    <v>CISCO SYSTEMS, INC.</v>
    <v>126.24</v>
    <v>43.3855</v>
    <v>126.5</v>
    <v>130.19999999999999</v>
    <v>3941435000</v>
    <v>CSCO</v>
    <v>CISCO SYSTEMS, INC. (XNAS:CSCO)</v>
    <v>14500750</v>
    <v>27334086</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1.552</v>
    <v>-4.9249999999999998</v>
    <v>-1.9674000000000001E-2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251.02</v>
    <v>Software &amp; IT Services</v>
    <v>Stock</v>
    <v>46177.811431469534</v>
    <v>77</v>
    <v>240.29</v>
    <v>87354412881</v>
    <v>DATADOG, INC.</v>
    <v>DATADOG, INC.</v>
    <v>250.38</v>
    <v>621.75070000000005</v>
    <v>250.33</v>
    <v>245.405</v>
    <v>355960200</v>
    <v>DDOG</v>
    <v>DATADOG, INC. (XNAS:DDOG)</v>
    <v>4899630</v>
    <v>7301846</v>
    <v>2026</v>
  </rv>
  <rv s="2">
    <v>78</v>
  </rv>
  <rv s="0">
    <v>https://www.bing.com/financeapi/forcetrigger?t=a1retc&amp;q=XNYS%3aDELL&amp;form=skydnc</v>
    <v>Learn more on Bing</v>
  </rv>
  <rv s="1">
    <v>en-GB</v>
    <v>a1retc</v>
    <v>268435456</v>
    <v>1</v>
    <v>Powered by Refinitiv</v>
    <v>0</v>
    <v>DELL TECHNOLOGIES INC. (XNYS:DELL)</v>
    <v>2</v>
    <v>3</v>
    <v>Finance</v>
    <v>4</v>
    <v>469.47</v>
    <v>109.17</v>
    <v>1.3041</v>
    <v>7.1449999999999996</v>
    <v>1.6968E-2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429.31</v>
    <v>Computers, Phones &amp; Household Electronics</v>
    <v>Stock</v>
    <v>46177.811402765627</v>
    <v>80</v>
    <v>399</v>
    <v>278161385267</v>
    <v>DELL TECHNOLOGIES INC.</v>
    <v>DELL TECHNOLOGIES INC.</v>
    <v>402</v>
    <v>34.006399999999999</v>
    <v>421.08</v>
    <v>428.22500000000002</v>
    <v>649568300</v>
    <v>DELL</v>
    <v>DELL TECHNOLOGIES INC. (XNYS:DELL)</v>
    <v>9630144</v>
    <v>10138643</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1.3936999999999999</v>
    <v>-0.27500000000000002</v>
    <v>-2.7669999999999999E-3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101.46</v>
    <v>85</v>
    <v>Media &amp; Publishing</v>
    <v>Stock</v>
    <v>46177.811422800783</v>
    <v>86</v>
    <v>99.05</v>
    <v>172114287765</v>
    <v>THE WALT DISNEY COMPANY</v>
    <v>THE WALT DISNEY COMPANY</v>
    <v>100.61</v>
    <v>15.8604</v>
    <v>99.39</v>
    <v>99.114999999999995</v>
    <v>1736511000</v>
    <v>DIS</v>
    <v>THE WALT DISNEY COMPANY (XNYS:DIS)</v>
    <v>6315843</v>
    <v>9096125</v>
    <v>2018</v>
  </rv>
  <rv s="2">
    <v>87</v>
  </rv>
  <rv s="0">
    <v>https://www.bing.com/financeapi/forcetrigger?t=br39hw&amp;q=XNYS%3aDT&amp;form=skydnc</v>
    <v>Learn more on Bing</v>
  </rv>
  <rv s="1">
    <v>en-GB</v>
    <v>br39hw</v>
    <v>268435456</v>
    <v>1</v>
    <v>Powered by Refinitiv</v>
    <v>0</v>
    <v>DYNATRACE, INC. (XNYS:DT)</v>
    <v>2</v>
    <v>3</v>
    <v>Finance</v>
    <v>4</v>
    <v>57.55</v>
    <v>31.635000000000002</v>
    <v>0.73670000000000002</v>
    <v>0.14000000000000001</v>
    <v>3.2229999999999997E-3</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44.34</v>
    <v>Software &amp; IT Services</v>
    <v>Stock</v>
    <v>46177.811415878903</v>
    <v>89</v>
    <v>43.19</v>
    <v>12702511006</v>
    <v>DYNATRACE, INC.</v>
    <v>DYNATRACE, INC.</v>
    <v>44.34</v>
    <v>81.336299999999994</v>
    <v>43.44</v>
    <v>43.58</v>
    <v>291475700</v>
    <v>DT</v>
    <v>DYNATRACE, INC. (XNYS:DT)</v>
    <v>1909388</v>
    <v>6508831</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2.2096</v>
    <v>8.5000000000000006E-2</v>
    <v>1.0327999999999999E-2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8.5449999999999999</v>
    <v>Machinery, Equipment &amp; Components</v>
    <v>Stock</v>
    <v>46177.81138548594</v>
    <v>92</v>
    <v>7.87</v>
    <v>1813945521</v>
    <v>Enovix Corporation</v>
    <v>Enovix Corporation</v>
    <v>8.0399999999999991</v>
    <v>0</v>
    <v>8.23</v>
    <v>8.3149999999999995</v>
    <v>218153400</v>
    <v>ENVX</v>
    <v>Enovix Corporation (XNAS:ENVX)</v>
    <v>5164411</v>
    <v>8165835</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1.1869000000000001</v>
    <v>1.4999999999999999E-2</v>
    <v>3.561E-5</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421.28500000000003</v>
    <v>Machinery, Equipment &amp; Components</v>
    <v>Stock</v>
    <v>46177.811424536718</v>
    <v>95</v>
    <v>408.76260000000002</v>
    <v>163561667500</v>
    <v>EATON CORPORATION PUBLIC LIMITED COMPANY</v>
    <v>EATON CORPORATION PUBLIC LIMITED COMPANY</v>
    <v>416.72</v>
    <v>41.180300000000003</v>
    <v>421.21</v>
    <v>421.22500000000002</v>
    <v>388300000</v>
    <v>ETN</v>
    <v>EATON CORPORATION PUBLIC LIMITED COMPANY (XNYS:ETN)</v>
    <v>1226082</v>
    <v>2883699</v>
    <v>2012</v>
  </rv>
  <rv s="2">
    <v>96</v>
  </rv>
  <rv s="0">
    <v>https://www.bing.com/financeapi/forcetrigger?t=a1sxjc&amp;q=XNAS%3aFIVN&amp;form=skydnc</v>
    <v>Learn more on Bing</v>
  </rv>
  <rv s="1">
    <v>en-GB</v>
    <v>a1sxjc</v>
    <v>268435456</v>
    <v>1</v>
    <v>Powered by Refinitiv</v>
    <v>0</v>
    <v>FIVE9, INC. (XNAS:FIVN)</v>
    <v>2</v>
    <v>3</v>
    <v>Finance</v>
    <v>4</v>
    <v>30.38</v>
    <v>13.29</v>
    <v>1.4456</v>
    <v>0.69499999999999995</v>
    <v>2.9019E-2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25.88</v>
    <v>Software &amp; IT Services</v>
    <v>Stock</v>
    <v>46177.811398726561</v>
    <v>98</v>
    <v>23.51</v>
    <v>1886919533</v>
    <v>FIVE9, INC.</v>
    <v>FIVE9, INC.</v>
    <v>24.33</v>
    <v>37.369199999999999</v>
    <v>23.95</v>
    <v>24.645</v>
    <v>76563990</v>
    <v>FIVN</v>
    <v>FIVE9, INC. (XNAS:FIVN)</v>
    <v>2207715</v>
    <v>4405616</v>
    <v>2001</v>
  </rv>
  <rv s="2">
    <v>99</v>
  </rv>
  <rv s="0">
    <v>https://www.bing.com/financeapi/forcetrigger?t=a1tg3m&amp;q=XNAS%3aFTNT&amp;form=skydnc</v>
    <v>Learn more on Bing</v>
  </rv>
  <rv s="1">
    <v>en-GB</v>
    <v>a1tg3m</v>
    <v>268435456</v>
    <v>1</v>
    <v>Powered by Refinitiv</v>
    <v>0</v>
    <v>FORTINET, INC. (XNAS:FTNT)</v>
    <v>2</v>
    <v>3</v>
    <v>Finance</v>
    <v>4</v>
    <v>150.065</v>
    <v>70.12</v>
    <v>1.1025</v>
    <v>3.4550000000000001</v>
    <v>2.3586999999999997E-2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150.065</v>
    <v>Software &amp; IT Services</v>
    <v>Stock</v>
    <v>46177.811440671096</v>
    <v>101</v>
    <v>144.32</v>
    <v>109849637854</v>
    <v>FORTINET, INC.</v>
    <v>FORTINET, INC.</v>
    <v>146.19999999999999</v>
    <v>57.925699999999999</v>
    <v>146.47999999999999</v>
    <v>149.935</v>
    <v>732648400</v>
    <v>FTNT</v>
    <v>FORTINET, INC. (XNAS:FTNT)</v>
    <v>3252754</v>
    <v>6607957</v>
    <v>2000</v>
  </rv>
  <rv s="2">
    <v>102</v>
  </rv>
  <rv s="0">
    <v>https://www.bing.com/financeapi/forcetrigger?t=a1u3p2&amp;q=XNAS%3aGOOG&amp;form=skydnc</v>
    <v>Learn more on Bing</v>
  </rv>
  <rv s="1">
    <v>en-GB</v>
    <v>a1u3p2</v>
    <v>268435456</v>
    <v>1</v>
    <v>Powered by Refinitiv</v>
    <v>0</v>
    <v>ALPHABET INC. (XNAS:GOOG)</v>
    <v>2</v>
    <v>3</v>
    <v>Finance</v>
    <v>4</v>
    <v>404.47</v>
    <v>163.33000000000001</v>
    <v>1.2441</v>
    <v>11.685</v>
    <v>3.2853E-2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369.84500000000003</v>
    <v>Software &amp; IT Services</v>
    <v>Stock</v>
    <v>46177.8114298375</v>
    <v>104</v>
    <v>354.8</v>
    <v>4450994340000</v>
    <v>ALPHABET INC.</v>
    <v>ALPHABET INC.</v>
    <v>355.39</v>
    <v>28.0562</v>
    <v>355.68</v>
    <v>367.36500000000001</v>
    <v>12116000000</v>
    <v>GOOG</v>
    <v>ALPHABET INC. (XNAS:GOOG)</v>
    <v>20964605</v>
    <v>22049922</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2.3624000000000001</v>
    <v>5.1550000000000002</v>
    <v>6.2220999999999999E-2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88.34</v>
    <v>Financial Technology (Fintech) &amp; Infrastructure</v>
    <v>Stock</v>
    <v>46177.811397881247</v>
    <v>107</v>
    <v>82.8</v>
    <v>79248951325</v>
    <v>ROBINHOOD MARKETS, INC.</v>
    <v>ROBINHOOD MARKETS, INC.</v>
    <v>83.25</v>
    <v>48.956899999999997</v>
    <v>82.85</v>
    <v>88.004999999999995</v>
    <v>900505100</v>
    <v>HOOD</v>
    <v>ROBINHOOD MARKETS, INC. (XNAS:HOOD)</v>
    <v>24765782</v>
    <v>28129252</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0.65610000000000002</v>
    <v>-3.4849999999999999</v>
    <v>-1.1403000000000002E-2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310.44</v>
    <v>112</v>
    <v>Software &amp; IT Services</v>
    <v>Stock</v>
    <v>46177.811425485939</v>
    <v>113</v>
    <v>300.18</v>
    <v>283981643968</v>
    <v>INTERNATIONAL BUSINESS MACHINES CORPORATION</v>
    <v>INTERNATIONAL BUSINESS MACHINES CORPORATION</v>
    <v>307.39</v>
    <v>24.179300000000001</v>
    <v>305.63</v>
    <v>302.14499999999998</v>
    <v>939885300</v>
    <v>IBM</v>
    <v>INTERNATIONAL BUSINESS MACHINES CORPORATION (XNYS:IBM)</v>
    <v>7059255</v>
    <v>10446842</v>
    <v>1911</v>
  </rv>
  <rv s="2">
    <v>114</v>
  </rv>
  <rv s="0">
    <v>https://www.bing.com/financeapi/forcetrigger?t=a1vla2&amp;q=XNAS%3aINOD&amp;form=skydnc</v>
    <v>Learn more on Bing</v>
  </rv>
  <rv s="1">
    <v>en-GB</v>
    <v>a1vla2</v>
    <v>268435456</v>
    <v>1</v>
    <v>Powered by Refinitiv</v>
    <v>0</v>
    <v>INNODATA INC. (XNAS:INOD)</v>
    <v>2</v>
    <v>3</v>
    <v>Finance</v>
    <v>4</v>
    <v>123.89</v>
    <v>34.2301</v>
    <v>2.8372999999999999</v>
    <v>15.435</v>
    <v>0.14255999999999999</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123.89</v>
    <v>Software &amp; IT Services</v>
    <v>Stock</v>
    <v>46177.811398506252</v>
    <v>116</v>
    <v>104.01</v>
    <v>1490374656</v>
    <v>INNODATA INC.</v>
    <v>INNODATA INC.</v>
    <v>106.46</v>
    <v>111.3056</v>
    <v>108.27</v>
    <v>123.705</v>
    <v>32655360</v>
    <v>INOD</v>
    <v>INNODATA INC. (XNAS:INOD)</v>
    <v>2394628</v>
    <v>2995634</v>
    <v>1988</v>
  </rv>
  <rv s="2">
    <v>117</v>
  </rv>
  <rv s="0">
    <v>https://www.bing.com/financeapi/forcetrigger?t=a1vmf2&amp;q=XNAS%3aINTC&amp;form=skydnc</v>
    <v>Learn more on Bing</v>
  </rv>
  <rv s="1">
    <v>en-GB</v>
    <v>a1vmf2</v>
    <v>268435456</v>
    <v>1</v>
    <v>Powered by Refinitiv</v>
    <v>0</v>
    <v>INTEL CORPORATION (XNAS:INTC)</v>
    <v>2</v>
    <v>3</v>
    <v>Finance</v>
    <v>4</v>
    <v>132.75</v>
    <v>18.965</v>
    <v>2.2294</v>
    <v>-0.22500000000000001</v>
    <v>-1.9959999999999999E-3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113.14</v>
    <v>Semiconductors &amp; Semiconductor Equipment</v>
    <v>Stock</v>
    <v>46177.811439756253</v>
    <v>119</v>
    <v>107.48009999999999</v>
    <v>565349610000</v>
    <v>INTEL CORPORATION</v>
    <v>INTEL CORPORATION</v>
    <v>108.42</v>
    <v>0</v>
    <v>112.71</v>
    <v>112.485</v>
    <v>5026000000</v>
    <v>INTC</v>
    <v>INTEL CORPORATION (XNAS:INTC)</v>
    <v>63291403</v>
    <v>143894244</v>
    <v>1989</v>
  </rv>
  <rv s="2">
    <v>120</v>
  </rv>
  <rv s="0">
    <v>https://www.bing.com/financeapi/forcetrigger?t=bxb5m7&amp;q=XNYS%3aIONQ&amp;form=skydnc</v>
    <v>Learn more on Bing</v>
  </rv>
  <rv s="1">
    <v>en-GB</v>
    <v>bxb5m7</v>
    <v>268435456</v>
    <v>1</v>
    <v>Powered by Refinitiv</v>
    <v>0</v>
    <v>IONQ, INC. (XNYS:IONQ)</v>
    <v>2</v>
    <v>3</v>
    <v>Finance</v>
    <v>4</v>
    <v>84.64</v>
    <v>25.89</v>
    <v>3.1932999999999998</v>
    <v>-3.34</v>
    <v>-4.8952000000000002E-2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69.464100000000002</v>
    <v>Computers, Phones &amp; Household Electronics</v>
    <v>Stock</v>
    <v>46177.811395937497</v>
    <v>122</v>
    <v>64.180000000000007</v>
    <v>24221490300</v>
    <v>IONQ, INC.</v>
    <v>IONQ, INC.</v>
    <v>67.28</v>
    <v>1107.3379</v>
    <v>68.23</v>
    <v>64.89</v>
    <v>373270000</v>
    <v>IONQ</v>
    <v>IONQ, INC. (XNYS:IONQ)</v>
    <v>34577893</v>
    <v>33826404</v>
    <v>2020</v>
  </rv>
  <rv s="2">
    <v>123</v>
  </rv>
  <rv s="0">
    <v>https://www.bing.com/financeapi/forcetrigger?t=c438im&amp;q=XNAS%3aIREN&amp;form=skydnc</v>
    <v>Learn more on Bing</v>
  </rv>
  <rv s="1">
    <v>en-GB</v>
    <v>c438im</v>
    <v>268435456</v>
    <v>1</v>
    <v>Powered by Refinitiv</v>
    <v>0</v>
    <v>IREN LIMITED (XNAS:IREN)</v>
    <v>2</v>
    <v>3</v>
    <v>Finance</v>
    <v>4</v>
    <v>76.87</v>
    <v>8.6999999999999993</v>
    <v>4.2291999999999996</v>
    <v>-3.53</v>
    <v>-5.391E-2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62.91</v>
    <v>Financial Technology (Fintech) &amp; Infrastructure</v>
    <v>Stock</v>
    <v>46177.811443043749</v>
    <v>125</v>
    <v>59.68</v>
    <v>22139610465</v>
    <v>IREN LIMITED</v>
    <v>IREN LIMITED</v>
    <v>62.15</v>
    <v>135.0556</v>
    <v>65.48</v>
    <v>61.95</v>
    <v>357378700</v>
    <v>IREN</v>
    <v>IREN LIMITED (XNAS:IREN)</v>
    <v>39972685</v>
    <v>55011533</v>
    <v>2018</v>
  </rv>
  <rv s="2">
    <v>126</v>
  </rv>
  <rv s="0">
    <v>https://www.bing.com/financeapi/forcetrigger?t=a1vxfr&amp;q=ARCX%3aIWM&amp;form=skydnc</v>
    <v>Learn more on Bing</v>
  </rv>
  <rv s="7">
    <v>en-GB</v>
    <v>a1vxfr</v>
    <v>268435456</v>
    <v>1</v>
    <v>Powered by Refinitiv</v>
    <v>15</v>
    <v>iShares:Russ 2000 ETF (ARCX:IWM)</v>
    <v>16</v>
    <v>17</v>
    <v>Finance</v>
    <v>18</v>
    <v>292.74</v>
    <v>206.81</v>
    <v>0.99929999999999997</v>
    <v>4.8600000000000003</v>
    <v>1.6893999999999999E-2</v>
    <v>USD</v>
    <v>NYSE Arca</v>
    <v>ARCX</v>
    <v>1.9E-3</v>
    <v>292.67500000000001</v>
    <v>ETF</v>
    <v>46177.811461828125</v>
    <v>128</v>
    <v>286.66000000000003</v>
    <v>80933362748.720001</v>
    <v>iShares:Russ 2000 ETF</v>
    <v>288.27</v>
    <v>287.67</v>
    <v>292.52999999999997</v>
    <v>IWM</v>
    <v>iShares:Russ 2000 ETF (ARCX:IWM)</v>
    <v>18599947</v>
    <v>26082120</v>
  </rv>
  <rv s="2">
    <v>129</v>
  </rv>
  <rv s="0">
    <v>https://www.bing.com/financeapi/forcetrigger?t=a1wjkr&amp;q=XNAS%3aKLAC&amp;form=skydnc</v>
    <v>Learn more on Bing</v>
  </rv>
  <rv s="1">
    <v>en-GB</v>
    <v>a1wjkr</v>
    <v>268435456</v>
    <v>1</v>
    <v>Powered by Refinitiv</v>
    <v>0</v>
    <v>KLA CORPORATION (XNAS:KLAC)</v>
    <v>2</v>
    <v>3</v>
    <v>Finance</v>
    <v>4</v>
    <v>2156.69</v>
    <v>773.59670000000006</v>
    <v>1.4933000000000001</v>
    <v>23.04</v>
    <v>1.0842000000000001E-2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2156.69</v>
    <v>Semiconductors &amp; Semiconductor Equipment</v>
    <v>Stock</v>
    <v>46177.811445555468</v>
    <v>131</v>
    <v>2034.01</v>
    <v>280607464125</v>
    <v>KLA CORPORATION</v>
    <v>KLA CORPORATION</v>
    <v>2053.85</v>
    <v>60.819299999999998</v>
    <v>2125.11</v>
    <v>2148.15</v>
    <v>130627500</v>
    <v>KLAC</v>
    <v>KLA CORPORATION (XNAS:KLAC)</v>
    <v>490550</v>
    <v>1042502</v>
    <v>1975</v>
  </rv>
  <rv s="2">
    <v>132</v>
  </rv>
  <rv s="0">
    <v>https://www.bing.com/financeapi/forcetrigger?t=a1wljc&amp;q=XNYS%3aKO&amp;form=skydnc</v>
    <v>Learn more on Bing</v>
  </rv>
  <rv s="1">
    <v>en-GB</v>
    <v>a1wljc</v>
    <v>268435456</v>
    <v>1</v>
    <v>Powered by Refinitiv</v>
    <v>0</v>
    <v>THE COCA-COLA COMPANY (XNYS:KO)</v>
    <v>2</v>
    <v>3</v>
    <v>Finance</v>
    <v>4</v>
    <v>82.663499999999999</v>
    <v>65.353800000000007</v>
    <v>0.3548</v>
    <v>-1.7424999999999999</v>
    <v>-2.2124000000000001E-2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80.040000000000006</v>
    <v>Beverages</v>
    <v>Stock</v>
    <v>46177.811444085157</v>
    <v>134</v>
    <v>77</v>
    <v>331366407435</v>
    <v>THE COCA-COLA COMPANY</v>
    <v>THE COCA-COLA COMPANY</v>
    <v>79.62</v>
    <v>24.245999999999999</v>
    <v>78.760000000000005</v>
    <v>77.017499999999998</v>
    <v>4302482000</v>
    <v>KO</v>
    <v>THE COCA-COLA COMPANY (XNYS:KO)</v>
    <v>9127588</v>
    <v>14734554</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1.3462000000000001</v>
    <v>2.54</v>
    <v>0.16261199999999998</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18.770099999999999</v>
    <v>Computers, Phones &amp; Household Electronics</v>
    <v>Stock</v>
    <v>46177.811448159373</v>
    <v>137</v>
    <v>14.7</v>
    <v>1140255685</v>
    <v>LIGHTPATH TECHNOLOGIES, INC.</v>
    <v>LIGHTPATH TECHNOLOGIES, INC.</v>
    <v>14.89</v>
    <v>0</v>
    <v>15.62</v>
    <v>18.16</v>
    <v>62789410</v>
    <v>LPTH</v>
    <v>LIGHTPATH TECHNOLOGIES, INC. (XNAS:LPTH)</v>
    <v>4553864</v>
    <v>4059215</v>
    <v>1992</v>
  </rv>
  <rv s="2">
    <v>138</v>
  </rv>
  <rv s="0">
    <v>https://www.bing.com/financeapi/forcetrigger?t=a2nk77&amp;q=XNAS%3aLWLG&amp;form=skydnc</v>
    <v>Learn more on Bing</v>
  </rv>
  <rv s="1">
    <v>en-GB</v>
    <v>a2nk77</v>
    <v>268435456</v>
    <v>1</v>
    <v>Powered by Refinitiv</v>
    <v>0</v>
    <v>LIGHTWAVE LOGIC, INC. (XNAS:LWLG)</v>
    <v>2</v>
    <v>3</v>
    <v>Finance</v>
    <v>4</v>
    <v>18.709</v>
    <v>0.98540000000000005</v>
    <v>2.3813</v>
    <v>0.23</v>
    <v>1.8713999999999998E-2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12.89</v>
    <v>Electronic Equipment &amp; Parts</v>
    <v>Stock</v>
    <v>46177.81143366875</v>
    <v>140</v>
    <v>11.61</v>
    <v>1929076592</v>
    <v>LIGHTWAVE LOGIC, INC.</v>
    <v>LIGHTWAVE LOGIC, INC.</v>
    <v>11.85</v>
    <v>0</v>
    <v>12.29</v>
    <v>12.52</v>
    <v>154079600</v>
    <v>LWLG</v>
    <v>LIGHTWAVE LOGIC, INC. (XNAS:LWLG)</v>
    <v>3822924</v>
    <v>9100870</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0.41589999999999999</v>
    <v>-9.9400000000000002E-2</v>
    <v>-3.637E-4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278.5</v>
    <v>145</v>
    <v>Hotels &amp; Entertainment Services</v>
    <v>Stock</v>
    <v>46177.811466145315</v>
    <v>146</v>
    <v>271.85000000000002</v>
    <v>194103533124</v>
    <v>MCDONALD'S CORPORATION</v>
    <v>MCDONALD'S CORPORATION</v>
    <v>278.02499999999998</v>
    <v>22.518699999999999</v>
    <v>273.29000000000002</v>
    <v>273.19060000000002</v>
    <v>710505900</v>
    <v>MCD</v>
    <v>MCDONALD'S CORPORATION (XNYS:MCD)</v>
    <v>2490203</v>
    <v>4350079</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193.86500000000001</v>
    <v>1.5404</v>
    <v>16.155000000000001</v>
    <v>4.3860999999999997E-2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390</v>
    <v>152</v>
    <v>Software &amp; IT Services</v>
    <v>Stock</v>
    <v>46177.811427025001</v>
    <v>153</v>
    <v>369</v>
    <v>30924066286</v>
    <v>MONGODB, INC.</v>
    <v>MONGODB, INC.</v>
    <v>372.95</v>
    <v>0</v>
    <v>368.32</v>
    <v>384.47500000000002</v>
    <v>80431930</v>
    <v>MDB</v>
    <v>MONGODB, INC. (XNAS:MDB)</v>
    <v>1272994</v>
    <v>2712677</v>
    <v>2007</v>
  </rv>
  <rv s="2">
    <v>154</v>
  </rv>
  <rv s="0">
    <v>https://www.bing.com/financeapi/forcetrigger?t=a1slm7&amp;q=XNAS%3aMETA&amp;form=skydnc</v>
    <v>Learn more on Bing</v>
  </rv>
  <rv s="1">
    <v>en-GB</v>
    <v>a1slm7</v>
    <v>268435456</v>
    <v>1</v>
    <v>Powered by Refinitiv</v>
    <v>0</v>
    <v>META PLATFORMS, INC. (XNAS:META)</v>
    <v>2</v>
    <v>3</v>
    <v>Finance</v>
    <v>4</v>
    <v>796.25</v>
    <v>520.26</v>
    <v>1.2302</v>
    <v>1.93</v>
    <v>3.0980000000000001E-3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642.33000000000004</v>
    <v>Software &amp; IT Services</v>
    <v>Stock</v>
    <v>46177.811426515625</v>
    <v>156</v>
    <v>622.6</v>
    <v>1586285916930</v>
    <v>META PLATFORMS, INC.</v>
    <v>META PLATFORMS, INC.</v>
    <v>624.42999999999995</v>
    <v>18.954499999999999</v>
    <v>622.98</v>
    <v>624.91</v>
    <v>2538423000</v>
    <v>META</v>
    <v>META PLATFORMS, INC. (XNAS:META)</v>
    <v>14040218</v>
    <v>17700244</v>
    <v>2004</v>
  </rv>
  <rv s="2">
    <v>157</v>
  </rv>
  <rv s="0">
    <v>https://www.bing.com/financeapi/forcetrigger?t=a1xygh&amp;q=XNAS%3aMRVL&amp;form=skydnc</v>
    <v>Learn more on Bing</v>
  </rv>
  <rv s="1">
    <v>en-GB</v>
    <v>a1xygh</v>
    <v>268435456</v>
    <v>1</v>
    <v>Powered by Refinitiv</v>
    <v>0</v>
    <v>MARVELL TECHNOLOGY, INC. (XNAS:MRVL)</v>
    <v>2</v>
    <v>3</v>
    <v>Finance</v>
    <v>4</v>
    <v>324.2</v>
    <v>61.44</v>
    <v>2.2231000000000001</v>
    <v>16.715</v>
    <v>5.5411999999999996E-2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319.55</v>
    <v>Semiconductors &amp; Semiconductor Equipment</v>
    <v>Stock</v>
    <v>46177.811482060155</v>
    <v>159</v>
    <v>277.58999999999997</v>
    <v>278505702000</v>
    <v>MARVELL TECHNOLOGY, INC.</v>
    <v>MARVELL TECHNOLOGY, INC.</v>
    <v>283.67</v>
    <v>109.0478</v>
    <v>301.64999999999998</v>
    <v>318.36500000000001</v>
    <v>874800000</v>
    <v>MRVL</v>
    <v>MARVELL TECHNOLOGY, INC. (XNAS:MRVL)</v>
    <v>73603851</v>
    <v>34282210</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1.1081000000000001</v>
    <v>0.255</v>
    <v>5.9670000000000003E-4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436.15</v>
    <v>164</v>
    <v>Software &amp; IT Services</v>
    <v>Stock</v>
    <v>46177.811474883594</v>
    <v>165</v>
    <v>426.41</v>
    <v>3176361663825</v>
    <v>MICROSOFT CORPORATION</v>
    <v>MICROSOFT CORPORATION</v>
    <v>435.64</v>
    <v>25.4678</v>
    <v>427.34</v>
    <v>427.59500000000003</v>
    <v>7428435000</v>
    <v>MSFT</v>
    <v>MICROSOFT CORPORATION (XNAS:MSFT)</v>
    <v>18497378</v>
    <v>37514215</v>
    <v>1993</v>
  </rv>
  <rv s="2">
    <v>166</v>
  </rv>
  <rv s="0">
    <v>https://www.bing.com/financeapi/forcetrigger?t=a1y1qh&amp;q=XNAS%3aMSTR&amp;form=skydnc</v>
    <v>Learn more on Bing</v>
  </rv>
  <rv s="1">
    <v>en-GB</v>
    <v>a1y1qh</v>
    <v>268435456</v>
    <v>1</v>
    <v>Powered by Refinitiv</v>
    <v>0</v>
    <v>STRATEGY INC (XNAS:MSTR)</v>
    <v>2</v>
    <v>3</v>
    <v>Finance</v>
    <v>4</v>
    <v>457.22</v>
    <v>104.16500000000001</v>
    <v>3.4939</v>
    <v>4.1749999999999998</v>
    <v>3.2992E-2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131.47</v>
    <v>Software &amp; IT Services</v>
    <v>Stock</v>
    <v>46177.811415971875</v>
    <v>168</v>
    <v>125.6601</v>
    <v>46823629488</v>
    <v>STRATEGY INC</v>
    <v>STRATEGY INC</v>
    <v>126.76</v>
    <v>0</v>
    <v>126.545</v>
    <v>130.72</v>
    <v>358197900</v>
    <v>MSTR</v>
    <v>STRATEGY INC (XNAS:MSTR)</v>
    <v>20014697</v>
    <v>15988194</v>
    <v>1989</v>
  </rv>
  <rv s="2">
    <v>169</v>
  </rv>
  <rv s="0">
    <v>https://www.bing.com/financeapi/forcetrigger?t=a1y4oc&amp;q=XNAS%3aMU&amp;form=skydnc</v>
    <v>Learn more on Bing</v>
  </rv>
  <rv s="1">
    <v>en-GB</v>
    <v>a1y4oc</v>
    <v>268435456</v>
    <v>1</v>
    <v>Powered by Refinitiv</v>
    <v>0</v>
    <v>MICRON TECHNOLOGY, INC. (XNAS:MU)</v>
    <v>2</v>
    <v>3</v>
    <v>Finance</v>
    <v>4</v>
    <v>1089.29</v>
    <v>101.7</v>
    <v>2.1627000000000001</v>
    <v>-57.84</v>
    <v>-5.3577000000000007E-2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1036.3698999999999</v>
    <v>Semiconductors &amp; Semiconductor Equipment</v>
    <v>Stock</v>
    <v>46177.811406967186</v>
    <v>171</v>
    <v>971.68</v>
    <v>1152239659820</v>
    <v>MICRON TECHNOLOGY, INC.</v>
    <v>MICRON TECHNOLOGY, INC.</v>
    <v>1005.6</v>
    <v>48.237400000000001</v>
    <v>1079.57</v>
    <v>1021.73</v>
    <v>1127734000</v>
    <v>MU</v>
    <v>MICRON TECHNOLOGY, INC. (XNAS:MU)</v>
    <v>44388567</v>
    <v>52982988</v>
    <v>1984</v>
  </rv>
  <rv s="2">
    <v>172</v>
  </rv>
  <rv s="0">
    <v>https://www.bing.com/financeapi/forcetrigger?t=brh6oc&amp;q=XNYS%3aNET&amp;form=skydnc</v>
    <v>Learn more on Bing</v>
  </rv>
  <rv s="10">
    <v>en-GB</v>
    <v>brh6oc</v>
    <v>268435456</v>
    <v>1</v>
    <v>Powered by Refinitiv</v>
    <v>23</v>
    <v>CLOUDFLARE, INC. (XNYS:NET)</v>
    <v>2</v>
    <v>24</v>
    <v>Finance</v>
    <v>4</v>
    <v>276.815</v>
    <v>158.83000000000001</v>
    <v>1.6637999999999999</v>
    <v>8.4</v>
    <v>3.1659E-2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276.815</v>
    <v>Software &amp; IT Services</v>
    <v>Stock</v>
    <v>46177.811304837502</v>
    <v>174</v>
    <v>253.94</v>
    <v>96754302926</v>
    <v>CLOUDFLARE, INC.</v>
    <v>CLOUDFLARE, INC.</v>
    <v>257.14999999999998</v>
    <v>265.33</v>
    <v>273.73</v>
    <v>353466200</v>
    <v>NET</v>
    <v>CLOUDFLARE, INC. (XNYS:NET)</v>
    <v>3340932</v>
    <v>4952078</v>
    <v>2009</v>
  </rv>
  <rv s="2">
    <v>175</v>
  </rv>
  <rv s="0">
    <v>https://www.bing.com/financeapi/forcetrigger?t=afgp6h&amp;q=XFRA%3aNKE&amp;form=skydnc</v>
    <v>Learn more on Bing</v>
  </rv>
  <rv s="11">
    <v>en-GB</v>
    <v>afgp6h</v>
    <v>268435456</v>
    <v>1</v>
    <v>Powered by Refinitiv</v>
    <v>25</v>
    <v>NIKE, INC. (XFRA:NKE)</v>
    <v>2</v>
    <v>26</v>
    <v>Finance</v>
    <v>20</v>
    <v>1.1182000000000001</v>
    <v>0.125</v>
    <v>3.3570000000000002E-3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38.195</v>
    <v>Textiles &amp; Apparel</v>
    <v>Stock</v>
    <v>46177.75</v>
    <v>177</v>
    <v>37.35</v>
    <v>98149420000</v>
    <v>NIKE, INC.</v>
    <v>NIKE, INC.</v>
    <v>38.03</v>
    <v>28.961200000000002</v>
    <v>37.234999999999999</v>
    <v>37.36</v>
    <v>1480887000</v>
    <v>NKE</v>
    <v>NIKE, INC. (XFRA:NKE)</v>
    <v>2872</v>
    <v>24332150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1.1366000000000001</v>
    <v>-0.19500000000000001</v>
    <v>-1.1656E-2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16.54</v>
    <v>Communications &amp; Networking</v>
    <v>Stock</v>
    <v>46177.811476503906</v>
    <v>182</v>
    <v>15.525</v>
    <v>94947938400</v>
    <v>Nokia Oyj</v>
    <v>Nokia Oyj</v>
    <v>15.79</v>
    <v>102.7657</v>
    <v>16.73</v>
    <v>16.535</v>
    <v>5742240000</v>
    <v>NOK</v>
    <v>Nokia Oyj (XNYS:NOK)</v>
    <v>114338104</v>
    <v>124181252</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0.93189999999999995</v>
    <v>2.88</v>
    <v>2.4426999999999997E-2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124.79</v>
    <v>Software &amp; IT Services</v>
    <v>Stock</v>
    <v>46177.811372823438</v>
    <v>185</v>
    <v>119.4716</v>
    <v>124561380240</v>
    <v>SERVICENOW, INC.</v>
    <v>SERVICENOW, INC.</v>
    <v>122.39</v>
    <v>71.832999999999998</v>
    <v>117.9</v>
    <v>120.78</v>
    <v>1031308000</v>
    <v>NOW</v>
    <v>SERVICENOW, INC. (XNYS:NOW)</v>
    <v>23046366</v>
    <v>32047151</v>
    <v>2012</v>
  </rv>
  <rv s="2">
    <v>186</v>
  </rv>
  <rv s="0">
    <v>https://www.bing.com/financeapi/forcetrigger?t=a1yv52&amp;q=XNAS%3aNVDA&amp;form=skydnc</v>
    <v>Learn more on Bing</v>
  </rv>
  <rv s="1">
    <v>en-GB</v>
    <v>a1yv52</v>
    <v>268435456</v>
    <v>1</v>
    <v>Powered by Refinitiv</v>
    <v>0</v>
    <v>NVIDIA CORPORATION (XNAS:NVDA)</v>
    <v>2</v>
    <v>3</v>
    <v>Finance</v>
    <v>4</v>
    <v>236.54</v>
    <v>138.83000000000001</v>
    <v>2.2016</v>
    <v>5.75</v>
    <v>2.6806999999999997E-2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221.6</v>
    <v>Semiconductors &amp; Semiconductor Equipment</v>
    <v>Stock</v>
    <v>46177.811406318753</v>
    <v>188</v>
    <v>210.97</v>
    <v>5330050000000</v>
    <v>NVIDIA CORPORATION</v>
    <v>NVIDIA CORPORATION</v>
    <v>214</v>
    <v>33.728900000000003</v>
    <v>214.5</v>
    <v>220.25</v>
    <v>24200000000</v>
    <v>NVDA</v>
    <v>NVIDIA CORPORATION (XNAS:NVDA)</v>
    <v>132194664</v>
    <v>169636487</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1.9646999999999999</v>
    <v>-0.7</v>
    <v>-5.2270000000000007E-3</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134.48500000000001</v>
    <v>Semiconductors &amp; Semiconductor Equipment</v>
    <v>Stock</v>
    <v>46177.811364710156</v>
    <v>191</v>
    <v>124.93</v>
    <v>52213263335</v>
    <v>ON SEMICONDUCTOR CORPORATION</v>
    <v>ON SEMICONDUCTOR CORPORATION</v>
    <v>127.3</v>
    <v>95.137100000000004</v>
    <v>133.93</v>
    <v>133.22999999999999</v>
    <v>391903200</v>
    <v>ON</v>
    <v>ON SEMICONDUCTOR CORPORATION (XNAS:ON)</v>
    <v>7111127</v>
    <v>12784604</v>
    <v>2000</v>
  </rv>
  <rv s="2">
    <v>192</v>
  </rv>
  <rv s="0">
    <v>https://www.bing.com/financeapi/forcetrigger?t=bkgak2&amp;q=XNAS%3aONDS&amp;form=skydnc</v>
    <v>Learn more on Bing</v>
  </rv>
  <rv s="1">
    <v>en-GB</v>
    <v>bkgak2</v>
    <v>268435456</v>
    <v>1</v>
    <v>Powered by Refinitiv</v>
    <v>0</v>
    <v>ONDAS INC. (XNAS:ONDS)</v>
    <v>2</v>
    <v>3</v>
    <v>Finance</v>
    <v>4</v>
    <v>15.28</v>
    <v>1.36</v>
    <v>2.6408</v>
    <v>0.48499999999999999</v>
    <v>4.1773999999999999E-2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12.42</v>
    <v>Communications &amp; Networking</v>
    <v>Stock</v>
    <v>46177.811415231248</v>
    <v>194</v>
    <v>11.06</v>
    <v>6139481265</v>
    <v>ONDAS INC.</v>
    <v>ONDAS INC.</v>
    <v>11.48</v>
    <v>30.496700000000001</v>
    <v>11.61</v>
    <v>12.095000000000001</v>
    <v>507604900</v>
    <v>ONDS</v>
    <v>ONDAS INC. (XNAS:ONDS)</v>
    <v>56641152</v>
    <v>81258413</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1.6519999999999999</v>
    <v>8.31</v>
    <v>3.6079E-2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238.95</v>
    <v>199</v>
    <v>Software &amp; IT Services</v>
    <v>Stock</v>
    <v>46177.811466712497</v>
    <v>200</v>
    <v>224.30760000000001</v>
    <v>686339617440</v>
    <v>ORACLE CORPORATION</v>
    <v>ORACLE CORPORATION</v>
    <v>228.31</v>
    <v>40.448099999999997</v>
    <v>230.33</v>
    <v>238.64</v>
    <v>2876046000</v>
    <v>ORCL</v>
    <v>ORACLE CORPORATION (XNYS:ORCL)</v>
    <v>14981897</v>
    <v>22709775</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0.94489999999999996</v>
    <v>-0.41</v>
    <v>-1.462E-3</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280.72000000000003</v>
    <v>Software &amp; IT Services</v>
    <v>Stock</v>
    <v>46177.811474432812</v>
    <v>203</v>
    <v>269</v>
    <v>227096220000</v>
    <v>PALO ALTO NETWORKS, INC.</v>
    <v>PALO ALTO NETWORKS, INC.</v>
    <v>270</v>
    <v>230.56399999999999</v>
    <v>280.43</v>
    <v>280.02</v>
    <v>811000000</v>
    <v>PANW</v>
    <v>PALO ALTO NETWORKS, INC. (XNAS:PANW)</v>
    <v>7586408</v>
    <v>9138606</v>
    <v>2005</v>
  </rv>
  <rv s="2">
    <v>204</v>
  </rv>
  <rv s="0">
    <v>https://www.bing.com/financeapi/forcetrigger?t=c1dbvh&amp;q=XNYS%3aPATH&amp;form=skydnc</v>
    <v>Learn more on Bing</v>
  </rv>
  <rv s="1">
    <v>en-GB</v>
    <v>c1dbvh</v>
    <v>268435456</v>
    <v>1</v>
    <v>Powered by Refinitiv</v>
    <v>0</v>
    <v>UIPATH, INC. (XNYS:PATH)</v>
    <v>2</v>
    <v>3</v>
    <v>Finance</v>
    <v>4</v>
    <v>19.84</v>
    <v>9.2002000000000006</v>
    <v>0.96519999999999995</v>
    <v>7.4300000000000005E-2</v>
    <v>6.3670000000000003E-3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12.14</v>
    <v>Software &amp; IT Services</v>
    <v>Stock</v>
    <v>46177.811439108591</v>
    <v>206</v>
    <v>11.43</v>
    <v>6112243422</v>
    <v>UIPATH, INC.</v>
    <v>UIPATH, INC.</v>
    <v>11.91</v>
    <v>19.521799999999999</v>
    <v>11.67</v>
    <v>11.744300000000001</v>
    <v>520443400</v>
    <v>PATH</v>
    <v>UIPATH, INC. (XNYS:PATH)</v>
    <v>37623286</v>
    <v>39882897</v>
    <v>2015</v>
  </rv>
  <rv s="2">
    <v>207</v>
  </rv>
  <rv s="0">
    <v>https://www.bing.com/financeapi/forcetrigger?t=a1zsjc&amp;q=XNYS%3aPG&amp;form=skydnc</v>
    <v>Learn more on Bing</v>
  </rv>
  <rv s="1">
    <v>en-GB</v>
    <v>a1zsjc</v>
    <v>268435456</v>
    <v>1</v>
    <v>Powered by Refinitiv</v>
    <v>0</v>
    <v>THE PROCTER &amp; GAMBLE COMPANY (XNYS:PG)</v>
    <v>2</v>
    <v>3</v>
    <v>Finance</v>
    <v>4</v>
    <v>168.04499999999999</v>
    <v>137.62</v>
    <v>0.38700000000000001</v>
    <v>5.5E-2</v>
    <v>3.9229999999999999E-4</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143.13999999999999</v>
    <v>Personal &amp; Household Products &amp; Services</v>
    <v>Stock</v>
    <v>46177.811435625001</v>
    <v>209</v>
    <v>139.88999999999999</v>
    <v>326574366755</v>
    <v>THE PROCTER &amp; GAMBLE COMPANY</v>
    <v>THE PROCTER &amp; GAMBLE COMPANY</v>
    <v>142.59</v>
    <v>20.510899999999999</v>
    <v>140.19</v>
    <v>140.245</v>
    <v>2328599000</v>
    <v>PG</v>
    <v>THE PROCTER &amp; GAMBLE COMPANY (XNYS:PG)</v>
    <v>4780643</v>
    <v>8533966</v>
    <v>1905</v>
  </rv>
  <rv s="2">
    <v>210</v>
  </rv>
  <rv s="0">
    <v>https://www.bing.com/financeapi/forcetrigger?t=a1zxr7&amp;q=XNAS%3aPLAB&amp;form=skydnc</v>
    <v>Learn more on Bing</v>
  </rv>
  <rv s="1">
    <v>en-GB</v>
    <v>a1zxr7</v>
    <v>268435456</v>
    <v>1</v>
    <v>Powered by Refinitiv</v>
    <v>0</v>
    <v>PHOTRONICS, INC. (XNAS:PLAB)</v>
    <v>2</v>
    <v>3</v>
    <v>Finance</v>
    <v>4</v>
    <v>56</v>
    <v>17.57</v>
    <v>1.3713</v>
    <v>-0.52</v>
    <v>-1.6194E-2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31.93</v>
    <v>Semiconductors &amp; Semiconductor Equipment</v>
    <v>Stock</v>
    <v>46177.811425138279</v>
    <v>212</v>
    <v>30.67</v>
    <v>1862748260</v>
    <v>PHOTRONICS, INC.</v>
    <v>PHOTRONICS, INC.</v>
    <v>31.06</v>
    <v>11.5693</v>
    <v>32.11</v>
    <v>31.59</v>
    <v>58966390</v>
    <v>PLAB</v>
    <v>PHOTRONICS, INC. (XNAS:PLAB)</v>
    <v>1246376</v>
    <v>1691808</v>
    <v>1969</v>
  </rv>
  <rv s="2">
    <v>213</v>
  </rv>
  <rv s="0">
    <v>https://www.bing.com/financeapi/forcetrigger?t=a2si9c&amp;q=XNAS%3aPOET&amp;form=skydnc</v>
    <v>Learn more on Bing</v>
  </rv>
  <rv s="1">
    <v>en-GB</v>
    <v>a2si9c</v>
    <v>268435456</v>
    <v>1</v>
    <v>Powered by Refinitiv</v>
    <v>0</v>
    <v>POET Technologies Inc. (XNAS:POET)</v>
    <v>2</v>
    <v>3</v>
    <v>Finance</v>
    <v>4</v>
    <v>20.81</v>
    <v>3.87</v>
    <v>0.70740000000000003</v>
    <v>0.14000000000000001</v>
    <v>9.103E-3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15.91</v>
    <v>Semiconductors &amp; Semiconductor Equipment</v>
    <v>Stock</v>
    <v>46177.811431539063</v>
    <v>215</v>
    <v>13.75</v>
    <v>2678680608</v>
    <v>POET Technologies Inc.</v>
    <v>POET Technologies Inc.</v>
    <v>14.43</v>
    <v>0</v>
    <v>15.38</v>
    <v>15.52</v>
    <v>172595400</v>
    <v>POET</v>
    <v>POET Technologies Inc. (XNAS:POET)</v>
    <v>26389346</v>
    <v>57268390</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1.5955999999999999</v>
    <v>-4.1900000000000004</v>
    <v>-1.6820999999999999E-2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246.7</v>
    <v>220</v>
    <v>Semiconductors &amp; Semiconductor Equipment</v>
    <v>Stock</v>
    <v>46177.81148871484</v>
    <v>221</v>
    <v>235.33</v>
    <v>258124600000</v>
    <v>QUALCOMM INCORPORATED</v>
    <v>QUALCOMM INCORPORATED</v>
    <v>239.23</v>
    <v>26.6387</v>
    <v>249.09</v>
    <v>244.9</v>
    <v>1054000000</v>
    <v>QCOM</v>
    <v>QUALCOMM INCORPORATED (XNAS:QCOM)</v>
    <v>9894206</v>
    <v>29640500</v>
    <v>1991</v>
  </rv>
  <rv s="2">
    <v>222</v>
  </rv>
  <rv s="0">
    <v>https://www.bing.com/financeapi/forcetrigger?t=a21m4c&amp;q=XNAS%3aQLYS&amp;form=skydnc</v>
    <v>Learn more on Bing</v>
  </rv>
  <rv s="1">
    <v>en-GB</v>
    <v>a21m4c</v>
    <v>268435456</v>
    <v>1</v>
    <v>Powered by Refinitiv</v>
    <v>0</v>
    <v>QUALYS, INC. (XNAS:QLYS)</v>
    <v>2</v>
    <v>3</v>
    <v>Finance</v>
    <v>4</v>
    <v>155.47</v>
    <v>74.510000000000005</v>
    <v>0.64800000000000002</v>
    <v>1.26</v>
    <v>1.1289E-2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114.1</v>
    <v>Software &amp; IT Services</v>
    <v>Stock</v>
    <v>46177.811370960153</v>
    <v>224</v>
    <v>111.15</v>
    <v>3974943918</v>
    <v>QUALYS, INC.</v>
    <v>QUALYS, INC.</v>
    <v>112.36</v>
    <v>20.267900000000001</v>
    <v>111.61</v>
    <v>112.87</v>
    <v>35217010</v>
    <v>QLYS</v>
    <v>QUALYS, INC. (XNAS:QLYS)</v>
    <v>428510</v>
    <v>832971</v>
    <v>1999</v>
  </rv>
  <rv s="2">
    <v>225</v>
  </rv>
  <rv s="0">
    <v>https://www.bing.com/financeapi/forcetrigger?t=a21mim&amp;q=XNAS%3aQQQ&amp;form=skydnc</v>
    <v>Learn more on Bing</v>
  </rv>
  <rv s="7">
    <v>en-GB</v>
    <v>a21mim</v>
    <v>268435456</v>
    <v>1</v>
    <v>Powered by Refinitiv</v>
    <v>15</v>
    <v>Invesco QQQ Trust 1 (XNAS:QQQ)</v>
    <v>16</v>
    <v>17</v>
    <v>Finance</v>
    <v>18</v>
    <v>748.65</v>
    <v>522.66</v>
    <v>1.0089999999999999</v>
    <v>-1.25</v>
    <v>-1.6800000000000001E-3</v>
    <v>USD</v>
    <v>Nasdaq Stock Market</v>
    <v>XNAS</v>
    <v>1.8E-3</v>
    <v>743.43</v>
    <v>ETF</v>
    <v>46177.81147453672</v>
    <v>227</v>
    <v>732.63</v>
    <v>493987523137.08002</v>
    <v>Invesco QQQ Trust 1</v>
    <v>735.46</v>
    <v>744.21</v>
    <v>742.96</v>
    <v>QQQ</v>
    <v>Invesco QQQ Trust 1 (XNAS:QQQ)</v>
    <v>30643690</v>
    <v>38562874</v>
  </rv>
  <rv s="2">
    <v>228</v>
  </rv>
  <rv s="0">
    <v>https://www.bing.com/financeapi/forcetrigger?t=a226jc&amp;q=XNYS%3aROK&amp;form=skydnc</v>
    <v>Learn more on Bing</v>
  </rv>
  <rv s="1">
    <v>en-GB</v>
    <v>a226jc</v>
    <v>268435456</v>
    <v>1</v>
    <v>Powered by Refinitiv</v>
    <v>0</v>
    <v>ROCKWELL AUTOMATION, INC. (XNYS:ROK)</v>
    <v>2</v>
    <v>3</v>
    <v>Finance</v>
    <v>4</v>
    <v>468.11</v>
    <v>305.44009999999997</v>
    <v>1.5565</v>
    <v>1.42</v>
    <v>3.075E-3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464.27</v>
    <v>Machinery, Equipment &amp; Components</v>
    <v>Stock</v>
    <v>46177.811347441406</v>
    <v>230</v>
    <v>457.73500000000001</v>
    <v>51536506785</v>
    <v>ROCKWELL AUTOMATION, INC.</v>
    <v>ROCKWELL AUTOMATION, INC.</v>
    <v>461</v>
    <v>48.113500000000002</v>
    <v>461.73</v>
    <v>463.15</v>
    <v>111273900</v>
    <v>ROK</v>
    <v>ROCKWELL AUTOMATION, INC. (XNYS:ROK)</v>
    <v>250510</v>
    <v>809621</v>
    <v>1996</v>
  </rv>
  <rv s="2">
    <v>231</v>
  </rv>
  <rv s="0">
    <v>https://www.bing.com/financeapi/forcetrigger?t=c1db2w&amp;q=XNAS%3aRXRX&amp;form=skydnc</v>
    <v>Learn more on Bing</v>
  </rv>
  <rv s="1">
    <v>en-GB</v>
    <v>c1db2w</v>
    <v>268435456</v>
    <v>1</v>
    <v>Powered by Refinitiv</v>
    <v>0</v>
    <v>RECURSION PHARMACEUTICALS, INC. (XNAS:RXRX)</v>
    <v>2</v>
    <v>3</v>
    <v>Finance</v>
    <v>4</v>
    <v>7.18</v>
    <v>2.77</v>
    <v>1.0052000000000001</v>
    <v>0.35499999999999998</v>
    <v>0.10230499999999999</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4.04</v>
    <v>Biotechnology &amp; Medical Research</v>
    <v>Stock</v>
    <v>46177.811466400002</v>
    <v>233</v>
    <v>3.4496000000000002</v>
    <v>2026887390</v>
    <v>RECURSION PHARMACEUTICALS, INC.</v>
    <v>RECURSION PHARMACEUTICALS, INC.</v>
    <v>3.46</v>
    <v>0</v>
    <v>3.47</v>
    <v>3.8250000000000002</v>
    <v>529905200</v>
    <v>RXRX</v>
    <v>RECURSION PHARMACEUTICALS, INC. (XNAS:RXRX)</v>
    <v>33688825</v>
    <v>17452053</v>
    <v>2013</v>
  </rv>
  <rv s="2">
    <v>234</v>
  </rv>
  <rv s="0">
    <v>https://www.bing.com/financeapi/forcetrigger?t=c2kadm&amp;q=XNYS%3aS&amp;form=skydnc</v>
    <v>Learn more on Bing</v>
  </rv>
  <rv s="10">
    <v>en-GB</v>
    <v>c2kadm</v>
    <v>268435456</v>
    <v>1</v>
    <v>Powered by Refinitiv</v>
    <v>23</v>
    <v>SENTINELONE, INC. (XNYS:S)</v>
    <v>2</v>
    <v>24</v>
    <v>Finance</v>
    <v>4</v>
    <v>21.4</v>
    <v>11.81</v>
    <v>0.83260000000000001</v>
    <v>0.37069999999999997</v>
    <v>2.2741999999999998E-2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16.850000000000001</v>
    <v>Software &amp; IT Services</v>
    <v>Stock</v>
    <v>46177.81147981406</v>
    <v>236</v>
    <v>15.92</v>
    <v>5714777641</v>
    <v>SENTINELONE, INC.</v>
    <v>SENTINELONE, INC.</v>
    <v>16.425000000000001</v>
    <v>16.3</v>
    <v>16.6707</v>
    <v>342803700</v>
    <v>S</v>
    <v>SENTINELONE, INC. (XNYS:S)</v>
    <v>4930774</v>
    <v>9746634</v>
    <v>2013</v>
  </rv>
  <rv s="2">
    <v>237</v>
  </rv>
  <rv s="0">
    <v>https://www.bing.com/financeapi/forcetrigger?t=aftlr7&amp;q=XETR%3aSAP&amp;form=skydnc</v>
    <v>Learn more on Bing</v>
  </rv>
  <rv s="1">
    <v>en-GB</v>
    <v>aftlr7</v>
    <v>268435456</v>
    <v>1</v>
    <v>Powered by Refinitiv</v>
    <v>0</v>
    <v>SAP SE (XETR:SAP)</v>
    <v>2</v>
    <v>19</v>
    <v>Finance</v>
    <v>20</v>
    <v>273.55</v>
    <v>135.44</v>
    <v>1.109</v>
    <v>8.56</v>
    <v>5.4892999999999997E-2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165.56</v>
    <v>Software &amp; IT Services</v>
    <v>Stock</v>
    <v>46177.75</v>
    <v>239</v>
    <v>156.22</v>
    <v>262224200000</v>
    <v>SAP SE</v>
    <v>SAP SE</v>
    <v>156.22</v>
    <v>26.2151</v>
    <v>155.94</v>
    <v>164.5</v>
    <v>1228504000</v>
    <v>SAP</v>
    <v>SAP SE (XETR:SAP)</v>
    <v>3249594</v>
    <v>3038340</v>
    <v>2014</v>
  </rv>
  <rv s="2">
    <v>240</v>
  </rv>
  <rv s="0">
    <v>https://www.bing.com/financeapi/forcetrigger?t=a22n4c&amp;q=XNYS%3aSCHW&amp;form=skydnc</v>
    <v>Learn more on Bing</v>
  </rv>
  <rv s="1">
    <v>en-GB</v>
    <v>a22n4c</v>
    <v>268435456</v>
    <v>1</v>
    <v>Powered by Refinitiv</v>
    <v>0</v>
    <v>THE CHARLES SCHWAB CORPORATION (XNYS:SCHW)</v>
    <v>2</v>
    <v>3</v>
    <v>Finance</v>
    <v>4</v>
    <v>107.5</v>
    <v>83.96</v>
    <v>0.77349999999999997</v>
    <v>1.595</v>
    <v>1.8420000000000002E-2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88.49</v>
    <v>Investment Banking &amp; Investment Services</v>
    <v>Stock</v>
    <v>46177.811472349218</v>
    <v>242</v>
    <v>86.7</v>
    <v>153365619975</v>
    <v>THE CHARLES SCHWAB CORPORATION</v>
    <v>THE CHARLES SCHWAB CORPORATION</v>
    <v>87.46</v>
    <v>17.487300000000001</v>
    <v>86.59</v>
    <v>88.185000000000002</v>
    <v>1739135000</v>
    <v>SCHW</v>
    <v>THE CHARLES SCHWAB CORPORATION (XNYS:SCHW)</v>
    <v>7475070</v>
    <v>11195805</v>
    <v>1986</v>
  </rv>
  <rv s="2">
    <v>243</v>
  </rv>
  <rv s="0">
    <v>https://www.bing.com/financeapi/forcetrigger?t=aodipr&amp;q=XLON%3aSGE&amp;form=skydnc</v>
    <v>Learn more on Bing</v>
  </rv>
  <rv s="12">
    <v>en-GB</v>
    <v>aodipr</v>
    <v>268435456</v>
    <v>1</v>
    <v>Powered by Refinitiv</v>
    <v>27</v>
    <v>THE SAGE GROUP PLC. (XLON:SGE)</v>
    <v>2</v>
    <v>28</v>
    <v>Finance</v>
    <v>29</v>
    <v>1335</v>
    <v>771.66</v>
    <v>0.35360000000000003</v>
    <v>30</v>
    <v>1.8727000000000001E-2</v>
    <v>3.5161999999999999E-2</v>
    <v>16.54</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883.2</v>
    <v>Software &amp; IT Services</v>
    <v>Stock</v>
    <v>46177.660798611112</v>
    <v>245</v>
    <v>843.8</v>
    <v>10571700000</v>
    <v>THE SAGE GROUP PLC.</v>
    <v>THE SAGE GROUP PLC.</v>
    <v>843.8</v>
    <v>0</v>
    <v>853.2</v>
    <v>883.2</v>
    <v>899.74</v>
    <v>907731600</v>
    <v>SGE</v>
    <v>THE SAGE GROUP PLC. (XLON:SGE)</v>
    <v>5685871</v>
    <v>4917550</v>
    <v>1988</v>
  </rv>
  <rv s="2">
    <v>246</v>
  </rv>
  <rv s="0">
    <v>https://www.bing.com/financeapi/forcetrigger?t=c1db5r&amp;q=XNAS%3aSKYT&amp;form=skydnc</v>
    <v>Learn more on Bing</v>
  </rv>
  <rv s="1">
    <v>en-GB</v>
    <v>c1db5r</v>
    <v>268435456</v>
    <v>1</v>
    <v>Powered by Refinitiv</v>
    <v>0</v>
    <v>SKYWATER TECHNOLOGY, INC. (XNAS:SKYT)</v>
    <v>2</v>
    <v>3</v>
    <v>Finance</v>
    <v>4</v>
    <v>39.93</v>
    <v>8.18</v>
    <v>3.3250999999999999</v>
    <v>-0.38</v>
    <v>-9.9039999999999996E-3</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38.5</v>
    <v>Semiconductors &amp; Semiconductor Equipment</v>
    <v>Stock</v>
    <v>46177.811411539064</v>
    <v>248</v>
    <v>37.360799999999998</v>
    <v>1869282754</v>
    <v>SKYWATER TECHNOLOGY, INC.</v>
    <v>SKYWATER TECHNOLOGY, INC.</v>
    <v>37.44</v>
    <v>16.284500000000001</v>
    <v>38.369999999999997</v>
    <v>37.99</v>
    <v>49204600</v>
    <v>SKYT</v>
    <v>SKYWATER TECHNOLOGY, INC. (XNAS:SKYT)</v>
    <v>517676</v>
    <v>1188763</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1.8707</v>
    <v>-5.0000000000000001E-3</v>
    <v>-1.0540000000000001E-4</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47.84</v>
    <v>Computers, Phones &amp; Household Electronics</v>
    <v>Stock</v>
    <v>46177.811461932812</v>
    <v>251</v>
    <v>45.21</v>
    <v>28516258177</v>
    <v>SUPER MICRO COMPUTER, INC.</v>
    <v>SUPER MICRO COMPUTER, INC.</v>
    <v>45.26</v>
    <v>25.835000000000001</v>
    <v>47.42</v>
    <v>47.414999999999999</v>
    <v>601418500</v>
    <v>SMCI</v>
    <v>SUPER MICRO COMPUTER, INC. (XNAS:SMCI)</v>
    <v>26675872</v>
    <v>44596233</v>
    <v>2006</v>
  </rv>
  <rv s="2">
    <v>252</v>
  </rv>
  <rv s="0">
    <v>https://www.bing.com/financeapi/forcetrigger?t=a235f2&amp;q=XNAS%3aSMH&amp;form=skydnc</v>
    <v>Learn more on Bing</v>
  </rv>
  <rv s="7">
    <v>en-GB</v>
    <v>a235f2</v>
    <v>268435456</v>
    <v>1</v>
    <v>Powered by Refinitiv</v>
    <v>15</v>
    <v>VanEck:Semiconductor (XNAS:SMH)</v>
    <v>16</v>
    <v>17</v>
    <v>Finance</v>
    <v>18</v>
    <v>642.77</v>
    <v>248.36</v>
    <v>1.5567</v>
    <v>-5.18</v>
    <v>-8.1200000000000005E-3</v>
    <v>USD</v>
    <v>Nasdaq Stock Market</v>
    <v>XNAS</v>
    <v>3.4999999999999996E-3</v>
    <v>634.78</v>
    <v>ETF</v>
    <v>46177.811509606247</v>
    <v>254</v>
    <v>604.61</v>
    <v>67822489502.050003</v>
    <v>VanEck:Semiconductor</v>
    <v>613</v>
    <v>637.9</v>
    <v>632.72</v>
    <v>SMH</v>
    <v>VanEck:Semiconductor (XNAS:SMH)</v>
    <v>8590520</v>
    <v>9747630</v>
  </rv>
  <rv s="2">
    <v>255</v>
  </rv>
  <rv s="0">
    <v>https://www.bing.com/financeapi/forcetrigger?t=bx1rdm&amp;q=XNYS%3aSMR&amp;form=skydnc</v>
    <v>Learn more on Bing</v>
  </rv>
  <rv s="10">
    <v>en-GB</v>
    <v>bx1rdm</v>
    <v>268435456</v>
    <v>1</v>
    <v>Powered by Refinitiv</v>
    <v>23</v>
    <v>NUSCALE POWER CORPORATION (XNYS:SMR)</v>
    <v>2</v>
    <v>24</v>
    <v>Finance</v>
    <v>4</v>
    <v>57.42</v>
    <v>8.85</v>
    <v>2.2225000000000001</v>
    <v>-0.20499999999999999</v>
    <v>-1.6707E-2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12.3</v>
    <v>Electrical Utilities &amp; IPPs</v>
    <v>Stock</v>
    <v>46177.811473529684</v>
    <v>257</v>
    <v>11.83</v>
    <v>4409530678</v>
    <v>NUSCALE POWER CORPORATION</v>
    <v>NUSCALE POWER CORPORATION</v>
    <v>12.19</v>
    <v>12.27</v>
    <v>12.065</v>
    <v>365481200</v>
    <v>SMR</v>
    <v>NUSCALE POWER CORPORATION (XNYS:SMR)</v>
    <v>21547857</v>
    <v>33975201</v>
    <v>2022</v>
  </rv>
  <rv s="2">
    <v>258</v>
  </rv>
  <rv s="6">
    <v>en-GB</v>
    <v>cfwqww</v>
    <v>268435456</v>
    <v>1</v>
    <v>Powered by Refinitiv</v>
    <v>14</v>
    <v>SANDISK CORPORATION (XNAS:SNDK)</v>
    <v>11</v>
    <v>3</v>
    <v>Finance</v>
    <v>4</v>
    <v>1861</v>
    <v>37.33</v>
    <v>2.73</v>
    <v>-47.56</v>
    <v>-2.5968000000000001E-2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1825.9</v>
    <v>Computers, Phones &amp; Household Electronics</v>
    <v>Stock</v>
    <v>46177.811493830472</v>
    <v>1725.08</v>
    <v>264183317812</v>
    <v>SANDISK CORPORATION</v>
    <v>SANDISK CORPORATION</v>
    <v>1742.82</v>
    <v>63.068800000000003</v>
    <v>1831.5</v>
    <v>1783.94</v>
    <v>148089800</v>
    <v>SNDK</v>
    <v>SANDISK CORPORATION (XNAS:SNDK)</v>
    <v>9094372</v>
    <v>13879891</v>
    <v>2024</v>
  </rv>
  <rv s="2">
    <v>260</v>
  </rv>
  <rv s="0">
    <v>https://www.bing.com/financeapi/forcetrigger?t=bvlqa2&amp;q=XNYS%3aSNOW&amp;form=skydnc</v>
    <v>Learn more on Bing</v>
  </rv>
  <rv s="1">
    <v>en-GB</v>
    <v>bvlqa2</v>
    <v>268435456</v>
    <v>1</v>
    <v>Powered by Refinitiv</v>
    <v>0</v>
    <v>SNOWFLAKE INC. (XNYS:SNOW)</v>
    <v>2</v>
    <v>3</v>
    <v>Finance</v>
    <v>4</v>
    <v>284.99</v>
    <v>118.3</v>
    <v>1.3606</v>
    <v>5.375</v>
    <v>2.2277000000000002E-2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253.005</v>
    <v>Software &amp; IT Services</v>
    <v>Stock</v>
    <v>46177.811478633594</v>
    <v>262</v>
    <v>241.465</v>
    <v>60745624254</v>
    <v>SNOWFLAKE INC.</v>
    <v>SNOWFLAKE INC.</v>
    <v>244.3</v>
    <v>0</v>
    <v>241.28</v>
    <v>246.655</v>
    <v>346600000</v>
    <v>SNOW</v>
    <v>SNOWFLAKE INC. (XNYS:SNOW)</v>
    <v>7132011</v>
    <v>10675170</v>
    <v>2012</v>
  </rv>
  <rv s="2">
    <v>263</v>
  </rv>
  <rv s="0">
    <v>https://www.bing.com/financeapi/forcetrigger?t=a239hw&amp;q=XNAS%3aSNPS&amp;form=skydnc</v>
    <v>Learn more on Bing</v>
  </rv>
  <rv s="1">
    <v>en-GB</v>
    <v>a239hw</v>
    <v>268435456</v>
    <v>1</v>
    <v>Powered by Refinitiv</v>
    <v>0</v>
    <v>SYNOPSYS, INC. (XNAS:SNPS)</v>
    <v>2</v>
    <v>3</v>
    <v>Finance</v>
    <v>4</v>
    <v>651.73</v>
    <v>376.18</v>
    <v>1.2079</v>
    <v>-1.28</v>
    <v>-2.5700000000000002E-3</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500.35</v>
    <v>Software &amp; IT Services</v>
    <v>Stock</v>
    <v>46177.811439363279</v>
    <v>265</v>
    <v>485</v>
    <v>95115427482</v>
    <v>SYNOPSYS, INC.</v>
    <v>SYNOPSYS, INC.</v>
    <v>500.35</v>
    <v>115.122</v>
    <v>498.02</v>
    <v>496.74</v>
    <v>191479300</v>
    <v>SNPS</v>
    <v>SYNOPSYS, INC. (XNAS:SNPS)</v>
    <v>1331604</v>
    <v>1850606</v>
    <v>1987</v>
  </rv>
  <rv s="2">
    <v>266</v>
  </rv>
  <rv s="0">
    <v>https://www.bing.com/financeapi/forcetrigger?t=c62ogh&amp;q=XNAS%3aSOUN&amp;form=skydnc</v>
    <v>Learn more on Bing</v>
  </rv>
  <rv s="1">
    <v>en-GB</v>
    <v>c62ogh</v>
    <v>268435456</v>
    <v>1</v>
    <v>Powered by Refinitiv</v>
    <v>0</v>
    <v>SOUNDHOUND AI, INC. (XNAS:SOUN)</v>
    <v>2</v>
    <v>3</v>
    <v>Finance</v>
    <v>4</v>
    <v>22.17</v>
    <v>5.83</v>
    <v>2.7606999999999999</v>
    <v>0</v>
    <v>0</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8.26</v>
    <v>Software &amp; IT Services</v>
    <v>Stock</v>
    <v>46177.811495335154</v>
    <v>268</v>
    <v>8.06</v>
    <v>3496778368</v>
    <v>SOUNDHOUND AI, INC.</v>
    <v>SOUNDHOUND AI, INC.</v>
    <v>8.08</v>
    <v>0</v>
    <v>8.08</v>
    <v>8.08</v>
    <v>432769600</v>
    <v>SOUN</v>
    <v>SOUNDHOUND AI, INC. (XNAS:SOUN)</v>
    <v>13456082</v>
    <v>30858273</v>
    <v>2020</v>
  </rv>
  <rv s="2">
    <v>269</v>
  </rv>
  <rv s="0">
    <v>https://www.bing.com/financeapi/forcetrigger?t=a23bxm&amp;q=XNAS%3aSOXX&amp;form=skydnc</v>
    <v>Learn more on Bing</v>
  </rv>
  <rv s="7">
    <v>en-GB</v>
    <v>a23bxm</v>
    <v>268435456</v>
    <v>1</v>
    <v>Powered by Refinitiv</v>
    <v>15</v>
    <v>iShares:Semiconductor (XNAS:SOXX)</v>
    <v>16</v>
    <v>17</v>
    <v>Finance</v>
    <v>18</v>
    <v>618.84</v>
    <v>213.54</v>
    <v>1.7036</v>
    <v>-7.75</v>
    <v>-1.2587999999999998E-2</v>
    <v>USD</v>
    <v>Nasdaq Stock Market</v>
    <v>XNAS</v>
    <v>3.4000000000000002E-3</v>
    <v>611.26</v>
    <v>ETF</v>
    <v>46177.81149033516</v>
    <v>271</v>
    <v>577.54</v>
    <v>38373488686.160004</v>
    <v>iShares:Semiconductor</v>
    <v>587.98</v>
    <v>615.67999999999995</v>
    <v>607.92999999999995</v>
    <v>SOXX</v>
    <v>iShares:Semiconductor (XNAS:SOXX)</v>
    <v>9633549</v>
    <v>8113301</v>
  </rv>
  <rv s="2">
    <v>272</v>
  </rv>
  <rv s="0">
    <v>https://www.bing.com/financeapi/forcetrigger?t=a23hqh&amp;q=ARCX%3aSPY&amp;form=skydnc</v>
    <v>Learn more on Bing</v>
  </rv>
  <rv s="7">
    <v>en-GB</v>
    <v>a23hqh</v>
    <v>268435456</v>
    <v>1</v>
    <v>Powered by Refinitiv</v>
    <v>15</v>
    <v>State Street SPDR S&amp;P500 (ARCX:SPY)</v>
    <v>16</v>
    <v>17</v>
    <v>Finance</v>
    <v>18</v>
    <v>760.4</v>
    <v>591.04999999999995</v>
    <v>0.99709999999999999</v>
    <v>3.88</v>
    <v>5.1439999999999993E-3</v>
    <v>USD</v>
    <v>NYSE Arca</v>
    <v>ARCX</v>
    <v>9.4499999999999998E-4</v>
    <v>758.12990000000002</v>
    <v>ETF</v>
    <v>46177.811496180468</v>
    <v>274</v>
    <v>751.47</v>
    <v>783796407176.76001</v>
    <v>State Street SPDR S&amp;P500</v>
    <v>751.99</v>
    <v>754.24</v>
    <v>758.12</v>
    <v>SPY</v>
    <v>State Street SPDR S&amp;P500 (ARCX:SPY)</v>
    <v>32770844</v>
    <v>45559704</v>
  </rv>
  <rv s="2">
    <v>275</v>
  </rv>
  <rv s="0">
    <v>https://www.bing.com/financeapi/forcetrigger?t=a23tz2&amp;q=XNAS%3aSWKS&amp;form=skydnc</v>
    <v>Learn more on Bing</v>
  </rv>
  <rv s="1">
    <v>en-GB</v>
    <v>a23tz2</v>
    <v>268435456</v>
    <v>1</v>
    <v>Powered by Refinitiv</v>
    <v>0</v>
    <v>SKYWORKS SOLUTIONS, INC. (XNAS:SWKS)</v>
    <v>2</v>
    <v>3</v>
    <v>Finance</v>
    <v>4</v>
    <v>90.9</v>
    <v>51.93</v>
    <v>1.4748000000000001</v>
    <v>-0.24</v>
    <v>-2.9749999999999998E-3</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81.87</v>
    <v>Semiconductors &amp; Semiconductor Equipment</v>
    <v>Stock</v>
    <v>46177.811485856248</v>
    <v>277</v>
    <v>78.8</v>
    <v>12095642478</v>
    <v>SKYWORKS SOLUTIONS, INC.</v>
    <v>SKYWORKS SOLUTIONS, INC.</v>
    <v>79.540000000000006</v>
    <v>31.7715</v>
    <v>80.66</v>
    <v>80.42</v>
    <v>150405900</v>
    <v>SWKS</v>
    <v>SKYWORKS SOLUTIONS, INC. (XNAS:SWKS)</v>
    <v>2048752</v>
    <v>5523639</v>
    <v>2002</v>
  </rv>
  <rv s="2">
    <v>278</v>
  </rv>
  <rv s="0">
    <v>https://www.bing.com/financeapi/forcetrigger?t=bzwqf2&amp;q=XNAS%3aSYM&amp;form=skydnc</v>
    <v>Learn more on Bing</v>
  </rv>
  <rv s="1">
    <v>en-GB</v>
    <v>bzwqf2</v>
    <v>268435456</v>
    <v>1</v>
    <v>Powered by Refinitiv</v>
    <v>0</v>
    <v>SYMBOTIC INC. (XNAS:SYM)</v>
    <v>2</v>
    <v>3</v>
    <v>Finance</v>
    <v>4</v>
    <v>87.88</v>
    <v>27.26</v>
    <v>1.927</v>
    <v>0.12</v>
    <v>2.542E-3</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48.22</v>
    <v>Machinery, Equipment &amp; Components</v>
    <v>Stock</v>
    <v>46177.81152204844</v>
    <v>280</v>
    <v>46.07</v>
    <v>28526112844</v>
    <v>SYMBOTIC INC.</v>
    <v>SYMBOTIC INC.</v>
    <v>46.81</v>
    <v>0</v>
    <v>47.21</v>
    <v>47.33</v>
    <v>602706800</v>
    <v>SYM</v>
    <v>SYMBOTIC INC. (XNAS:SYM)</v>
    <v>1148858</v>
    <v>2528308</v>
    <v>2022</v>
  </rv>
  <rv s="2">
    <v>281</v>
  </rv>
  <rv s="6">
    <v>en-GB</v>
    <v>cd9jsm</v>
    <v>268435456</v>
    <v>1</v>
    <v>Powered by Refinitiv</v>
    <v>14</v>
    <v>TEMPUS AI, INC. (XNAS:TEM)</v>
    <v>11</v>
    <v>3</v>
    <v>Finance</v>
    <v>4</v>
    <v>104.32</v>
    <v>41.73</v>
    <v>3.11</v>
    <v>5.28</v>
    <v>0.11113400000000001</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53.97</v>
    <v>Biotechnology &amp; Medical Research</v>
    <v>Stock</v>
    <v>46177.81146931641</v>
    <v>46.69</v>
    <v>9479225792</v>
    <v>TEMPUS AI, INC.</v>
    <v>TEMPUS AI, INC.</v>
    <v>46.99</v>
    <v>0</v>
    <v>47.51</v>
    <v>52.79</v>
    <v>179564800</v>
    <v>TEM</v>
    <v>TEMPUS AI, INC. (XNAS:TEM)</v>
    <v>11362182</v>
    <v>6711333</v>
    <v>2025</v>
  </rv>
  <rv s="2">
    <v>283</v>
  </rv>
  <rv s="0">
    <v>https://www.bing.com/financeapi/forcetrigger?t=a244ur&amp;q=XNAS%3aTER&amp;form=skydnc</v>
    <v>Learn more on Bing</v>
  </rv>
  <rv s="1">
    <v>en-GB</v>
    <v>a244ur</v>
    <v>268435456</v>
    <v>1</v>
    <v>Powered by Refinitiv</v>
    <v>0</v>
    <v>TERADYNE, INC. (XNAS:TER)</v>
    <v>2</v>
    <v>3</v>
    <v>Finance</v>
    <v>4</v>
    <v>422.11</v>
    <v>81.069999999999993</v>
    <v>1.7836000000000001</v>
    <v>0.34</v>
    <v>8.2989999999999995E-4</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413.87</v>
    <v>Semiconductors &amp; Semiconductor Equipment</v>
    <v>Stock</v>
    <v>46177.81146759219</v>
    <v>285</v>
    <v>388.09</v>
    <v>64183867422</v>
    <v>TERADYNE, INC.</v>
    <v>TERADYNE, INC.</v>
    <v>395.56</v>
    <v>75.884200000000007</v>
    <v>409.67</v>
    <v>410.01</v>
    <v>156542200</v>
    <v>TER</v>
    <v>TERADYNE, INC. (XNAS:TER)</v>
    <v>1513308</v>
    <v>4172082</v>
    <v>1960</v>
  </rv>
  <rv s="2">
    <v>286</v>
  </rv>
  <rv s="0">
    <v>https://www.bing.com/financeapi/forcetrigger?t=a24kar&amp;q=XNAS%3aTSLA&amp;form=skydnc</v>
    <v>Learn more on Bing</v>
  </rv>
  <rv s="1">
    <v>en-GB</v>
    <v>a24kar</v>
    <v>268435456</v>
    <v>1</v>
    <v>Powered by Refinitiv</v>
    <v>0</v>
    <v>TESLA, INC. (XNAS:TSLA)</v>
    <v>2</v>
    <v>3</v>
    <v>Finance</v>
    <v>4</v>
    <v>498.83</v>
    <v>273.20999999999998</v>
    <v>1.8013999999999999</v>
    <v>-3.585</v>
    <v>-8.4609999999999998E-3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426.34989999999999</v>
    <v>Automobiles &amp; Auto Parts</v>
    <v>Stock</v>
    <v>46177.811517349219</v>
    <v>288</v>
    <v>417.16</v>
    <v>1577835988260</v>
    <v>TESLA, INC.</v>
    <v>TESLA, INC.</v>
    <v>419.59</v>
    <v>383.98230000000001</v>
    <v>423.7</v>
    <v>420.11500000000001</v>
    <v>3755724000</v>
    <v>TSLA</v>
    <v>TESLA, INC. (XNAS:TSLA)</v>
    <v>27619972</v>
    <v>51004605</v>
    <v>2024</v>
  </rv>
  <rv s="2">
    <v>289</v>
  </rv>
  <rv s="0">
    <v>https://www.bing.com/financeapi/forcetrigger?t=a24kjc&amp;q=XNYS%3aTSM&amp;form=skydnc</v>
    <v>Learn more on Bing</v>
  </rv>
  <rv s="1">
    <v>en-GB</v>
    <v>a24kjc</v>
    <v>268435456</v>
    <v>1</v>
    <v>Powered by Refinitiv</v>
    <v>0</v>
    <v>Taiwan Semiconductor Manufacturing Company Limited (XNYS:TSM)</v>
    <v>2</v>
    <v>30</v>
    <v>Finance</v>
    <v>4</v>
    <v>450.16359999999997</v>
    <v>200.38</v>
    <v>1.2743</v>
    <v>10.31</v>
    <v>2.3609000000000002E-2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448.01</v>
    <v>Semiconductors &amp; Semiconductor Equipment</v>
    <v>Stock</v>
    <v>46177.811502974218</v>
    <v>291</v>
    <v>427.3</v>
    <v>2264881331060</v>
    <v>Taiwan Semiconductor Manufacturing Company Limited</v>
    <v>Taiwan Semiconductor Manufacturing Company Limited</v>
    <v>429.99</v>
    <v>37.820099999999996</v>
    <v>436.69</v>
    <v>447</v>
    <v>25932370000</v>
    <v>TSM</v>
    <v>Taiwan Semiconductor Manufacturing Company Limited (XNYS:TSM)</v>
    <v>9010548</v>
    <v>12781388</v>
    <v>1987</v>
  </rv>
  <rv s="2">
    <v>292</v>
  </rv>
  <rv s="0">
    <v>https://www.bing.com/financeapi/forcetrigger?t=a24nyc&amp;q=XNYS%3aTWLO&amp;form=skydnc</v>
    <v>Learn more on Bing</v>
  </rv>
  <rv s="1">
    <v>en-GB</v>
    <v>a24nyc</v>
    <v>268435456</v>
    <v>1</v>
    <v>Powered by Refinitiv</v>
    <v>0</v>
    <v>TWILIO INC. (XNYS:TWLO)</v>
    <v>2</v>
    <v>3</v>
    <v>Finance</v>
    <v>4</v>
    <v>238.47989999999999</v>
    <v>91.84</v>
    <v>1.3563000000000001</v>
    <v>8.6</v>
    <v>3.7842000000000001E-2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238.47989999999999</v>
    <v>Software &amp; IT Services</v>
    <v>Stock</v>
    <v>46177.811482106248</v>
    <v>294</v>
    <v>222.62</v>
    <v>35797392054</v>
    <v>TWILIO INC.</v>
    <v>TWILIO INC.</v>
    <v>225.97</v>
    <v>366.64080000000001</v>
    <v>227.26</v>
    <v>235.86</v>
    <v>151773900</v>
    <v>TWLO</v>
    <v>TWILIO INC. (XNYS:TWLO)</v>
    <v>2578963</v>
    <v>3307809</v>
    <v>2008</v>
  </rv>
  <rv s="2">
    <v>295</v>
  </rv>
  <rv s="0">
    <v>https://www.bing.com/financeapi/forcetrigger?t=b19hc7&amp;q=XNYS%3aVRT&amp;form=skydnc</v>
    <v>Learn more on Bing</v>
  </rv>
  <rv s="1">
    <v>en-GB</v>
    <v>b19hc7</v>
    <v>268435456</v>
    <v>1</v>
    <v>Powered by Refinitiv</v>
    <v>0</v>
    <v>VERTIV HOLDINGS CO (XNYS:VRT)</v>
    <v>2</v>
    <v>3</v>
    <v>Finance</v>
    <v>4</v>
    <v>379.935</v>
    <v>107.38</v>
    <v>2.0344000000000002</v>
    <v>-5.53</v>
    <v>-1.6685000000000002E-2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326</v>
    <v>Machinery, Equipment &amp; Components</v>
    <v>Stock</v>
    <v>46177.811489339845</v>
    <v>297</v>
    <v>306</v>
    <v>125184899008</v>
    <v>VERTIV HOLDINGS CO</v>
    <v>VERTIV HOLDINGS CO</v>
    <v>320.01</v>
    <v>81.825299999999999</v>
    <v>331.44</v>
    <v>325.91000000000003</v>
    <v>384108800</v>
    <v>VRT</v>
    <v>VERTIV HOLDINGS CO (XNYS:VRT)</v>
    <v>4826799</v>
    <v>5610288</v>
    <v>2016</v>
  </rv>
  <rv s="2">
    <v>298</v>
  </rv>
  <rv s="0">
    <v>https://www.bing.com/financeapi/forcetrigger?t=a25rkr&amp;q=XNAS%3aWDAY&amp;form=skydnc</v>
    <v>Learn more on Bing</v>
  </rv>
  <rv s="1">
    <v>en-GB</v>
    <v>a25rkr</v>
    <v>268435456</v>
    <v>1</v>
    <v>Powered by Refinitiv</v>
    <v>0</v>
    <v>WORKDAY, INC. (XNAS:WDAY)</v>
    <v>2</v>
    <v>3</v>
    <v>Finance</v>
    <v>4</v>
    <v>257.08999999999997</v>
    <v>110.36</v>
    <v>1.0781000000000001</v>
    <v>1.9550000000000001</v>
    <v>1.3308E-2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153.47999999999999</v>
    <v>Software &amp; IT Services</v>
    <v>Stock</v>
    <v>46177.811484015627</v>
    <v>300</v>
    <v>148</v>
    <v>36767185000</v>
    <v>WORKDAY, INC.</v>
    <v>WORKDAY, INC.</v>
    <v>153</v>
    <v>46.4664</v>
    <v>146.9</v>
    <v>148.85499999999999</v>
    <v>247000000</v>
    <v>WDAY</v>
    <v>WORKDAY, INC. (XNAS:WDAY)</v>
    <v>2573630</v>
    <v>5480958</v>
    <v>2012</v>
  </rv>
  <rv s="2">
    <v>301</v>
  </rv>
  <rv s="0">
    <v>https://www.bing.com/financeapi/forcetrigger?t=azbtyc&amp;q=XNAS%3aZS&amp;form=skydnc</v>
    <v>Learn more on Bing</v>
  </rv>
  <rv s="1">
    <v>en-GB</v>
    <v>azbtyc</v>
    <v>268435456</v>
    <v>1</v>
    <v>Powered by Refinitiv</v>
    <v>0</v>
    <v>ZSCALER, INC. (XNAS:ZS)</v>
    <v>2</v>
    <v>3</v>
    <v>Finance</v>
    <v>4</v>
    <v>336.99</v>
    <v>114.625</v>
    <v>0.96579999999999999</v>
    <v>1.825</v>
    <v>1.3582E-2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137.5</v>
    <v>Software &amp; IT Services</v>
    <v>Stock</v>
    <v>46177.811507997656</v>
    <v>303</v>
    <v>132.5</v>
    <v>22024025352</v>
    <v>ZSCALER, INC.</v>
    <v>ZSCALER, INC.</v>
    <v>136.03</v>
    <v>0</v>
    <v>134.37</v>
    <v>136.19499999999999</v>
    <v>161709500</v>
    <v>ZS</v>
    <v>ZSCALER, INC. (XNAS:ZS)</v>
    <v>3322603</v>
    <v>6162261</v>
    <v>2007</v>
  </rv>
  <rv s="2">
    <v>304</v>
  </rv>
  <rv s="13">
    <v>en-GB</v>
    <v>avyu4c</v>
    <v>268435456</v>
    <v>1</v>
    <v>Powered by Refinitiv</v>
    <v>31</v>
    <v>USD/GBP</v>
    <v>32</v>
    <v>33</v>
    <v>Finance</v>
    <v>34</v>
    <v>0.76859999999999995</v>
    <v>0.72099999999999997</v>
    <v>-4.8700000000000002E-4</v>
    <v>-6.535E-4</v>
    <v>GBP</v>
    <v>USD</v>
    <v>0.74560000000000004</v>
    <v>Currency Pair</v>
    <v>46177.811412037037</v>
    <v>0.74280000000000002</v>
    <v>US Dollar/UK Pound Sterling FX Cross Rate</v>
    <v>0.74509999999999998</v>
    <v>0.74519999999999997</v>
    <v>0.74470000000000003</v>
    <v>USDGBP</v>
    <v>USD/GBP</v>
  </rv>
  <rv s="2">
    <v>306</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v>
      <v>2</v>
      <v>1</v>
      <v>3</v>
      <v>1</v>
      <v>1</v>
      <v>1</v>
      <v>4</v>
      <v>4</v>
      <v>5</v>
      <v>6</v>
      <v>1</v>
      <v>1</v>
      <v>1</v>
      <v>4</v>
      <v>7</v>
      <v>8</v>
      <v>9</v>
      <v>4</v>
    </spb>
    <spb s="0">
      <v>7</v>
      <v>Name</v>
      <v>LearnMoreOnLink</v>
    </spb>
    <spb s="18">
      <v>13</v>
      <v>2</v>
      <v>2</v>
      <v>13</v>
      <v>3</v>
      <v>13</v>
      <v>13</v>
      <v>13</v>
      <v>4</v>
      <v>4</v>
      <v>5</v>
      <v>6</v>
      <v>13</v>
      <v>4</v>
      <v>7</v>
      <v>8</v>
      <v>9</v>
      <v>4</v>
    </spb>
    <spb s="0">
      <v>8</v>
      <v>Name</v>
      <v>LearnMoreOnLink</v>
    </spb>
    <spb s="19">
      <v>15</v>
      <v>2</v>
      <v>2</v>
      <v>15</v>
      <v>3</v>
      <v>15</v>
      <v>15</v>
      <v>15</v>
      <v>4</v>
      <v>4</v>
      <v>5</v>
      <v>16</v>
      <v>15</v>
      <v>15</v>
      <v>15</v>
      <v>4</v>
      <v>7</v>
      <v>8</v>
      <v>9</v>
      <v>4</v>
      <v>15</v>
      <v>15</v>
      <v>5</v>
    </spb>
    <spb s="20">
      <v>at close</v>
      <v>from previous close</v>
      <v>from previous close</v>
      <v>LSE</v>
      <v>GMT</v>
      <v>Delayed 15 minutes</v>
      <v>from close</v>
      <v>from close</v>
    </spb>
    <spb s="3">
      <v>1</v>
      <v>2</v>
      <v>2</v>
      <v>1</v>
      <v>3</v>
      <v>1</v>
      <v>1</v>
      <v>1</v>
      <v>4</v>
      <v>4</v>
      <v>5</v>
      <v>17</v>
      <v>1</v>
      <v>1</v>
      <v>1</v>
      <v>4</v>
      <v>7</v>
      <v>8</v>
      <v>9</v>
      <v>4</v>
    </spb>
    <spb s="9">
      <v>9</v>
      <v>Name</v>
    </spb>
    <spb s="21">
      <v>1</v>
      <v>1</v>
    </spb>
    <spb s="22">
      <v>18</v>
      <v>18</v>
      <v>3</v>
      <v>18</v>
      <v>18</v>
      <v>18</v>
      <v>5</v>
      <v>18</v>
      <v>18</v>
      <v>18</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_-[$NT$-zh-TW]* #,##0_-;-[$NT$-zh-TW]* #,##0_-;_-[$NT$-zh-TW]*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7"/>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6">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5">
      <calculatedColumnFormula array="1">_FV(B2,"Price")</calculatedColumnFormula>
    </tableColumn>
    <tableColumn id="6" xr3:uid="{00000000-0010-0000-0000-000006000000}" name="ChangePercent" dataDxfId="24">
      <calculatedColumnFormula array="1">_FV(B2,"Change (%)",TRUE)</calculatedColumnFormula>
    </tableColumn>
    <tableColumn id="7" xr3:uid="{00000000-0010-0000-0000-000007000000}" name="Change" dataDxfId="23">
      <calculatedColumnFormula array="1">_FV(B2,"Change")</calculatedColumnFormula>
    </tableColumn>
    <tableColumn id="8" xr3:uid="{00000000-0010-0000-0000-000008000000}" name="P/E" dataDxfId="22">
      <calculatedColumnFormula array="1">_FV(B2,"P/E",TRUE)</calculatedColumnFormula>
    </tableColumn>
    <tableColumn id="9" xr3:uid="{00000000-0010-0000-0000-000009000000}" name="Beta" dataDxfId="21">
      <calculatedColumnFormula array="1">_FV(B2,"Beta")</calculatedColumnFormula>
    </tableColumn>
    <tableColumn id="10" xr3:uid="{00000000-0010-0000-0000-00000A000000}" name="52WkHigh" dataDxfId="20">
      <calculatedColumnFormula array="1">_FV(B2,"52 week high",TRUE)</calculatedColumnFormula>
    </tableColumn>
    <tableColumn id="11" xr3:uid="{00000000-0010-0000-0000-00000B000000}" name="52WkLow" dataDxfId="19">
      <calculatedColumnFormula array="1">_FV(B2,"52 week low",TRUE)</calculatedColumnFormula>
    </tableColumn>
    <tableColumn id="12" xr3:uid="{00000000-0010-0000-0000-00000C000000}" name="DayHigh" dataDxfId="18">
      <calculatedColumnFormula array="1">_FV(B2,"High")</calculatedColumnFormula>
    </tableColumn>
    <tableColumn id="13" xr3:uid="{00000000-0010-0000-0000-00000D000000}" name="DayLow" dataDxfId="17">
      <calculatedColumnFormula array="1">_FV(B2,"Low")</calculatedColumnFormula>
    </tableColumn>
    <tableColumn id="14" xr3:uid="{00000000-0010-0000-0000-00000E000000}" name="Open" dataDxfId="16">
      <calculatedColumnFormula array="1">_FV(B2,"Open")</calculatedColumnFormula>
    </tableColumn>
    <tableColumn id="15" xr3:uid="{00000000-0010-0000-0000-00000F000000}" name="PreviousClose" dataDxfId="15">
      <calculatedColumnFormula array="1">_FV(B2,"Previous close",TRUE)</calculatedColumnFormula>
    </tableColumn>
    <tableColumn id="16" xr3:uid="{00000000-0010-0000-0000-000010000000}" name="Volume" dataDxfId="14">
      <calculatedColumnFormula array="1">_FV(B2,"Volume")</calculatedColumnFormula>
    </tableColumn>
    <tableColumn id="17" xr3:uid="{00000000-0010-0000-0000-000011000000}" name="AverageVolume" dataDxfId="13">
      <calculatedColumnFormula array="1">_FV(B2,"Volume average",TRUE)</calculatedColumnFormula>
    </tableColumn>
    <tableColumn id="18" xr3:uid="{00000000-0010-0000-0000-000012000000}" name="YearIncorported" dataDxfId="12">
      <calculatedColumnFormula array="1">_FV(B2,"Year incorporated",TRUE)</calculatedColumnFormula>
    </tableColumn>
    <tableColumn id="19" xr3:uid="{00000000-0010-0000-0000-000013000000}" name="Employees" dataDxfId="11">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10">
      <calculatedColumnFormula array="1">_FV(B2,"Market cap",TRUE)</calculatedColumnFormula>
    </tableColumn>
    <tableColumn id="22" xr3:uid="{00000000-0010-0000-0000-000016000000}" name="SharesOutstanding" dataDxfId="9">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44" dataDxfId="43" tableBorderDxfId="42">
  <autoFilter ref="A1:N10" xr:uid="{D39CE96F-8D2C-4A60-A43A-B3602E27FDC2}"/>
  <tableColumns count="14">
    <tableColumn id="1" xr3:uid="{AE3CE10F-629F-414E-93DE-8949C4E58E7D}" name="Symbol" dataDxfId="41"/>
    <tableColumn id="2" xr3:uid="{40700DF4-EB97-4DB9-BA32-772C3F8E34CC}" name="StockName" dataDxfId="40"/>
    <tableColumn id="3" xr3:uid="{BED1527E-0498-4FF1-8E69-ECDB2EB30C25}" name="TradeCurrency" dataDxfId="39">
      <calculatedColumnFormula>_FV(B2,"Currency")</calculatedColumnFormula>
    </tableColumn>
    <tableColumn id="4" xr3:uid="{2218CAC2-8A57-48EA-B1D3-CD7E0BA08ECA}" name="TotalBought" dataDxfId="38"/>
    <tableColumn id="5" xr3:uid="{77160EAF-769F-4559-B5AE-C08A0AC76566}" name="TotalSold" dataDxfId="37"/>
    <tableColumn id="6" xr3:uid="{324BA50C-3A95-4946-A384-C4EF731BD7F3}" name="NetPosition" dataDxfId="36"/>
    <tableColumn id="7" xr3:uid="{24A211AE-9FE1-4D72-98D4-96F240F7DCFD}" name="AvgCost" dataDxfId="35"/>
    <tableColumn id="8" xr3:uid="{E1C8BF44-8957-447E-B3C1-A76A00A619B8}" name="AvgBuyCost" dataDxfId="34">
      <calculatedColumnFormula>F2*G2</calculatedColumnFormula>
    </tableColumn>
    <tableColumn id="9" xr3:uid="{73ED87C5-FB66-49D5-B1EF-4BE32DC6D51F}" name="StockPrice" dataDxfId="33">
      <calculatedColumnFormula>_FV(B2,"Price")</calculatedColumnFormula>
    </tableColumn>
    <tableColumn id="10" xr3:uid="{1E08B942-A194-43F5-A7DB-404EC54A5C02}" name="FXRate" dataDxfId="32">
      <calculatedColumnFormula>Config!$C$1</calculatedColumnFormula>
    </tableColumn>
    <tableColumn id="14" xr3:uid="{42171935-FB72-4173-A1EB-132DDE8201DD}" name="ChangePercent" dataDxfId="31">
      <calculatedColumnFormula array="1">_FV(B2,"Change (%)",TRUE)</calculatedColumnFormula>
    </tableColumn>
    <tableColumn id="11" xr3:uid="{96D6E4C8-F5BD-4A3E-88A2-BF403C882136}" name="MarketValue" dataDxfId="30">
      <calculatedColumnFormula>F2*I2*J2</calculatedColumnFormula>
    </tableColumn>
    <tableColumn id="12" xr3:uid="{E928C781-D2C4-42A1-A053-38B541581BCB}" name="P&amp;L" dataDxfId="29">
      <calculatedColumnFormula>L2-H2</calculatedColumnFormula>
    </tableColumn>
    <tableColumn id="13" xr3:uid="{53BE744D-B35A-4E6B-8EA9-E422203F974E}" name="P&amp;LPercent" dataDxfId="28">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7" sqref="A7"/>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602</v>
      </c>
      <c r="B2">
        <v>0</v>
      </c>
      <c r="C2">
        <v>11.84</v>
      </c>
      <c r="D2">
        <v>19.654800000000002</v>
      </c>
      <c r="E2">
        <v>27.814800000000002</v>
      </c>
      <c r="G2" t="s">
        <v>458</v>
      </c>
      <c r="H2">
        <v>6833.0347999999976</v>
      </c>
      <c r="I2" s="4">
        <v>0.31723937685273945</v>
      </c>
    </row>
    <row r="3" spans="1:9">
      <c r="A3" t="s">
        <v>603</v>
      </c>
      <c r="B3">
        <v>12000</v>
      </c>
      <c r="C3">
        <v>21527.21</v>
      </c>
      <c r="D3">
        <v>28153.17</v>
      </c>
      <c r="E3">
        <v>28344.269999999997</v>
      </c>
      <c r="G3" t="s">
        <v>456</v>
      </c>
      <c r="H3">
        <v>12199.26</v>
      </c>
    </row>
    <row r="4" spans="1:9">
      <c r="A4" t="s">
        <v>604</v>
      </c>
      <c r="B4">
        <v>20000</v>
      </c>
      <c r="G4" t="s">
        <v>457</v>
      </c>
      <c r="H4">
        <f>+E5</f>
        <v>28372.084799999997</v>
      </c>
    </row>
    <row r="5" spans="1:9">
      <c r="A5" t="s">
        <v>605</v>
      </c>
      <c r="B5">
        <f>SUM(CONTRIBUTIONS!B2:B1048576)</f>
        <v>33738.31</v>
      </c>
      <c r="C5">
        <v>21539.05</v>
      </c>
      <c r="D5">
        <v>28172.824799999999</v>
      </c>
      <c r="E5">
        <v>28372.084799999997</v>
      </c>
      <c r="G5" t="s">
        <v>459</v>
      </c>
      <c r="H5" t="s">
        <v>460</v>
      </c>
      <c r="I5" t="s">
        <v>460</v>
      </c>
    </row>
    <row r="6" spans="1:9">
      <c r="A6" t="s">
        <v>606</v>
      </c>
      <c r="B6">
        <v>70</v>
      </c>
    </row>
    <row r="7" spans="1:9">
      <c r="D7">
        <f>+C5/D9</f>
        <v>0.40081368394354044</v>
      </c>
      <c r="G7" t="s">
        <v>461</v>
      </c>
      <c r="H7">
        <f>+H4+H3</f>
        <v>40571.344799999999</v>
      </c>
    </row>
    <row r="9" spans="1:9">
      <c r="A9" s="33" t="s">
        <v>446</v>
      </c>
      <c r="B9" s="34">
        <v>8.16</v>
      </c>
      <c r="C9">
        <f>SUM(B7:B7)</f>
        <v>0</v>
      </c>
      <c r="D9">
        <f>+B5+B4</f>
        <v>53738.31</v>
      </c>
    </row>
    <row r="10" spans="1:9">
      <c r="A10" s="32" t="s">
        <v>322</v>
      </c>
      <c r="B10" s="35">
        <v>191.1</v>
      </c>
    </row>
    <row r="11" spans="1:9">
      <c r="A11" t="s">
        <v>596</v>
      </c>
      <c r="B11">
        <v>10000</v>
      </c>
      <c r="F11" t="s">
        <v>597</v>
      </c>
    </row>
    <row r="12" spans="1:9">
      <c r="B12">
        <f>SUM(B9:B11)</f>
        <v>10199.26</v>
      </c>
      <c r="C12">
        <f>SUM(C2:C3)</f>
        <v>21539.05</v>
      </c>
      <c r="F12" t="s">
        <v>598</v>
      </c>
    </row>
    <row r="13" spans="1:9">
      <c r="C13">
        <f>SUM(B7:B7)</f>
        <v>0</v>
      </c>
      <c r="D13">
        <f>+SUM(C12:C13)</f>
        <v>21539.05</v>
      </c>
      <c r="E13">
        <f>+C5/D13</f>
        <v>1</v>
      </c>
      <c r="F13" t="s">
        <v>599</v>
      </c>
    </row>
    <row r="14" spans="1:9">
      <c r="F14" t="s">
        <v>600</v>
      </c>
    </row>
    <row r="15" spans="1:9">
      <c r="F15" t="s">
        <v>601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607</v>
      </c>
      <c r="B1" t="s">
        <v>608</v>
      </c>
      <c r="C1" t="s">
        <v>609</v>
      </c>
      <c r="D1" t="s">
        <v>602</v>
      </c>
      <c r="E1" t="s">
        <v>605</v>
      </c>
      <c r="F1" t="s">
        <v>610</v>
      </c>
      <c r="G1" t="s">
        <v>611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73</v>
      </c>
      <c r="B2" t="e" vm="1">
        <v>#VALUE!</v>
      </c>
      <c r="C2" s="2">
        <f t="array" aca="1" ref="C2" ca="1">_FV(B2,"Last trade time",TRUE)</f>
        <v>46177.81135984922</v>
      </c>
      <c r="D2" t="str">
        <f t="array" aca="1" ref="D2" ca="1">_FV(B2,"Currency")</f>
        <v>USD</v>
      </c>
      <c r="E2" s="3">
        <f t="array" aca="1" ref="E2" ca="1">_FV(B2,"Price")</f>
        <v>205.52</v>
      </c>
      <c r="F2" s="4">
        <f t="array" aca="1" ref="F2" ca="1">_FV(B2,"Change (%)",TRUE)</f>
        <v>0.116532</v>
      </c>
      <c r="G2" s="5">
        <f t="array" aca="1" ref="G2" ca="1">_FV(B2,"Change")</f>
        <v>21.45</v>
      </c>
      <c r="H2" s="6">
        <f t="array" aca="1" ref="H2" ca="1">_FV(B2,"P/E",TRUE)</f>
        <v>0</v>
      </c>
      <c r="I2" s="6">
        <f t="array" aca="1" ref="I2" ca="1">_FV(B2,"Beta")</f>
        <v>3.6577000000000002</v>
      </c>
      <c r="J2" s="3">
        <f t="array" aca="1" ref="J2" ca="1">_FV(B2,"52 week high",TRUE)</f>
        <v>233.67</v>
      </c>
      <c r="K2" s="3">
        <f t="array" aca="1" ref="K2" ca="1">_FV(B2,"52 week low",TRUE)</f>
        <v>15.29</v>
      </c>
      <c r="L2" s="3">
        <f t="array" aca="1" ref="L2" ca="1">_FV(B2,"High")</f>
        <v>207.4</v>
      </c>
      <c r="M2" s="3">
        <f t="array" aca="1" ref="M2" ca="1">_FV(B2,"Low")</f>
        <v>171.09200000000001</v>
      </c>
      <c r="N2" s="3">
        <f t="array" aca="1" ref="N2" ca="1">_FV(B2,"Open")</f>
        <v>173.71</v>
      </c>
      <c r="O2" s="3">
        <f t="array" aca="1" ref="O2" ca="1">_FV(B2,"Previous close",TRUE)</f>
        <v>184.07</v>
      </c>
      <c r="P2" s="7">
        <f t="array" aca="1" ref="P2" ca="1">_FV(B2,"Volume")</f>
        <v>11464719</v>
      </c>
      <c r="Q2" s="7">
        <f t="array" aca="1" ref="Q2" ca="1">_FV(B2,"Volume average",TRUE)</f>
        <v>12025936</v>
      </c>
      <c r="R2" s="8">
        <f t="array" aca="1" ref="R2" ca="1">_FV(B2,"Year incorporated",TRUE)</f>
        <v>2013</v>
      </c>
      <c r="S2" s="7">
        <f t="array" aca="1" ref="S2" ca="1">_FV(B2,"Employees")</f>
        <v>4691</v>
      </c>
      <c r="T2" t="str">
        <f t="array" aca="1" ref="T2" ca="1">_FV(B2,"Industry")</f>
        <v>Electronic Equipment &amp; Parts</v>
      </c>
      <c r="U2" s="7">
        <f t="array" aca="1" ref="U2" ca="1">_FV(B2,"Market cap",TRUE)</f>
        <v>16491494090</v>
      </c>
      <c r="V2" s="7">
        <f t="array" aca="1" ref="V2" ca="1">_FV(B2,"Shares outstanding",TRUE)</f>
        <v>80242770</v>
      </c>
    </row>
    <row r="3" spans="1:31">
      <c r="A3" t="s">
        <v>35</v>
      </c>
      <c r="B3" t="e" vm="2">
        <v>#VALUE!</v>
      </c>
      <c r="C3" s="2">
        <f t="array" aca="1" ref="C3" ca="1">_FV(B3,"Last trade time",TRUE)</f>
        <v>46177.811375995312</v>
      </c>
      <c r="D3" t="str">
        <f t="array" aca="1" ref="D3" ca="1">_FV(B3,"Currency")</f>
        <v>USD</v>
      </c>
      <c r="E3" s="3">
        <f t="array" aca="1" ref="E3" ca="1">_FV(B3,"Price")</f>
        <v>311.88499999999999</v>
      </c>
      <c r="F3" s="4">
        <f t="array" aca="1" ref="F3" ca="1">_FV(B3,"Change (%)",TRUE)</f>
        <v>5.2380000000000005E-3</v>
      </c>
      <c r="G3" s="5">
        <f t="array" aca="1" ref="G3" ca="1">_FV(B3,"Change")</f>
        <v>1.625</v>
      </c>
      <c r="H3" s="6">
        <f t="array" aca="1" ref="H3" ca="1">_FV(B3,"P/E",TRUE)</f>
        <v>37.878599999999999</v>
      </c>
      <c r="I3" s="6">
        <f t="array" aca="1" ref="I3" ca="1">_FV(B3,"Beta")</f>
        <v>1.0865</v>
      </c>
      <c r="J3" s="3">
        <f t="array" aca="1" ref="J3" ca="1">_FV(B3,"52 week high",TRUE)</f>
        <v>316.94</v>
      </c>
      <c r="K3" s="3">
        <f t="array" aca="1" ref="K3" ca="1">_FV(B3,"52 week low",TRUE)</f>
        <v>195.07</v>
      </c>
      <c r="L3" s="3">
        <f t="array" aca="1" ref="L3" ca="1">_FV(B3,"High")</f>
        <v>313.54000000000002</v>
      </c>
      <c r="M3" s="3">
        <f t="array" aca="1" ref="M3" ca="1">_FV(B3,"Low")</f>
        <v>309.64999999999998</v>
      </c>
      <c r="N3" s="3">
        <f t="array" aca="1" ref="N3" ca="1">_FV(B3,"Open")</f>
        <v>313.13</v>
      </c>
      <c r="O3" s="3">
        <f t="array" aca="1" ref="O3" ca="1">_FV(B3,"Previous close",TRUE)</f>
        <v>310.26</v>
      </c>
      <c r="P3" s="7">
        <f t="array" aca="1" ref="P3" ca="1">_FV(B3,"Volume")</f>
        <v>24586891</v>
      </c>
      <c r="Q3" s="7">
        <f t="array" aca="1" ref="Q3" ca="1">_FV(B3,"Volume average",TRUE)</f>
        <v>49896154</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4580767273600</v>
      </c>
      <c r="V3" s="7">
        <f t="array" aca="1" ref="V3" ca="1">_FV(B3,"Shares outstanding",TRUE)</f>
        <v>14687360000</v>
      </c>
    </row>
    <row r="4" spans="1:31">
      <c r="A4" t="s">
        <v>19</v>
      </c>
      <c r="B4" t="e" vm="3">
        <v>#VALUE!</v>
      </c>
      <c r="C4" s="2">
        <f t="array" aca="1" ref="C4" ca="1">_FV(B4,"Last trade time",TRUE)</f>
        <v>46177.811375798439</v>
      </c>
      <c r="D4" t="str">
        <f t="array" aca="1" ref="D4" ca="1">_FV(B4,"Currency")</f>
        <v>USD</v>
      </c>
      <c r="E4" s="3">
        <f t="array" aca="1" ref="E4" ca="1">_FV(B4,"Price")</f>
        <v>259.55</v>
      </c>
      <c r="F4" s="4">
        <f t="array" aca="1" ref="F4" ca="1">_FV(B4,"Change (%)",TRUE)</f>
        <v>1.2918000000000001E-2</v>
      </c>
      <c r="G4" s="5">
        <f t="array" aca="1" ref="G4" ca="1">_FV(B4,"Change")</f>
        <v>3.31</v>
      </c>
      <c r="H4" s="6">
        <f t="array" aca="1" ref="H4" ca="1">_FV(B4,"P/E",TRUE)</f>
        <v>15.127700000000001</v>
      </c>
      <c r="I4" s="6">
        <f t="array" aca="1" ref="I4" ca="1">_FV(B4,"Beta")</f>
        <v>1.4017999999999999</v>
      </c>
      <c r="J4" s="3">
        <f t="array" aca="1" ref="J4" ca="1">_FV(B4,"52 week high",TRUE)</f>
        <v>421.48</v>
      </c>
      <c r="K4" s="3">
        <f t="array" aca="1" ref="K4" ca="1">_FV(B4,"52 week low",TRUE)</f>
        <v>224.13</v>
      </c>
      <c r="L4" s="3">
        <f t="array" aca="1" ref="L4" ca="1">_FV(B4,"High")</f>
        <v>265.94</v>
      </c>
      <c r="M4" s="3">
        <f t="array" aca="1" ref="M4" ca="1">_FV(B4,"Low")</f>
        <v>258.83999999999997</v>
      </c>
      <c r="N4" s="3">
        <f t="array" aca="1" ref="N4" ca="1">_FV(B4,"Open")</f>
        <v>263.77999999999997</v>
      </c>
      <c r="O4" s="3">
        <f t="array" aca="1" ref="O4" ca="1">_FV(B4,"Previous close",TRUE)</f>
        <v>256.24</v>
      </c>
      <c r="P4" s="7">
        <f t="array" aca="1" ref="P4" ca="1">_FV(B4,"Volume")</f>
        <v>3211287</v>
      </c>
      <c r="Q4" s="7">
        <f t="array" aca="1" ref="Q4" ca="1">_FV(B4,"Volume average",TRUE)</f>
        <v>4836151</v>
      </c>
      <c r="R4" s="8">
        <f t="array" aca="1" ref="R4" ca="1">_FV(B4,"Year incorporated",TRUE)</f>
        <v>1997</v>
      </c>
      <c r="S4" s="7">
        <f t="array" aca="1" ref="S4" ca="1">_FV(B4,"Employees")</f>
        <v>31360</v>
      </c>
      <c r="T4" t="str">
        <f t="array" aca="1" ref="T4" ca="1">_FV(B4,"Industry")</f>
        <v>Software &amp; IT Services</v>
      </c>
      <c r="U4" s="7">
        <f t="array" aca="1" ref="U4" ca="1">_FV(B4,"Market cap",TRUE)</f>
        <v>104910110000</v>
      </c>
      <c r="V4" s="7">
        <f t="array" aca="1" ref="V4" ca="1">_FV(B4,"Shares outstanding",TRUE)</f>
        <v>404200000</v>
      </c>
    </row>
    <row r="5" spans="1:31">
      <c r="A5" t="s">
        <v>75</v>
      </c>
      <c r="B5" t="e" vm="4">
        <v>#VALUE!</v>
      </c>
      <c r="C5" s="2">
        <f t="array" aca="1" ref="C5" ca="1">_FV(B5,"Last trade time",TRUE)</f>
        <v>46177.811385346875</v>
      </c>
      <c r="D5" t="str">
        <f t="array" aca="1" ref="D5" ca="1">_FV(B5,"Currency")</f>
        <v>USD</v>
      </c>
      <c r="E5" s="3">
        <f t="array" aca="1" ref="E5" ca="1">_FV(B5,"Price")</f>
        <v>118.5</v>
      </c>
      <c r="F5" s="4">
        <f t="array" aca="1" ref="F5" ca="1">_FV(B5,"Change (%)",TRUE)</f>
        <v>3.4122E-2</v>
      </c>
      <c r="G5" s="5">
        <f t="array" aca="1" ref="G5" ca="1">_FV(B5,"Change")</f>
        <v>3.91</v>
      </c>
      <c r="H5" s="6">
        <f t="array" aca="1" ref="H5" ca="1">_FV(B5,"P/E",TRUE)</f>
        <v>0</v>
      </c>
      <c r="I5" s="6">
        <f t="array" aca="1" ref="I5" ca="1">_FV(B5,"Beta")</f>
        <v>3.1621999999999999</v>
      </c>
      <c r="J5" s="3">
        <f t="array" aca="1" ref="J5" ca="1">_FV(B5,"52 week high",TRUE)</f>
        <v>121.8</v>
      </c>
      <c r="K5" s="3">
        <f t="array" aca="1" ref="K5" ca="1">_FV(B5,"52 week low",TRUE)</f>
        <v>10.27</v>
      </c>
      <c r="L5" s="3">
        <f t="array" aca="1" ref="L5" ca="1">_FV(B5,"High")</f>
        <v>119</v>
      </c>
      <c r="M5" s="3">
        <f t="array" aca="1" ref="M5" ca="1">_FV(B5,"Low")</f>
        <v>103.18</v>
      </c>
      <c r="N5" s="3">
        <f t="array" aca="1" ref="N5" ca="1">_FV(B5,"Open")</f>
        <v>105.34</v>
      </c>
      <c r="O5" s="3">
        <f t="array" aca="1" ref="O5" ca="1">_FV(B5,"Previous close",TRUE)</f>
        <v>114.59</v>
      </c>
      <c r="P5" s="7">
        <f t="array" aca="1" ref="P5" ca="1">_FV(B5,"Volume")</f>
        <v>1442749</v>
      </c>
      <c r="Q5" s="7">
        <f t="array" aca="1" ref="Q5" ca="1">_FV(B5,"Volume average",TRUE)</f>
        <v>2571348</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3727210125</v>
      </c>
      <c r="V5" s="7">
        <f t="array" aca="1" ref="V5" ca="1">_FV(B5,"Shares outstanding",TRUE)</f>
        <v>31453250</v>
      </c>
    </row>
    <row r="6" spans="1:31">
      <c r="A6" t="s">
        <v>56</v>
      </c>
      <c r="B6" t="e" vm="5">
        <v>#VALUE!</v>
      </c>
      <c r="C6" s="2">
        <f t="array" aca="1" ref="C6" ca="1">_FV(B6,"Last trade time",TRUE)</f>
        <v>46177.767052974217</v>
      </c>
      <c r="D6" t="str">
        <f t="array" aca="1" ref="D6" ca="1">_FV(B6,"Currency")</f>
        <v>CAD</v>
      </c>
      <c r="E6" s="3">
        <f t="array" aca="1" ref="E6" ca="1">_FV(B6,"Price")</f>
        <v>11.75</v>
      </c>
      <c r="F6" s="4">
        <f t="array" aca="1" ref="F6" ca="1">_FV(B6,"Change (%)",TRUE)</f>
        <v>6.855E-3</v>
      </c>
      <c r="G6" s="5">
        <f t="array" aca="1" ref="G6" ca="1">_FV(B6,"Change")</f>
        <v>0.08</v>
      </c>
      <c r="H6" s="6">
        <f t="array" aca="1" ref="H6" ca="1">_FV(B6,"P/E",TRUE)</f>
        <v>11.166</v>
      </c>
      <c r="I6" s="6">
        <f t="array" aca="1" ref="I6" ca="1">_FV(B6,"Beta")</f>
        <v>0.83909999999999996</v>
      </c>
      <c r="J6" s="3">
        <f t="array" aca="1" ref="J6" ca="1">_FV(B6,"52 week high",TRUE)</f>
        <v>12.24</v>
      </c>
      <c r="K6" s="3">
        <f t="array" aca="1" ref="K6" ca="1">_FV(B6,"52 week low",TRUE)</f>
        <v>10.99</v>
      </c>
      <c r="L6" s="3">
        <f t="array" aca="1" ref="L6" ca="1">_FV(B6,"High")</f>
        <v>11.76</v>
      </c>
      <c r="M6" s="3">
        <f t="array" aca="1" ref="M6" ca="1">_FV(B6,"Low")</f>
        <v>11.7</v>
      </c>
      <c r="N6" s="3">
        <f t="array" aca="1" ref="N6" ca="1">_FV(B6,"Open")</f>
        <v>11.7</v>
      </c>
      <c r="O6" s="3">
        <f t="array" aca="1" ref="O6" ca="1">_FV(B6,"Previous close",TRUE)</f>
        <v>11.67</v>
      </c>
      <c r="P6" s="7">
        <f t="array" aca="1" ref="P6" ca="1">_FV(B6,"Volume")</f>
        <v>3200</v>
      </c>
      <c r="Q6" s="7">
        <f t="array" aca="1" ref="Q6" ca="1">_FV(B6,"Volume average",TRUE)</f>
        <v>119620</v>
      </c>
      <c r="R6" s="8">
        <f t="array" aca="1" ref="R6" ca="1">_FV(B6,"Year incorporated",TRUE)</f>
        <v>2001</v>
      </c>
      <c r="S6" s="7">
        <f t="array" aca="1" ref="S6" ca="1">_FV(B6,"Employees")</f>
        <v>0</v>
      </c>
      <c r="T6" t="str">
        <f t="array" aca="1" ref="T6" ca="1">_FV(B6,"Industry")</f>
        <v>Banking Services</v>
      </c>
      <c r="U6" s="7">
        <f t="array" aca="1" ref="U6" ca="1">_FV(B6,"Market cap",TRUE)</f>
        <v>566192080</v>
      </c>
      <c r="V6" s="7">
        <f t="array" aca="1" ref="V6" ca="1">_FV(B6,"Shares outstanding",TRUE)</f>
        <v>48186560</v>
      </c>
    </row>
    <row r="7" spans="1:31">
      <c r="A7" t="s">
        <v>27</v>
      </c>
      <c r="B7" t="e" vm="6">
        <v>#VALUE!</v>
      </c>
      <c r="C7" s="2">
        <f t="array" aca="1" ref="C7" ca="1">_FV(B7,"Last trade time",TRUE)</f>
        <v>46177.81133384219</v>
      </c>
      <c r="D7" t="str">
        <f t="array" aca="1" ref="D7" ca="1">_FV(B7,"Currency")</f>
        <v>USD</v>
      </c>
      <c r="E7" s="3">
        <f t="array" aca="1" ref="E7" ca="1">_FV(B7,"Price")</f>
        <v>360.87</v>
      </c>
      <c r="F7" s="4">
        <f t="array" aca="1" ref="F7" ca="1">_FV(B7,"Change (%)",TRUE)</f>
        <v>-7.3440000000000007E-3</v>
      </c>
      <c r="G7" s="5">
        <f t="array" aca="1" ref="G7" ca="1">_FV(B7,"Change")</f>
        <v>-2.67</v>
      </c>
      <c r="H7" s="6">
        <f t="array" aca="1" ref="H7" ca="1">_FV(B7,"P/E",TRUE)</f>
        <v>243.2722</v>
      </c>
      <c r="I7" s="6">
        <f t="array" aca="1" ref="I7" ca="1">_FV(B7,"Beta")</f>
        <v>2.625</v>
      </c>
      <c r="J7" s="3">
        <f t="array" aca="1" ref="J7" ca="1">_FV(B7,"52 week high",TRUE)</f>
        <v>372.37</v>
      </c>
      <c r="K7" s="3">
        <f t="array" aca="1" ref="K7" ca="1">_FV(B7,"52 week low",TRUE)</f>
        <v>84.78</v>
      </c>
      <c r="L7" s="3">
        <f t="array" aca="1" ref="L7" ca="1">_FV(B7,"High")</f>
        <v>365.23</v>
      </c>
      <c r="M7" s="3">
        <f t="array" aca="1" ref="M7" ca="1">_FV(B7,"Low")</f>
        <v>338.02</v>
      </c>
      <c r="N7" s="3">
        <f t="array" aca="1" ref="N7" ca="1">_FV(B7,"Open")</f>
        <v>347.85</v>
      </c>
      <c r="O7" s="3" cm="1">
        <f t="array" aca="1" ref="O7" ca="1">_FV(B7,"Previous close",TRUE)</f>
        <v>363.54</v>
      </c>
      <c r="P7" s="7">
        <f t="array" aca="1" ref="P7" ca="1">_FV(B7,"Volume")</f>
        <v>2836214</v>
      </c>
      <c r="Q7" s="7">
        <f t="array" aca="1" ref="Q7" ca="1">_FV(B7,"Volume average",TRUE)</f>
        <v>6192077</v>
      </c>
      <c r="R7" s="8">
        <f t="array" aca="1" ref="R7" ca="1">_FV(B7,"Year incorporated",TRUE)</f>
        <v>2017</v>
      </c>
      <c r="S7" s="7">
        <f t="array" aca="1" ref="S7" ca="1">_FV(B7,"Employees")</f>
        <v>756</v>
      </c>
      <c r="T7" t="str">
        <f t="array" aca="1" ref="T7" ca="1">_FV(B7,"Industry")</f>
        <v>Semiconductors &amp; Semiconductor Equipment</v>
      </c>
      <c r="U7" s="7">
        <f t="array" aca="1" ref="U7" ca="1">_FV(B7,"Market cap",TRUE)</f>
        <v>61855968873</v>
      </c>
      <c r="V7" s="7">
        <f t="array" aca="1" ref="V7" ca="1">_FV(B7,"Shares outstanding",TRUE)</f>
        <v>171407900</v>
      </c>
    </row>
    <row r="8" spans="1:31">
      <c r="A8" t="s">
        <v>39</v>
      </c>
      <c r="B8" t="e" vm="7">
        <v>#VALUE!</v>
      </c>
      <c r="C8" s="2">
        <f t="array" aca="1" ref="C8" ca="1">_FV(B8,"Last trade time",TRUE)</f>
        <v>46177.811338286716</v>
      </c>
      <c r="D8" t="str">
        <f t="array" aca="1" ref="D8" ca="1">_FV(B8,"Currency")</f>
        <v>USD</v>
      </c>
      <c r="E8" s="3">
        <f t="array" aca="1" ref="E8" ca="1">_FV(B8,"Price")</f>
        <v>72.715000000000003</v>
      </c>
      <c r="F8" s="4">
        <f t="array" aca="1" ref="F8" ca="1">_FV(B8,"Change (%)",TRUE)</f>
        <v>-1.4702E-2</v>
      </c>
      <c r="G8" s="5">
        <f t="array" aca="1" ref="G8" ca="1">_FV(B8,"Change")</f>
        <v>-1.085</v>
      </c>
      <c r="H8" s="6">
        <f t="array" aca="1" ref="H8" ca="1">_FV(B8,"P/E",TRUE)</f>
        <v>0</v>
      </c>
      <c r="I8" s="6">
        <f t="array" aca="1" ref="I8" ca="1">_FV(B8,"Beta")</f>
        <v>2.1408999999999998</v>
      </c>
      <c r="J8" s="3">
        <f t="array" aca="1" ref="J8" ca="1">_FV(B8,"52 week high",TRUE)</f>
        <v>96.69</v>
      </c>
      <c r="K8" s="3">
        <f t="array" aca="1" ref="K8" ca="1">_FV(B8,"52 week low",TRUE)</f>
        <v>48.3</v>
      </c>
      <c r="L8" s="3">
        <f t="array" aca="1" ref="L8" ca="1">_FV(B8,"High")</f>
        <v>73.290000000000006</v>
      </c>
      <c r="M8" s="3">
        <f t="array" aca="1" ref="M8" ca="1">_FV(B8,"Low")</f>
        <v>68.574100000000001</v>
      </c>
      <c r="N8" s="3">
        <f t="array" aca="1" ref="N8" ca="1">_FV(B8,"Open")</f>
        <v>71.05</v>
      </c>
      <c r="O8" s="3">
        <f t="array" aca="1" ref="O8" ca="1">_FV(B8,"Previous close",TRUE)</f>
        <v>73.8</v>
      </c>
      <c r="P8" s="7">
        <f t="array" aca="1" ref="P8" ca="1">_FV(B8,"Volume")</f>
        <v>1353597</v>
      </c>
      <c r="Q8" s="7">
        <f t="array" aca="1" ref="Q8" ca="1">_FV(B8,"Volume average",TRUE)</f>
        <v>1503267</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3189874708</v>
      </c>
      <c r="V8" s="7">
        <f t="array" aca="1" ref="V8" ca="1">_FV(B8,"Shares outstanding",TRUE)</f>
        <v>43868180</v>
      </c>
    </row>
    <row r="9" spans="1:31">
      <c r="A9" t="s">
        <v>63</v>
      </c>
      <c r="B9" t="e" vm="8">
        <v>#VALUE!</v>
      </c>
      <c r="C9" s="2">
        <f t="array" aca="1" ref="C9" ca="1">_FV(B9,"Last trade time",TRUE)</f>
        <v>46177.811375392972</v>
      </c>
      <c r="D9" t="str">
        <f t="array" aca="1" ref="D9" ca="1">_FV(B9,"Currency")</f>
        <v>USD</v>
      </c>
      <c r="E9" s="3">
        <f t="array" aca="1" ref="E9" ca="1">_FV(B9,"Price")</f>
        <v>526.73500000000001</v>
      </c>
      <c r="F9" s="4">
        <f t="array" aca="1" ref="F9" ca="1">_FV(B9,"Change (%)",TRUE)</f>
        <v>-2.9096E-2</v>
      </c>
      <c r="G9" s="5">
        <f t="array" aca="1" ref="G9" ca="1">_FV(B9,"Change")</f>
        <v>-15.785</v>
      </c>
      <c r="H9" s="6">
        <f t="array" aca="1" ref="H9" ca="1">_FV(B9,"P/E",TRUE)</f>
        <v>175.58420000000001</v>
      </c>
      <c r="I9" s="6">
        <f t="array" aca="1" ref="I9" ca="1">_FV(B9,"Beta")</f>
        <v>2.4866999999999999</v>
      </c>
      <c r="J9" s="3">
        <f t="array" aca="1" ref="J9" ca="1">_FV(B9,"52 week high",TRUE)</f>
        <v>546.44000000000005</v>
      </c>
      <c r="K9" s="3">
        <f t="array" aca="1" ref="K9" ca="1">_FV(B9,"52 week low",TRUE)</f>
        <v>114.71</v>
      </c>
      <c r="L9" s="3">
        <f t="array" aca="1" ref="L9" ca="1">_FV(B9,"High")</f>
        <v>532.19000000000005</v>
      </c>
      <c r="M9" s="3">
        <f t="array" aca="1" ref="M9" ca="1">_FV(B9,"Low")</f>
        <v>499.87009999999998</v>
      </c>
      <c r="N9" s="3">
        <f t="array" aca="1" ref="N9" ca="1">_FV(B9,"Open")</f>
        <v>514.98</v>
      </c>
      <c r="O9" s="3">
        <f t="array" aca="1" ref="O9" ca="1">_FV(B9,"Previous close",TRUE)</f>
        <v>542.52</v>
      </c>
      <c r="P9" s="7">
        <f t="array" aca="1" ref="P9" ca="1">_FV(B9,"Volume")</f>
        <v>23463693</v>
      </c>
      <c r="Q9" s="7">
        <f t="array" aca="1" ref="Q9" ca="1">_FV(B9,"Volume average",TRUE)</f>
        <v>38785452</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858894617735</v>
      </c>
      <c r="V9" s="7">
        <f t="array" aca="1" ref="V9" ca="1">_FV(B9,"Shares outstanding",TRUE)</f>
        <v>1630601000</v>
      </c>
    </row>
    <row r="10" spans="1:31">
      <c r="A10" t="s">
        <v>46</v>
      </c>
      <c r="B10" t="e" vm="9">
        <v>#VALUE!</v>
      </c>
      <c r="C10" s="2">
        <f t="array" aca="1" ref="C10" ca="1">_FV(B10,"Last trade time",TRUE)</f>
        <v>46177.811379039063</v>
      </c>
      <c r="D10" t="str">
        <f t="array" aca="1" ref="D10" ca="1">_FV(B10,"Currency")</f>
        <v>USD</v>
      </c>
      <c r="E10" s="3">
        <f t="array" aca="1" ref="E10" ca="1">_FV(B10,"Price")</f>
        <v>253.905</v>
      </c>
      <c r="F10" s="4">
        <f t="array" aca="1" ref="F10" ca="1">_FV(B10,"Change (%)",TRUE)</f>
        <v>1.5539000000000001E-2</v>
      </c>
      <c r="G10" s="5">
        <f t="array" aca="1" ref="G10" ca="1">_FV(B10,"Change")</f>
        <v>3.8849999999999998</v>
      </c>
      <c r="H10" s="6">
        <f t="array" aca="1" ref="H10" ca="1">_FV(B10,"P/E",TRUE)</f>
        <v>30.343499999999999</v>
      </c>
      <c r="I10" s="6">
        <f t="array" aca="1" ref="I10" ca="1">_FV(B10,"Beta")</f>
        <v>1.4518</v>
      </c>
      <c r="J10" s="3">
        <f t="array" aca="1" ref="J10" ca="1">_FV(B10,"52 week high",TRUE)</f>
        <v>278.56</v>
      </c>
      <c r="K10" s="3">
        <f t="array" aca="1" ref="K10" ca="1">_FV(B10,"52 week low",TRUE)</f>
        <v>196</v>
      </c>
      <c r="L10" s="3">
        <f t="array" aca="1" ref="L10" ca="1">_FV(B10,"High")</f>
        <v>255.82990000000001</v>
      </c>
      <c r="M10" s="3">
        <f t="array" aca="1" ref="M10" ca="1">_FV(B10,"Low")</f>
        <v>251.78</v>
      </c>
      <c r="N10" s="3">
        <f t="array" aca="1" ref="N10" ca="1">_FV(B10,"Open")</f>
        <v>253.1</v>
      </c>
      <c r="O10" s="3">
        <f t="array" aca="1" ref="O10" ca="1">_FV(B10,"Previous close",TRUE)</f>
        <v>250.02</v>
      </c>
      <c r="P10" s="7">
        <f t="array" aca="1" ref="P10" ca="1">_FV(B10,"Volume")</f>
        <v>25946626</v>
      </c>
      <c r="Q10" s="7">
        <f t="array" aca="1" ref="Q10" ca="1">_FV(B10,"Volume average",TRUE)</f>
        <v>44417671</v>
      </c>
      <c r="R10" s="8">
        <f t="array" aca="1" ref="R10" ca="1">_FV(B10,"Year incorporated",TRUE)</f>
        <v>1996</v>
      </c>
      <c r="S10" s="7">
        <f t="array" aca="1" ref="S10" ca="1">_FV(B10,"Employees")</f>
        <v>1575000</v>
      </c>
      <c r="T10" t="str">
        <f t="array" aca="1" ref="T10" ca="1">_FV(B10,"Industry")</f>
        <v>Diversified Retail</v>
      </c>
      <c r="U10" s="7">
        <f t="array" aca="1" ref="U10" ca="1">_FV(B10,"Market cap",TRUE)</f>
        <v>2731284014550</v>
      </c>
      <c r="V10" s="7">
        <f t="array" aca="1" ref="V10" ca="1">_FV(B10,"Shares outstanding",TRUE)</f>
        <v>10757110000</v>
      </c>
    </row>
    <row r="11" spans="1:31">
      <c r="A11" t="s">
        <v>57</v>
      </c>
      <c r="B11" t="e" vm="10">
        <v>#VALUE!</v>
      </c>
      <c r="C11" s="2">
        <f t="array" aca="1" ref="C11" ca="1">_FV(B11,"Last trade time",TRUE)</f>
        <v>46177.811394282035</v>
      </c>
      <c r="D11" t="str">
        <f t="array" aca="1" ref="D11" ca="1">_FV(B11,"Currency")</f>
        <v>USD</v>
      </c>
      <c r="E11" s="3">
        <f t="array" aca="1" ref="E11" ca="1">_FV(B11,"Price")</f>
        <v>167.26499999999999</v>
      </c>
      <c r="F11" s="4">
        <f t="array" aca="1" ref="F11" ca="1">_FV(B11,"Change (%)",TRUE)</f>
        <v>-4.0746999999999998E-2</v>
      </c>
      <c r="G11" s="5">
        <f t="array" aca="1" ref="G11" ca="1">_FV(B11,"Change")</f>
        <v>-7.1050000000000004</v>
      </c>
      <c r="H11" s="6">
        <f t="array" aca="1" ref="H11" ca="1">_FV(B11,"P/E",TRUE)</f>
        <v>57.290399999999998</v>
      </c>
      <c r="I11" s="6">
        <f t="array" aca="1" ref="I11" ca="1">_FV(B11,"Beta")</f>
        <v>1.6027</v>
      </c>
      <c r="J11" s="3">
        <f t="array" aca="1" ref="J11" ca="1">_FV(B11,"52 week high",TRUE)</f>
        <v>179.8</v>
      </c>
      <c r="K11" s="3">
        <f t="array" aca="1" ref="K11" ca="1">_FV(B11,"52 week low",TRUE)</f>
        <v>85.58</v>
      </c>
      <c r="L11" s="3">
        <f t="array" aca="1" ref="L11" ca="1">_FV(B11,"High")</f>
        <v>167.79</v>
      </c>
      <c r="M11" s="3">
        <f t="array" aca="1" ref="M11" ca="1">_FV(B11,"Low")</f>
        <v>157.43</v>
      </c>
      <c r="N11" s="3">
        <f t="array" aca="1" ref="N11" ca="1">_FV(B11,"Open")</f>
        <v>165</v>
      </c>
      <c r="O11" s="3">
        <f t="array" aca="1" ref="O11" ca="1">_FV(B11,"Previous close",TRUE)</f>
        <v>174.37</v>
      </c>
      <c r="P11" s="7">
        <f t="array" aca="1" ref="P11" ca="1">_FV(B11,"Volume")</f>
        <v>8004677</v>
      </c>
      <c r="Q11" s="7">
        <f t="array" aca="1" ref="Q11" ca="1">_FV(B11,"Volume average",TRUE)</f>
        <v>12282774</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210620589794</v>
      </c>
      <c r="V11" s="7">
        <f t="array" aca="1" ref="V11" ca="1">_FV(B11,"Shares outstanding",TRUE)</f>
        <v>1259203000</v>
      </c>
    </row>
    <row r="12" spans="1:31">
      <c r="A12" t="s">
        <v>24</v>
      </c>
      <c r="B12" t="e" vm="11">
        <v>#VALUE!</v>
      </c>
      <c r="C12" s="2">
        <f t="array" aca="1" ref="C12" ca="1">_FV(B12,"Last trade time",TRUE)</f>
        <v>46177.811399027341</v>
      </c>
      <c r="D12" t="str">
        <f t="array" aca="1" ref="D12" ca="1">_FV(B12,"Currency")</f>
        <v>USD</v>
      </c>
      <c r="E12" s="3">
        <f t="array" aca="1" ref="E12" ca="1">_FV(B12,"Price")</f>
        <v>563.79</v>
      </c>
      <c r="F12" s="4">
        <f t="array" aca="1" ref="F12" ca="1">_FV(B12,"Change (%)",TRUE)</f>
        <v>-1.2333E-2</v>
      </c>
      <c r="G12" s="5">
        <f t="array" aca="1" ref="G12" ca="1">_FV(B12,"Change")</f>
        <v>-7.04</v>
      </c>
      <c r="H12" s="6">
        <f t="array" aca="1" ref="H12" ca="1">_FV(B12,"P/E",TRUE)</f>
        <v>48.993299999999998</v>
      </c>
      <c r="I12" s="6">
        <f t="array" aca="1" ref="I12" ca="1">_FV(B12,"Beta")</f>
        <v>2.4651999999999998</v>
      </c>
      <c r="J12" s="3">
        <f t="array" aca="1" ref="J12" ca="1">_FV(B12,"52 week high",TRUE)</f>
        <v>745.61</v>
      </c>
      <c r="K12" s="3">
        <f t="array" aca="1" ref="K12" ca="1">_FV(B12,"52 week low",TRUE)</f>
        <v>320</v>
      </c>
      <c r="L12" s="3">
        <f t="array" aca="1" ref="L12" ca="1">_FV(B12,"High")</f>
        <v>587</v>
      </c>
      <c r="M12" s="3">
        <f t="array" aca="1" ref="M12" ca="1">_FV(B12,"Low")</f>
        <v>554.23</v>
      </c>
      <c r="N12" s="3">
        <f t="array" aca="1" ref="N12" ca="1">_FV(B12,"Open")</f>
        <v>572.4</v>
      </c>
      <c r="O12" s="3">
        <f t="array" aca="1" ref="O12" ca="1">_FV(B12,"Previous close",TRUE)</f>
        <v>570.83000000000004</v>
      </c>
      <c r="P12" s="7">
        <f t="array" aca="1" ref="P12" ca="1">_FV(B12,"Volume")</f>
        <v>4136276</v>
      </c>
      <c r="Q12" s="7">
        <f t="array" aca="1" ref="Q12" ca="1">_FV(B12,"Volume average",TRUE)</f>
        <v>4959294</v>
      </c>
      <c r="R12" s="8">
        <f t="array" aca="1" ref="R12" ca="1">_FV(B12,"Year incorporated",TRUE)</f>
        <v>2011</v>
      </c>
      <c r="S12" s="7">
        <f t="array" aca="1" ref="S12" ca="1">_FV(B12,"Employees")</f>
        <v>898</v>
      </c>
      <c r="T12" t="str">
        <f t="array" aca="1" ref="T12" ca="1">_FV(B12,"Industry")</f>
        <v>Software &amp; IT Services</v>
      </c>
      <c r="U12" s="7">
        <f t="array" aca="1" ref="U12" ca="1">_FV(B12,"Market cap",TRUE)</f>
        <v>189399612600</v>
      </c>
      <c r="V12" s="7">
        <f t="array" aca="1" ref="V12" ca="1">_FV(B12,"Shares outstanding",TRUE)</f>
        <v>335940000</v>
      </c>
    </row>
    <row r="13" spans="1:31">
      <c r="A13" t="s">
        <v>156</v>
      </c>
      <c r="B13" t="e" vm="12">
        <v>#VALUE!</v>
      </c>
      <c r="C13" s="2" cm="1">
        <f t="array" aca="1" ref="C13" ca="1">_FV(B13,"Last trade time",TRUE)</f>
        <v>46177.811404698441</v>
      </c>
      <c r="D13" t="str" cm="1">
        <f t="array" aca="1" ref="D13" ca="1">_FV(B13,"Currency")</f>
        <v>USD</v>
      </c>
      <c r="E13" s="3" cm="1">
        <f t="array" aca="1" ref="E13" ca="1">_FV(B13,"Price")</f>
        <v>80.430000000000007</v>
      </c>
      <c r="F13" s="4" cm="1">
        <f t="array" aca="1" ref="F13" ca="1">_FV(B13,"Change (%)",TRUE)</f>
        <v>2.9042999999999999E-2</v>
      </c>
      <c r="G13" s="5" cm="1">
        <f t="array" aca="1" ref="G13" ca="1">_FV(B13,"Change")</f>
        <v>2.27</v>
      </c>
      <c r="H13" s="6" t="e" vm="13">
        <f t="array" ref="H13">_FV(B13,"P/E",TRUE)</f>
        <v>#VALUE!</v>
      </c>
      <c r="I13" s="6" cm="1">
        <f t="array" aca="1" ref="I13" ca="1">_FV(B13,"Beta")</f>
        <v>2.0400999999999998</v>
      </c>
      <c r="J13" s="3" cm="1">
        <f t="array" aca="1" ref="J13" ca="1">_FV(B13,"52 week high",TRUE)</f>
        <v>92.65</v>
      </c>
      <c r="K13" s="3" cm="1">
        <f t="array" aca="1" ref="K13" ca="1">_FV(B13,"52 week low",TRUE)</f>
        <v>55.64</v>
      </c>
      <c r="L13" s="3" cm="1">
        <f t="array" aca="1" ref="L13" ca="1">_FV(B13,"High")</f>
        <v>81.14</v>
      </c>
      <c r="M13" s="3" cm="1">
        <f t="array" aca="1" ref="M13" ca="1">_FV(B13,"Low")</f>
        <v>77.709999999999994</v>
      </c>
      <c r="N13" s="3" cm="1">
        <f t="array" aca="1" ref="N13" ca="1">_FV(B13,"Open")</f>
        <v>78.165000000000006</v>
      </c>
      <c r="O13" s="3" cm="1">
        <f t="array" aca="1" ref="O13" ca="1">_FV(B13,"Previous close",TRUE)</f>
        <v>78.16</v>
      </c>
      <c r="P13" s="7" cm="1">
        <f t="array" aca="1" ref="P13" ca="1">_FV(B13,"Volume")</f>
        <v>5564018</v>
      </c>
      <c r="Q13" s="7" cm="1">
        <f t="array" aca="1" ref="Q13" ca="1">_FV(B13,"Volume average",TRUE)</f>
        <v>7310519</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46177.811406446097</v>
      </c>
      <c r="D14" t="str">
        <f t="array" aca="1" ref="D14" ca="1">_FV(B14,"Currency")</f>
        <v>USD</v>
      </c>
      <c r="E14" s="3">
        <f t="array" aca="1" ref="E14" ca="1">_FV(B14,"Price")</f>
        <v>393.31</v>
      </c>
      <c r="F14" s="4">
        <f t="array" aca="1" ref="F14" ca="1">_FV(B14,"Change (%)",TRUE)</f>
        <v>-4.4969999999999996E-2</v>
      </c>
      <c r="G14" s="5">
        <f t="array" aca="1" ref="G14" ca="1">_FV(B14,"Change")</f>
        <v>-18.52</v>
      </c>
      <c r="H14" s="6">
        <f t="array" aca="1" ref="H14" ca="1">_FV(B14,"P/E",TRUE)</f>
        <v>464.6857</v>
      </c>
      <c r="I14" s="6">
        <f t="array" aca="1" ref="I14" ca="1">_FV(B14,"Beta")</f>
        <v>1.4450000000000001</v>
      </c>
      <c r="J14" s="3">
        <f t="array" aca="1" ref="J14" ca="1">_FV(B14,"52 week high",TRUE)</f>
        <v>427.99</v>
      </c>
      <c r="K14" s="3">
        <f t="array" aca="1" ref="K14" ca="1">_FV(B14,"52 week low",TRUE)</f>
        <v>100.02</v>
      </c>
      <c r="L14" s="3">
        <f t="array" aca="1" ref="L14" ca="1">_FV(B14,"High")</f>
        <v>397.44990000000001</v>
      </c>
      <c r="M14" s="3">
        <f t="array" aca="1" ref="M14" ca="1">_FV(B14,"Low")</f>
        <v>367.52</v>
      </c>
      <c r="N14" s="3">
        <f t="array" aca="1" ref="N14" ca="1">_FV(B14,"Open")</f>
        <v>380.41</v>
      </c>
      <c r="O14" s="3">
        <f t="array" aca="1" ref="O14" ca="1">_FV(B14,"Previous close",TRUE)</f>
        <v>411.83</v>
      </c>
      <c r="P14" s="7">
        <f t="array" aca="1" ref="P14" ca="1">_FV(B14,"Volume")</f>
        <v>9416043</v>
      </c>
      <c r="Q14" s="7">
        <f t="array" aca="1" ref="Q14" ca="1">_FV(B14,"Volume average",TRUE)</f>
        <v>12269399</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420086151490</v>
      </c>
      <c r="V14" s="7">
        <f t="array" aca="1" ref="V14" ca="1">_FV(B14,"Shares outstanding",TRUE)</f>
        <v>1068079000</v>
      </c>
    </row>
    <row r="15" spans="1:31">
      <c r="A15" t="s">
        <v>66</v>
      </c>
      <c r="B15" t="e" vm="19">
        <v>#VALUE!</v>
      </c>
      <c r="C15" s="2">
        <f t="array" aca="1" ref="C15" ca="1">_FV(B15,"Last trade time",TRUE)</f>
        <v>46177.811327626565</v>
      </c>
      <c r="D15" t="str">
        <f t="array" aca="1" ref="D15" ca="1">_FV(B15,"Currency")</f>
        <v>USD</v>
      </c>
      <c r="E15" s="3">
        <f t="array" aca="1" ref="E15" ca="1">_FV(B15,"Price")</f>
        <v>1772.38</v>
      </c>
      <c r="F15" s="4">
        <f t="array" aca="1" ref="F15" ca="1">_FV(B15,"Change (%)",TRUE)</f>
        <v>2.6657E-2</v>
      </c>
      <c r="G15" s="5">
        <f t="array" aca="1" ref="G15" ca="1">_FV(B15,"Change")</f>
        <v>46.02</v>
      </c>
      <c r="H15" s="6">
        <f t="array" aca="1" ref="H15" ca="1">_FV(B15,"P/E",TRUE)</f>
        <v>60.934199999999997</v>
      </c>
      <c r="I15" s="6">
        <f t="array" aca="1" ref="I15" ca="1">_FV(B15,"Beta")</f>
        <v>1.8159000000000001</v>
      </c>
      <c r="J15" s="3">
        <f t="array" aca="1" ref="J15" ca="1">_FV(B15,"52 week high",TRUE)</f>
        <v>1779.2850000000001</v>
      </c>
      <c r="K15" s="3">
        <f t="array" aca="1" ref="K15" ca="1">_FV(B15,"52 week low",TRUE)</f>
        <v>683.48</v>
      </c>
      <c r="L15" s="3">
        <f t="array" aca="1" ref="L15" ca="1">_FV(B15,"High")</f>
        <v>1779.2850000000001</v>
      </c>
      <c r="M15" s="3">
        <f t="array" aca="1" ref="M15" ca="1">_FV(B15,"Low")</f>
        <v>1672.43</v>
      </c>
      <c r="N15" s="3">
        <f t="array" aca="1" ref="N15" ca="1">_FV(B15,"Open")</f>
        <v>1680.05</v>
      </c>
      <c r="O15" s="3">
        <f t="array" aca="1" ref="O15" ca="1">_FV(B15,"Previous close",TRUE)</f>
        <v>1726.36</v>
      </c>
      <c r="P15" s="7">
        <f t="array" aca="1" ref="P15" ca="1">_FV(B15,"Volume")</f>
        <v>1835225</v>
      </c>
      <c r="Q15" s="7">
        <f t="array" aca="1" ref="Q15" ca="1">_FV(B15,"Volume average",TRUE)</f>
        <v>1571746</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687945220526</v>
      </c>
      <c r="V15" s="7">
        <f t="array" aca="1" ref="V15" ca="1">_FV(B15,"Shares outstanding",TRUE)</f>
        <v>388147700</v>
      </c>
    </row>
    <row r="16" spans="1:31">
      <c r="A16" t="s">
        <v>54</v>
      </c>
      <c r="B16" t="e" vm="20">
        <v>#VALUE!</v>
      </c>
      <c r="C16" s="2">
        <f t="array" aca="1" ref="C16" ca="1">_FV(B16,"Last trade time",TRUE)</f>
        <v>46177.811407939065</v>
      </c>
      <c r="D16" t="str">
        <f t="array" aca="1" ref="D16" ca="1">_FV(B16,"Currency")</f>
        <v>USD</v>
      </c>
      <c r="E16" s="3">
        <f t="array" aca="1" ref="E16" ca="1">_FV(B16,"Price")</f>
        <v>420.16879999999998</v>
      </c>
      <c r="F16" s="4">
        <f t="array" aca="1" ref="F16" ca="1">_FV(B16,"Change (%)",TRUE)</f>
        <v>-0.12324199999999999</v>
      </c>
      <c r="G16" s="5">
        <f t="array" aca="1" ref="G16" ca="1">_FV(B16,"Change")</f>
        <v>-59.061199999999999</v>
      </c>
      <c r="H16" s="6">
        <f t="array" aca="1" ref="H16" ca="1">_FV(B16,"P/E",TRUE)</f>
        <v>82.017799999999994</v>
      </c>
      <c r="I16" s="6">
        <f t="array" aca="1" ref="I16" ca="1">_FV(B16,"Beta")</f>
        <v>1.4277</v>
      </c>
      <c r="J16" s="3">
        <f t="array" aca="1" ref="J16" ca="1">_FV(B16,"52 week high",TRUE)</f>
        <v>495</v>
      </c>
      <c r="K16" s="3">
        <f t="array" aca="1" ref="K16" ca="1">_FV(B16,"52 week low",TRUE)</f>
        <v>241.11</v>
      </c>
      <c r="L16" s="3">
        <f t="array" aca="1" ref="L16" ca="1">_FV(B16,"High")</f>
        <v>426.48</v>
      </c>
      <c r="M16" s="3">
        <f t="array" aca="1" ref="M16" ca="1">_FV(B16,"Low")</f>
        <v>403.01010000000002</v>
      </c>
      <c r="N16" s="3">
        <f t="array" aca="1" ref="N16" ca="1">_FV(B16,"Open")</f>
        <v>406.83</v>
      </c>
      <c r="O16" s="3">
        <f t="array" aca="1" ref="O16" ca="1">_FV(B16,"Previous close",TRUE)</f>
        <v>479.23</v>
      </c>
      <c r="P16" s="7">
        <f t="array" aca="1" ref="P16" ca="1">_FV(B16,"Volume")</f>
        <v>68910113</v>
      </c>
      <c r="Q16" s="7">
        <f t="array" aca="1" ref="Q16" ca="1">_FV(B16,"Volume average",TRUE)</f>
        <v>21926433</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1989359771958</v>
      </c>
      <c r="V16" s="7">
        <f t="array" aca="1" ref="V16" ca="1">_FV(B16,"Shares outstanding",TRUE)</f>
        <v>4734668000</v>
      </c>
    </row>
    <row r="17" spans="1:22">
      <c r="A17" t="s">
        <v>68</v>
      </c>
      <c r="B17" t="e" vm="21">
        <v>#VALUE!</v>
      </c>
      <c r="C17" s="2">
        <f t="array" aca="1" ref="C17" ca="1">_FV(B17,"Last trade time",TRUE)</f>
        <v>46177.81139430547</v>
      </c>
      <c r="D17" t="str">
        <f t="array" aca="1" ref="D17" ca="1">_FV(B17,"Currency")</f>
        <v>USD</v>
      </c>
      <c r="E17" s="3">
        <f t="array" aca="1" ref="E17" ca="1">_FV(B17,"Price")</f>
        <v>4.7949999999999999</v>
      </c>
      <c r="F17" s="4">
        <f t="array" aca="1" ref="F17" ca="1">_FV(B17,"Change (%)",TRUE)</f>
        <v>-7.2459999999999998E-3</v>
      </c>
      <c r="G17" s="5">
        <f t="array" aca="1" ref="G17" ca="1">_FV(B17,"Change")</f>
        <v>-3.5000000000000003E-2</v>
      </c>
      <c r="H17" s="6">
        <f t="array" aca="1" ref="H17" ca="1">_FV(B17,"P/E",TRUE)</f>
        <v>0</v>
      </c>
      <c r="I17" s="6">
        <f t="array" aca="1" ref="I17" ca="1">_FV(B17,"Beta")</f>
        <v>3.0891000000000002</v>
      </c>
      <c r="J17" s="3">
        <f t="array" aca="1" ref="J17" ca="1">_FV(B17,"52 week high",TRUE)</f>
        <v>9.39</v>
      </c>
      <c r="K17" s="3">
        <f t="array" aca="1" ref="K17" ca="1">_FV(B17,"52 week low",TRUE)</f>
        <v>3.01</v>
      </c>
      <c r="L17" s="3">
        <f t="array" aca="1" ref="L17" ca="1">_FV(B17,"High")</f>
        <v>4.9800000000000004</v>
      </c>
      <c r="M17" s="3">
        <f t="array" aca="1" ref="M17" ca="1">_FV(B17,"Low")</f>
        <v>4.78</v>
      </c>
      <c r="N17" s="3">
        <f t="array" aca="1" ref="N17" ca="1">_FV(B17,"Open")</f>
        <v>4.83</v>
      </c>
      <c r="O17" s="3">
        <f t="array" aca="1" ref="O17" ca="1">_FV(B17,"Previous close",TRUE)</f>
        <v>4.83</v>
      </c>
      <c r="P17" s="7">
        <f t="array" aca="1" ref="P17" ca="1">_FV(B17,"Volume")</f>
        <v>36544589</v>
      </c>
      <c r="Q17" s="7">
        <f t="array" aca="1" ref="Q17" ca="1">_FV(B17,"Volume average",TRUE)</f>
        <v>49635790</v>
      </c>
      <c r="R17" s="8">
        <f t="array" aca="1" ref="R17" ca="1">_FV(B17,"Year incorporated",TRUE)</f>
        <v>2020</v>
      </c>
      <c r="S17" s="7">
        <f t="array" aca="1" ref="S17" ca="1">_FV(B17,"Employees")</f>
        <v>579</v>
      </c>
      <c r="T17" t="str">
        <f t="array" aca="1" ref="T17" ca="1">_FV(B17,"Industry")</f>
        <v>Software &amp; IT Services</v>
      </c>
      <c r="U17" s="7">
        <f t="array" aca="1" ref="U17" ca="1">_FV(B17,"Market cap",TRUE)</f>
        <v>2296562852</v>
      </c>
      <c r="V17" s="7">
        <f t="array" aca="1" ref="V17" ca="1">_FV(B17,"Shares outstanding",TRUE)</f>
        <v>478949500</v>
      </c>
    </row>
    <row r="18" spans="1:22">
      <c r="A18" t="s">
        <v>613</v>
      </c>
      <c r="B18" t="e" vm="22">
        <v>#VALUE!</v>
      </c>
      <c r="C18" s="2" cm="1">
        <f t="array" aca="1" ref="C18" ca="1">_FV(B18,"Last trade time",TRUE)</f>
        <v>46177.75</v>
      </c>
      <c r="D18" t="str" cm="1">
        <f t="array" aca="1" ref="D18" ca="1">_FV(B18,"Currency")</f>
        <v>EUR</v>
      </c>
      <c r="E18" s="3" cm="1">
        <f t="array" aca="1" ref="E18" ca="1">_FV(B18,"Price")</f>
        <v>70.58</v>
      </c>
      <c r="F18" s="4" cm="1">
        <f t="array" aca="1" ref="F18" ca="1">_FV(B18,"Change (%)",TRUE)</f>
        <v>-1.5894999999999999E-2</v>
      </c>
      <c r="G18" s="5" cm="1">
        <f t="array" aca="1" ref="G18" ca="1">_FV(B18,"Change")</f>
        <v>-1.1399999999999999</v>
      </c>
      <c r="H18" s="6" cm="1">
        <f t="array" aca="1" ref="H18" ca="1">_FV(B18,"P/E",TRUE)</f>
        <v>6.3586</v>
      </c>
      <c r="I18" s="6" cm="1">
        <f t="array" aca="1" ref="I18" ca="1">_FV(B18,"Beta")</f>
        <v>0.95979999999999999</v>
      </c>
      <c r="J18" s="3" cm="1">
        <f t="array" aca="1" ref="J18" ca="1">_FV(B18,"52 week high",TRUE)</f>
        <v>115.25</v>
      </c>
      <c r="K18" s="3" cm="1">
        <f t="array" aca="1" ref="K18" ca="1">_FV(B18,"52 week low",TRUE)</f>
        <v>36.884999999999998</v>
      </c>
      <c r="L18" s="3" cm="1">
        <f t="array" aca="1" ref="L18" ca="1">_FV(B18,"High")</f>
        <v>71.94</v>
      </c>
      <c r="M18" s="3" cm="1">
        <f t="array" aca="1" ref="M18" ca="1">_FV(B18,"Low")</f>
        <v>70</v>
      </c>
      <c r="N18" s="3" cm="1">
        <f t="array" aca="1" ref="N18" ca="1">_FV(B18,"Open")</f>
        <v>71.319999999999993</v>
      </c>
      <c r="O18" s="3" cm="1">
        <f t="array" aca="1" ref="O18" ca="1">_FV(B18,"Previous close",TRUE)</f>
        <v>71.72</v>
      </c>
      <c r="P18" s="7" cm="1">
        <f t="array" aca="1" ref="P18" ca="1">_FV(B18,"Volume")</f>
        <v>1319</v>
      </c>
      <c r="Q18" s="7" cm="1">
        <f t="array" aca="1" ref="Q18" ca="1">_FV(B18,"Volume average",TRUE)</f>
        <v>1194980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304</v>
      </c>
      <c r="B19" t="e" vm="23">
        <v>#VALUE!</v>
      </c>
      <c r="C19" s="2" cm="1">
        <f t="array" aca="1" ref="C19" ca="1">_FV(B19,"Last trade time",TRUE)</f>
        <v>46177.811419803125</v>
      </c>
      <c r="D19" t="str" cm="1">
        <f t="array" aca="1" ref="D19" ca="1">_FV(B19,"Currency")</f>
        <v>USD</v>
      </c>
      <c r="E19" s="3" cm="1">
        <f t="array" aca="1" ref="E19" ca="1">_FV(B19,"Price")</f>
        <v>413.98</v>
      </c>
      <c r="F19" s="4" cm="1">
        <f t="array" aca="1" ref="F19" ca="1">_FV(B19,"Change (%)",TRUE)</f>
        <v>1.4657E-2</v>
      </c>
      <c r="G19" s="5" cm="1">
        <f t="array" aca="1" ref="G19" ca="1">_FV(B19,"Change")</f>
        <v>5.98</v>
      </c>
      <c r="H19" s="6" cm="1">
        <f t="array" aca="1" ref="H19" ca="1">_FV(B19,"P/E",TRUE)</f>
        <v>96.645300000000006</v>
      </c>
      <c r="I19" s="6" cm="1">
        <f t="array" aca="1" ref="I19" ca="1">_FV(B19,"Beta")</f>
        <v>1.1393</v>
      </c>
      <c r="J19" s="3" cm="1">
        <f t="array" aca="1" ref="J19" ca="1">_FV(B19,"52 week high",TRUE)</f>
        <v>416.69</v>
      </c>
      <c r="K19" s="3" cm="1">
        <f t="array" aca="1" ref="K19" ca="1">_FV(B19,"52 week low",TRUE)</f>
        <v>262.74900000000002</v>
      </c>
      <c r="L19" s="3" cm="1">
        <f t="array" aca="1" ref="L19" ca="1">_FV(B19,"High")</f>
        <v>415.83</v>
      </c>
      <c r="M19" s="3" cm="1">
        <f t="array" aca="1" ref="M19" ca="1">_FV(B19,"Low")</f>
        <v>401.93</v>
      </c>
      <c r="N19" s="3" cm="1">
        <f t="array" aca="1" ref="N19" ca="1">_FV(B19,"Open")</f>
        <v>407.73</v>
      </c>
      <c r="O19" s="3" cm="1">
        <f t="array" aca="1" ref="O19" ca="1">_FV(B19,"Previous close",TRUE)</f>
        <v>408</v>
      </c>
      <c r="P19" s="7" cm="1">
        <f t="array" aca="1" ref="P19" ca="1">_FV(B19,"Volume")</f>
        <v>1775362</v>
      </c>
      <c r="Q19" s="7" cm="1">
        <f t="array" aca="1" ref="Q19" ca="1">_FV(B19,"Volume average",TRUE)</f>
        <v>2334433</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114182307680</v>
      </c>
      <c r="V19" s="7" cm="1">
        <f t="array" aca="1" ref="V19" ca="1">_FV(B19,"Shares outstanding",TRUE)</f>
        <v>275816000</v>
      </c>
    </row>
    <row r="20" spans="1:22">
      <c r="A20" t="s">
        <v>150</v>
      </c>
      <c r="B20" t="e" vm="24">
        <v>#VALUE!</v>
      </c>
      <c r="C20" s="2" cm="1">
        <f t="array" aca="1" ref="C20" ca="1">_FV(B20,"Last trade time",TRUE)</f>
        <v>46177.811399015627</v>
      </c>
      <c r="D20" t="str" cm="1">
        <f t="array" aca="1" ref="D20" ca="1">_FV(B20,"Currency")</f>
        <v>USD</v>
      </c>
      <c r="E20" s="3" cm="1">
        <f t="array" aca="1" ref="E20" ca="1">_FV(B20,"Price")</f>
        <v>265.27499999999998</v>
      </c>
      <c r="F20" s="4" cm="1">
        <f t="array" aca="1" ref="F20" ca="1">_FV(B20,"Change (%)",TRUE)</f>
        <v>-7.3529999999999993E-3</v>
      </c>
      <c r="G20" s="5" cm="1">
        <f t="array" aca="1" ref="G20" ca="1">_FV(B20,"Change")</f>
        <v>-1.9650000000000001</v>
      </c>
      <c r="H20" s="6" cm="1">
        <f t="array" aca="1" ref="H20" ca="1">_FV(B20,"P/E",TRUE)</f>
        <v>23.046099999999999</v>
      </c>
      <c r="I20" s="6" cm="1">
        <f t="array" aca="1" ref="I20" ca="1">_FV(B20,"Beta")</f>
        <v>1.1037999999999999</v>
      </c>
      <c r="J20" s="3" cm="1">
        <f t="array" aca="1" ref="J20" ca="1">_FV(B20,"52 week high",TRUE)</f>
        <v>412.7</v>
      </c>
      <c r="K20" s="3" cm="1">
        <f t="array" aca="1" ref="K20" ca="1">_FV(B20,"52 week low",TRUE)</f>
        <v>243.3</v>
      </c>
      <c r="L20" s="3" cm="1">
        <f t="array" aca="1" ref="L20" ca="1">_FV(B20,"High")</f>
        <v>268.56</v>
      </c>
      <c r="M20" s="3" cm="1">
        <f t="array" aca="1" ref="M20" ca="1">_FV(B20,"Low")</f>
        <v>261.20999999999998</v>
      </c>
      <c r="N20" s="3" cm="1">
        <f t="array" aca="1" ref="N20" ca="1">_FV(B20,"Open")</f>
        <v>267.3</v>
      </c>
      <c r="O20" s="3" cm="1">
        <f t="array" aca="1" ref="O20" ca="1">_FV(B20,"Previous close",TRUE)</f>
        <v>267.24</v>
      </c>
      <c r="P20" s="7" cm="1">
        <f t="array" aca="1" ref="P20" ca="1">_FV(B20,"Volume")</f>
        <v>2144489</v>
      </c>
      <c r="Q20" s="7" cm="1">
        <f t="array" aca="1" ref="Q20" ca="1">_FV(B20,"Volume average",TRUE)</f>
        <v>3898851</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95260783049</v>
      </c>
      <c r="V20" s="7" cm="1">
        <f t="array" aca="1" ref="V20" ca="1">_FV(B20,"Shares outstanding",TRUE)</f>
        <v>359102000</v>
      </c>
    </row>
    <row r="21" spans="1:22">
      <c r="A21" t="s">
        <v>69</v>
      </c>
      <c r="B21" t="e" vm="25">
        <v>#VALUE!</v>
      </c>
      <c r="C21" s="2">
        <f t="array" aca="1" ref="C21" ca="1">_FV(B21,"Last trade time",TRUE)</f>
        <v>46177.811385763278</v>
      </c>
      <c r="D21" t="str">
        <f t="array" aca="1" ref="D21" ca="1">_FV(B21,"Currency")</f>
        <v>USD</v>
      </c>
      <c r="E21" s="3">
        <f t="array" aca="1" ref="E21" ca="1">_FV(B21,"Price")</f>
        <v>220.08</v>
      </c>
      <c r="F21" s="4">
        <f t="array" aca="1" ref="F21" ca="1">_FV(B21,"Change (%)",TRUE)</f>
        <v>2.5536E-2</v>
      </c>
      <c r="G21" s="5">
        <f t="array" aca="1" ref="G21" ca="1">_FV(B21,"Change")</f>
        <v>5.48</v>
      </c>
      <c r="H21" s="6">
        <f t="array" aca="1" ref="H21" ca="1">_FV(B21,"P/E",TRUE)</f>
        <v>88.749099999999999</v>
      </c>
      <c r="I21" s="6">
        <f t="array" aca="1" ref="I21" ca="1">_FV(B21,"Beta")</f>
        <v>3.2444999999999999</v>
      </c>
      <c r="J21" s="3">
        <f t="array" aca="1" ref="J21" ca="1">_FV(B21,"52 week high",TRUE)</f>
        <v>245.94990000000001</v>
      </c>
      <c r="K21" s="3">
        <f t="array" aca="1" ref="K21" ca="1">_FV(B21,"52 week low",TRUE)</f>
        <v>66.75</v>
      </c>
      <c r="L21" s="3">
        <f t="array" aca="1" ref="L21" ca="1">_FV(B21,"High")</f>
        <v>227.68960000000001</v>
      </c>
      <c r="M21" s="3">
        <f t="array" aca="1" ref="M21" ca="1">_FV(B21,"Low")</f>
        <v>200</v>
      </c>
      <c r="N21" s="3">
        <f t="array" aca="1" ref="N21" ca="1">_FV(B21,"Open")</f>
        <v>204.36</v>
      </c>
      <c r="O21" s="3">
        <f t="array" aca="1" ref="O21" ca="1">_FV(B21,"Previous close",TRUE)</f>
        <v>214.6</v>
      </c>
      <c r="P21" s="7">
        <f t="array" aca="1" ref="P21" ca="1">_FV(B21,"Volume")</f>
        <v>5928881</v>
      </c>
      <c r="Q21" s="7">
        <f t="array" aca="1" ref="Q21" ca="1">_FV(B21,"Volume average",TRUE)</f>
        <v>7050303</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40593733992</v>
      </c>
      <c r="V21" s="7">
        <f t="array" aca="1" ref="V21" ca="1">_FV(B21,"Shares outstanding",TRUE)</f>
        <v>184449900</v>
      </c>
    </row>
    <row r="22" spans="1:22">
      <c r="A22" t="s">
        <v>451</v>
      </c>
      <c r="B22" t="e" vm="26">
        <v>#VALUE!</v>
      </c>
      <c r="C22" s="2">
        <f t="array" aca="1" ref="C22" ca="1">_FV(B22,"Last trade time",TRUE)</f>
        <v>46177.811355566409</v>
      </c>
      <c r="D22" t="str">
        <f t="array" aca="1" ref="D22" ca="1">_FV(B22,"Currency")</f>
        <v>USD</v>
      </c>
      <c r="E22" s="3">
        <f t="array" aca="1" ref="E22" ca="1">_FV(B22,"Price")</f>
        <v>189.4512</v>
      </c>
      <c r="F22" s="4">
        <f t="array" aca="1" ref="F22" ca="1">_FV(B22,"Change (%)",TRUE)</f>
        <v>-6.0790000000000002E-3</v>
      </c>
      <c r="G22" s="5">
        <f t="array" aca="1" ref="G22" ca="1">_FV(B22,"Change")</f>
        <v>-1.1588000000000001</v>
      </c>
      <c r="H22" s="6">
        <f t="array" aca="1" ref="H22" ca="1">_FV(B22,"P/E",TRUE)</f>
        <v>21.9191</v>
      </c>
      <c r="I22" s="6">
        <f t="array" aca="1" ref="I22" ca="1">_FV(B22,"Beta")</f>
        <v>1.1498999999999999</v>
      </c>
      <c r="J22" s="3">
        <f t="array" aca="1" ref="J22" ca="1">_FV(B22,"52 week high",TRUE)</f>
        <v>276.8</v>
      </c>
      <c r="K22" s="3">
        <f t="array" aca="1" ref="K22" ca="1">_FV(B22,"52 week low",TRUE)</f>
        <v>163.52000000000001</v>
      </c>
      <c r="L22" s="3">
        <f t="array" aca="1" ref="L22" ca="1">_FV(B22,"High")</f>
        <v>198.09</v>
      </c>
      <c r="M22" s="3">
        <f t="array" aca="1" ref="M22" ca="1">_FV(B22,"Low")</f>
        <v>187.18</v>
      </c>
      <c r="N22" s="3">
        <f t="array" aca="1" ref="N22" ca="1">_FV(B22,"Open")</f>
        <v>197.54</v>
      </c>
      <c r="O22" s="3">
        <f t="array" aca="1" ref="O22" ca="1">_FV(B22,"Previous close",TRUE)</f>
        <v>190.61</v>
      </c>
      <c r="P22" s="7">
        <f t="array" aca="1" ref="P22" ca="1">_FV(B22,"Volume")</f>
        <v>9511176</v>
      </c>
      <c r="Q22" s="7">
        <f t="array" aca="1" ref="Q22" ca="1">_FV(B22,"Volume average",TRUE)</f>
        <v>14565386</v>
      </c>
      <c r="R22" s="8">
        <f t="array" aca="1" ref="R22" ca="1">_FV(B22,"Year incorporated",TRUE)</f>
        <v>1999</v>
      </c>
      <c r="S22" s="7">
        <f t="array" aca="1" ref="S22" ca="1">_FV(B22,"Employees")</f>
        <v>83334</v>
      </c>
      <c r="T22" t="str">
        <f t="array" aca="1" ref="T22" ca="1">_FV(B22,"Industry")</f>
        <v>Software &amp; IT Services</v>
      </c>
      <c r="U22" s="7">
        <f t="array" aca="1" ref="U22" ca="1">_FV(B22,"Market cap",TRUE)</f>
        <v>155160532800</v>
      </c>
      <c r="V22" s="7">
        <f t="array" aca="1" ref="V22" ca="1">_FV(B22,"Shares outstanding",TRUE)</f>
        <v>819000000</v>
      </c>
    </row>
    <row r="23" spans="1:22">
      <c r="A23" t="s">
        <v>142</v>
      </c>
      <c r="B23" t="e" vm="27">
        <v>#VALUE!</v>
      </c>
      <c r="C23" s="2" cm="1">
        <f t="array" aca="1" ref="C23" ca="1">_FV(B23,"Last trade time",TRUE)</f>
        <v>46177.811425034371</v>
      </c>
      <c r="D23" t="str" cm="1">
        <f t="array" aca="1" ref="D23" ca="1">_FV(B23,"Currency")</f>
        <v>USD</v>
      </c>
      <c r="E23" s="3" cm="1">
        <f t="array" aca="1" ref="E23" ca="1">_FV(B23,"Price")</f>
        <v>719.96960000000001</v>
      </c>
      <c r="F23" s="4" cm="1">
        <f t="array" aca="1" ref="F23" ca="1">_FV(B23,"Change (%)",TRUE)</f>
        <v>-3.6971999999999998E-2</v>
      </c>
      <c r="G23" s="5" cm="1">
        <f t="array" aca="1" ref="G23" ca="1">_FV(B23,"Change")</f>
        <v>-27.6404</v>
      </c>
      <c r="H23" s="6" cm="1">
        <f t="array" aca="1" ref="H23" ca="1">_FV(B23,"P/E",TRUE)</f>
        <v>0</v>
      </c>
      <c r="I23" s="6" cm="1">
        <f t="array" aca="1" ref="I23" ca="1">_FV(B23,"Beta")</f>
        <v>1.2425999999999999</v>
      </c>
      <c r="J23" s="3" cm="1">
        <f t="array" aca="1" ref="J23" ca="1">_FV(B23,"52 week high",TRUE)</f>
        <v>785.66</v>
      </c>
      <c r="K23" s="3" cm="1">
        <f t="array" aca="1" ref="K23" ca="1">_FV(B23,"52 week low",TRUE)</f>
        <v>342.72</v>
      </c>
      <c r="L23" s="3" cm="1">
        <f t="array" aca="1" ref="L23" ca="1">_FV(B23,"High")</f>
        <v>719.96960000000001</v>
      </c>
      <c r="M23" s="3" cm="1">
        <f t="array" aca="1" ref="M23" ca="1">_FV(B23,"Low")</f>
        <v>671.2201</v>
      </c>
      <c r="N23" s="3" cm="1">
        <f t="array" aca="1" ref="N23" ca="1">_FV(B23,"Open")</f>
        <v>678</v>
      </c>
      <c r="O23" s="3" cm="1">
        <f t="array" aca="1" ref="O23" ca="1">_FV(B23,"Previous close",TRUE)</f>
        <v>747.61</v>
      </c>
      <c r="P23" s="7" cm="1">
        <f t="array" aca="1" ref="P23" ca="1">_FV(B23,"Volume")</f>
        <v>6255509</v>
      </c>
      <c r="Q23" s="7" cm="1">
        <f t="array" aca="1" ref="Q23" ca="1">_FV(B23,"Volume average",TRUE)</f>
        <v>3320633</v>
      </c>
      <c r="R23" s="8" cm="1">
        <f t="array" aca="1" ref="R23" ca="1">_FV(B23,"Year incorporated",TRUE)</f>
        <v>2011</v>
      </c>
      <c r="S23" s="7" cm="1">
        <f t="array" aca="1" ref="S23" ca="1">_FV(B23,"Employees")</f>
        <v>10698</v>
      </c>
      <c r="T23" t="str" cm="1">
        <f t="array" aca="1" ref="T23" ca="1">_FV(B23,"Industry")</f>
        <v>Software &amp; IT Services</v>
      </c>
      <c r="U23" s="7" cm="1">
        <f t="array" aca="1" ref="U23" ca="1">_FV(B23,"Market cap",TRUE)</f>
        <v>183258542090</v>
      </c>
      <c r="V23" s="7" cm="1">
        <f t="array" aca="1" ref="V23" ca="1">_FV(B23,"Shares outstanding",TRUE)</f>
        <v>254536500</v>
      </c>
    </row>
    <row r="24" spans="1:22">
      <c r="A24" t="s">
        <v>70</v>
      </c>
      <c r="B24" t="e" vm="28">
        <v>#VALUE!</v>
      </c>
      <c r="C24" s="2">
        <f t="array" aca="1" ref="C24" ca="1">_FV(B24,"Last trade time",TRUE)</f>
        <v>46177.811408356247</v>
      </c>
      <c r="D24" t="str">
        <f t="array" aca="1" ref="D24" ca="1">_FV(B24,"Currency")</f>
        <v>USD</v>
      </c>
      <c r="E24" s="3">
        <f t="array" aca="1" ref="E24" ca="1">_FV(B24,"Price")</f>
        <v>109.69</v>
      </c>
      <c r="F24" s="4">
        <f t="array" aca="1" ref="F24" ca="1">_FV(B24,"Change (%)",TRUE)</f>
        <v>-1.1177999999999999E-2</v>
      </c>
      <c r="G24" s="5">
        <f t="array" aca="1" ref="G24" ca="1">_FV(B24,"Change")</f>
        <v>-1.24</v>
      </c>
      <c r="H24" s="6">
        <f t="array" aca="1" ref="H24" ca="1">_FV(B24,"P/E",TRUE)</f>
        <v>0</v>
      </c>
      <c r="I24" s="6">
        <f t="array" aca="1" ref="I24" ca="1">_FV(B24,"Beta")</f>
        <v>2.4409999999999998</v>
      </c>
      <c r="J24" s="3">
        <f t="array" aca="1" ref="J24" ca="1">_FV(B24,"52 week high",TRUE)</f>
        <v>187</v>
      </c>
      <c r="K24" s="3">
        <f t="array" aca="1" ref="K24" ca="1">_FV(B24,"52 week low",TRUE)</f>
        <v>63.8</v>
      </c>
      <c r="L24" s="3">
        <f t="array" aca="1" ref="L24" ca="1">_FV(B24,"High")</f>
        <v>110.44</v>
      </c>
      <c r="M24" s="3">
        <f t="array" aca="1" ref="M24" ca="1">_FV(B24,"Low")</f>
        <v>105.0395</v>
      </c>
      <c r="N24" s="3">
        <f t="array" aca="1" ref="N24" ca="1">_FV(B24,"Open")</f>
        <v>107.49</v>
      </c>
      <c r="O24" s="3">
        <f t="array" aca="1" ref="O24" ca="1">_FV(B24,"Previous close",TRUE)</f>
        <v>110.93</v>
      </c>
      <c r="P24" s="7">
        <f t="array" aca="1" ref="P24" ca="1">_FV(B24,"Volume")</f>
        <v>21218381</v>
      </c>
      <c r="Q24" s="7">
        <f t="array" aca="1" ref="Q24" ca="1">_FV(B24,"Volume average",TRUE)</f>
        <v>29914873</v>
      </c>
      <c r="R24" s="8">
        <f t="array" aca="1" ref="R24" ca="1">_FV(B24,"Year incorporated",TRUE)</f>
        <v>2017</v>
      </c>
      <c r="S24" s="7">
        <f t="array" aca="1" ref="S24" ca="1">_FV(B24,"Employees")</f>
        <v>2189</v>
      </c>
      <c r="T24" t="str">
        <f t="array" aca="1" ref="T24" ca="1">_FV(B24,"Industry")</f>
        <v>Software &amp; IT Services</v>
      </c>
      <c r="U24" s="7">
        <f t="array" aca="1" ref="U24" ca="1">_FV(B24,"Market cap",TRUE)</f>
        <v>59843617176</v>
      </c>
      <c r="V24" s="7">
        <f t="array" aca="1" ref="V24" ca="1">_FV(B24,"Shares outstanding",TRUE)</f>
        <v>545570400</v>
      </c>
    </row>
    <row r="25" spans="1:22">
      <c r="A25" t="s">
        <v>140</v>
      </c>
      <c r="B25" t="e" vm="29">
        <v>#VALUE!</v>
      </c>
      <c r="C25" s="2" cm="1">
        <f t="array" aca="1" ref="C25" ca="1">_FV(B25,"Last trade time",TRUE)</f>
        <v>46177.811417881247</v>
      </c>
      <c r="D25" t="str" cm="1">
        <f t="array" aca="1" ref="D25" ca="1">_FV(B25,"Currency")</f>
        <v>USD</v>
      </c>
      <c r="E25" s="3" cm="1">
        <f t="array" aca="1" ref="E25" ca="1">_FV(B25,"Price")</f>
        <v>130.19999999999999</v>
      </c>
      <c r="F25" s="4" cm="1">
        <f t="array" aca="1" ref="F25" ca="1">_FV(B25,"Change (%)",TRUE)</f>
        <v>2.9249000000000001E-2</v>
      </c>
      <c r="G25" s="5" cm="1">
        <f t="array" aca="1" ref="G25" ca="1">_FV(B25,"Change")</f>
        <v>3.7</v>
      </c>
      <c r="H25" s="6" cm="1">
        <f t="array" aca="1" ref="H25" ca="1">_FV(B25,"P/E",TRUE)</f>
        <v>43.3855</v>
      </c>
      <c r="I25" s="6" cm="1">
        <f t="array" aca="1" ref="I25" ca="1">_FV(B25,"Beta")</f>
        <v>0.99850000000000005</v>
      </c>
      <c r="J25" s="3" cm="1">
        <f t="array" aca="1" ref="J25" ca="1">_FV(B25,"52 week high",TRUE)</f>
        <v>130.3656</v>
      </c>
      <c r="K25" s="3" cm="1">
        <f t="array" aca="1" ref="K25" ca="1">_FV(B25,"52 week low",TRUE)</f>
        <v>63.865000000000002</v>
      </c>
      <c r="L25" s="3" cm="1">
        <f t="array" aca="1" ref="L25" ca="1">_FV(B25,"High")</f>
        <v>130.3656</v>
      </c>
      <c r="M25" s="3" cm="1">
        <f t="array" aca="1" ref="M25" ca="1">_FV(B25,"Low")</f>
        <v>124.14400000000001</v>
      </c>
      <c r="N25" s="3" cm="1">
        <f t="array" aca="1" ref="N25" ca="1">_FV(B25,"Open")</f>
        <v>126.24</v>
      </c>
      <c r="O25" s="3" cm="1">
        <f t="array" aca="1" ref="O25" ca="1">_FV(B25,"Previous close",TRUE)</f>
        <v>126.5</v>
      </c>
      <c r="P25" s="7" cm="1">
        <f t="array" aca="1" ref="P25" ca="1">_FV(B25,"Volume")</f>
        <v>14500750</v>
      </c>
      <c r="Q25" s="7" cm="1">
        <f t="array" aca="1" ref="Q25" ca="1">_FV(B25,"Volume average",TRUE)</f>
        <v>27334086</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513174836999</v>
      </c>
      <c r="V25" s="7" cm="1">
        <f t="array" aca="1" ref="V25" ca="1">_FV(B25,"Shares outstanding",TRUE)</f>
        <v>3941435000</v>
      </c>
    </row>
    <row r="26" spans="1:22">
      <c r="A26" t="s">
        <v>140</v>
      </c>
      <c r="B26" t="e" vm="29">
        <v>#VALUE!</v>
      </c>
      <c r="C26" s="2">
        <f t="array" aca="1" ref="C26" ca="1">_FV(B26,"Last trade time",TRUE)</f>
        <v>46177.811417881247</v>
      </c>
      <c r="D26" t="str">
        <f t="array" aca="1" ref="D26" ca="1">_FV(B26,"Currency")</f>
        <v>USD</v>
      </c>
      <c r="E26" s="3">
        <f t="array" aca="1" ref="E26" ca="1">_FV(B26,"Price")</f>
        <v>130.19999999999999</v>
      </c>
      <c r="F26" s="4">
        <f t="array" aca="1" ref="F26" ca="1">_FV(B26,"Change (%)",TRUE)</f>
        <v>2.9249000000000001E-2</v>
      </c>
      <c r="G26" s="5">
        <f t="array" aca="1" ref="G26" ca="1">_FV(B26,"Change")</f>
        <v>3.7</v>
      </c>
      <c r="H26" s="6">
        <f t="array" aca="1" ref="H26" ca="1">_FV(B26,"P/E",TRUE)</f>
        <v>43.3855</v>
      </c>
      <c r="I26" s="6">
        <f t="array" aca="1" ref="I26" ca="1">_FV(B26,"Beta")</f>
        <v>0.99850000000000005</v>
      </c>
      <c r="J26" s="3">
        <f t="array" aca="1" ref="J26" ca="1">_FV(B26,"52 week high",TRUE)</f>
        <v>130.3656</v>
      </c>
      <c r="K26" s="3">
        <f t="array" aca="1" ref="K26" ca="1">_FV(B26,"52 week low",TRUE)</f>
        <v>63.865000000000002</v>
      </c>
      <c r="L26" s="3">
        <f t="array" aca="1" ref="L26" ca="1">_FV(B26,"High")</f>
        <v>130.3656</v>
      </c>
      <c r="M26" s="3">
        <f t="array" aca="1" ref="M26" ca="1">_FV(B26,"Low")</f>
        <v>124.14400000000001</v>
      </c>
      <c r="N26" s="3">
        <f t="array" aca="1" ref="N26" ca="1">_FV(B26,"Open")</f>
        <v>126.24</v>
      </c>
      <c r="O26" s="3">
        <f t="array" aca="1" ref="O26" ca="1">_FV(B26,"Previous close",TRUE)</f>
        <v>126.5</v>
      </c>
      <c r="P26" s="7">
        <f t="array" aca="1" ref="P26" ca="1">_FV(B26,"Volume")</f>
        <v>14500750</v>
      </c>
      <c r="Q26" s="7">
        <f t="array" aca="1" ref="Q26" ca="1">_FV(B26,"Volume average",TRUE)</f>
        <v>27334086</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513174836999</v>
      </c>
      <c r="V26" s="7">
        <f t="array" aca="1" ref="V26" ca="1">_FV(B26,"Shares outstanding",TRUE)</f>
        <v>3941435000</v>
      </c>
    </row>
    <row r="27" spans="1:22">
      <c r="A27" t="s">
        <v>26</v>
      </c>
      <c r="B27" t="e" vm="30">
        <v>#VALUE!</v>
      </c>
      <c r="C27" s="2">
        <f t="array" aca="1" ref="C27" ca="1">_FV(B27,"Last trade time",TRUE)</f>
        <v>46177.811431469534</v>
      </c>
      <c r="D27" t="str">
        <f t="array" aca="1" ref="D27" ca="1">_FV(B27,"Currency")</f>
        <v>USD</v>
      </c>
      <c r="E27" s="3">
        <f t="array" aca="1" ref="E27" ca="1">_FV(B27,"Price")</f>
        <v>245.405</v>
      </c>
      <c r="F27" s="4">
        <f t="array" aca="1" ref="F27" ca="1">_FV(B27,"Change (%)",TRUE)</f>
        <v>-1.9674000000000001E-2</v>
      </c>
      <c r="G27" s="5">
        <f t="array" aca="1" ref="G27" ca="1">_FV(B27,"Change")</f>
        <v>-4.9249999999999998</v>
      </c>
      <c r="H27" s="6">
        <f t="array" aca="1" ref="H27" ca="1">_FV(B27,"P/E",TRUE)</f>
        <v>621.75070000000005</v>
      </c>
      <c r="I27" s="6">
        <f t="array" aca="1" ref="I27" ca="1">_FV(B27,"Beta")</f>
        <v>1.552</v>
      </c>
      <c r="J27" s="3">
        <f t="array" aca="1" ref="J27" ca="1">_FV(B27,"52 week high",TRUE)</f>
        <v>278.70499999999998</v>
      </c>
      <c r="K27" s="3">
        <f t="array" aca="1" ref="K27" ca="1">_FV(B27,"52 week low",TRUE)</f>
        <v>98.010099999999994</v>
      </c>
      <c r="L27" s="3">
        <f t="array" aca="1" ref="L27" ca="1">_FV(B27,"High")</f>
        <v>251.02</v>
      </c>
      <c r="M27" s="3">
        <f t="array" aca="1" ref="M27" ca="1">_FV(B27,"Low")</f>
        <v>240.29</v>
      </c>
      <c r="N27" s="3">
        <f t="array" aca="1" ref="N27" ca="1">_FV(B27,"Open")</f>
        <v>250.38</v>
      </c>
      <c r="O27" s="3">
        <f t="array" aca="1" ref="O27" ca="1">_FV(B27,"Previous close",TRUE)</f>
        <v>250.33</v>
      </c>
      <c r="P27" s="7">
        <f t="array" aca="1" ref="P27" ca="1">_FV(B27,"Volume")</f>
        <v>4899630</v>
      </c>
      <c r="Q27" s="7">
        <f t="array" aca="1" ref="Q27" ca="1">_FV(B27,"Volume average",TRUE)</f>
        <v>7301846</v>
      </c>
      <c r="R27" s="8">
        <f t="array" aca="1" ref="R27" ca="1">_FV(B27,"Year incorporated",TRUE)</f>
        <v>2026</v>
      </c>
      <c r="S27" s="7">
        <f t="array" aca="1" ref="S27" ca="1">_FV(B27,"Employees")</f>
        <v>8100</v>
      </c>
      <c r="T27" t="str">
        <f t="array" aca="1" ref="T27" ca="1">_FV(B27,"Industry")</f>
        <v>Software &amp; IT Services</v>
      </c>
      <c r="U27" s="7">
        <f t="array" aca="1" ref="U27" ca="1">_FV(B27,"Market cap",TRUE)</f>
        <v>87354412881</v>
      </c>
      <c r="V27" s="7">
        <f t="array" aca="1" ref="V27" ca="1">_FV(B27,"Shares outstanding",TRUE)</f>
        <v>355960200</v>
      </c>
    </row>
    <row r="28" spans="1:22">
      <c r="A28" t="s">
        <v>141</v>
      </c>
      <c r="B28" t="e" vm="31">
        <v>#VALUE!</v>
      </c>
      <c r="C28" s="2" cm="1">
        <f t="array" aca="1" ref="C28" ca="1">_FV(B28,"Last trade time",TRUE)</f>
        <v>46177.811402765627</v>
      </c>
      <c r="D28" t="str" cm="1">
        <f t="array" aca="1" ref="D28" ca="1">_FV(B28,"Currency")</f>
        <v>USD</v>
      </c>
      <c r="E28" s="3" cm="1">
        <f t="array" aca="1" ref="E28" ca="1">_FV(B28,"Price")</f>
        <v>428.22500000000002</v>
      </c>
      <c r="F28" s="4" cm="1">
        <f t="array" aca="1" ref="F28" ca="1">_FV(B28,"Change (%)",TRUE)</f>
        <v>1.6968E-2</v>
      </c>
      <c r="G28" s="5" cm="1">
        <f t="array" aca="1" ref="G28" ca="1">_FV(B28,"Change")</f>
        <v>7.1449999999999996</v>
      </c>
      <c r="H28" s="6" cm="1">
        <f t="array" aca="1" ref="H28" ca="1">_FV(B28,"P/E",TRUE)</f>
        <v>34.006399999999999</v>
      </c>
      <c r="I28" s="6" cm="1">
        <f t="array" aca="1" ref="I28" ca="1">_FV(B28,"Beta")</f>
        <v>1.3041</v>
      </c>
      <c r="J28" s="3" cm="1">
        <f t="array" aca="1" ref="J28" ca="1">_FV(B28,"52 week high",TRUE)</f>
        <v>469.47</v>
      </c>
      <c r="K28" s="3" cm="1">
        <f t="array" aca="1" ref="K28" ca="1">_FV(B28,"52 week low",TRUE)</f>
        <v>109.17</v>
      </c>
      <c r="L28" s="3" cm="1">
        <f t="array" aca="1" ref="L28" ca="1">_FV(B28,"High")</f>
        <v>429.31</v>
      </c>
      <c r="M28" s="3" cm="1">
        <f t="array" aca="1" ref="M28" ca="1">_FV(B28,"Low")</f>
        <v>399</v>
      </c>
      <c r="N28" s="3" cm="1">
        <f t="array" aca="1" ref="N28" ca="1">_FV(B28,"Open")</f>
        <v>402</v>
      </c>
      <c r="O28" s="3" cm="1">
        <f t="array" aca="1" ref="O28" ca="1">_FV(B28,"Previous close",TRUE)</f>
        <v>421.08</v>
      </c>
      <c r="P28" s="7" cm="1">
        <f t="array" aca="1" ref="P28" ca="1">_FV(B28,"Volume")</f>
        <v>9630144</v>
      </c>
      <c r="Q28" s="7" cm="1">
        <f t="array" aca="1" ref="Q28" ca="1">_FV(B28,"Volume average",TRUE)</f>
        <v>10138643</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278161385267</v>
      </c>
      <c r="V28" s="7" cm="1">
        <f t="array" aca="1" ref="V28" ca="1">_FV(B28,"Shares outstanding",TRUE)</f>
        <v>649568300</v>
      </c>
    </row>
    <row r="29" spans="1:22">
      <c r="A29" t="s">
        <v>614</v>
      </c>
      <c r="B29" t="e" vm="32">
        <v>#VALUE!</v>
      </c>
      <c r="C29" s="2" cm="1">
        <f t="array" aca="1" ref="C29" ca="1">_FV(B29,"Last trade time",TRUE)</f>
        <v>46177.811422800783</v>
      </c>
      <c r="D29" t="str" cm="1">
        <f t="array" aca="1" ref="D29" ca="1">_FV(B29,"Currency")</f>
        <v>USD</v>
      </c>
      <c r="E29" s="3" cm="1">
        <f t="array" aca="1" ref="E29" ca="1">_FV(B29,"Price")</f>
        <v>99.114999999999995</v>
      </c>
      <c r="F29" s="4" cm="1">
        <f t="array" aca="1" ref="F29" ca="1">_FV(B29,"Change (%)",TRUE)</f>
        <v>-2.7669999999999999E-3</v>
      </c>
      <c r="G29" s="5" cm="1">
        <f t="array" aca="1" ref="G29" ca="1">_FV(B29,"Change")</f>
        <v>-0.27500000000000002</v>
      </c>
      <c r="H29" s="6" cm="1">
        <f t="array" aca="1" ref="H29" ca="1">_FV(B29,"P/E",TRUE)</f>
        <v>15.8604</v>
      </c>
      <c r="I29" s="6" cm="1">
        <f t="array" aca="1" ref="I29" ca="1">_FV(B29,"Beta")</f>
        <v>1.3936999999999999</v>
      </c>
      <c r="J29" s="3" cm="1">
        <f t="array" aca="1" ref="J29" ca="1">_FV(B29,"52 week high",TRUE)</f>
        <v>124.69</v>
      </c>
      <c r="K29" s="3" cm="1">
        <f t="array" aca="1" ref="K29" ca="1">_FV(B29,"52 week low",TRUE)</f>
        <v>92.185000000000002</v>
      </c>
      <c r="L29" s="3" cm="1">
        <f t="array" aca="1" ref="L29" ca="1">_FV(B29,"High")</f>
        <v>101.46</v>
      </c>
      <c r="M29" s="3" cm="1">
        <f t="array" aca="1" ref="M29" ca="1">_FV(B29,"Low")</f>
        <v>99.05</v>
      </c>
      <c r="N29" s="3" cm="1">
        <f t="array" aca="1" ref="N29" ca="1">_FV(B29,"Open")</f>
        <v>100.61</v>
      </c>
      <c r="O29" s="3" cm="1">
        <f t="array" aca="1" ref="O29" ca="1">_FV(B29,"Previous close",TRUE)</f>
        <v>99.39</v>
      </c>
      <c r="P29" s="7" cm="1">
        <f t="array" aca="1" ref="P29" ca="1">_FV(B29,"Volume")</f>
        <v>6315843</v>
      </c>
      <c r="Q29" s="7" cm="1">
        <f t="array" aca="1" ref="Q29" ca="1">_FV(B29,"Volume average",TRUE)</f>
        <v>9096125</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172114287765</v>
      </c>
      <c r="V29" s="7" cm="1">
        <f t="array" aca="1" ref="V29" ca="1">_FV(B29,"Shares outstanding",TRUE)</f>
        <v>1736511000</v>
      </c>
    </row>
    <row r="30" spans="1:22">
      <c r="A30" t="s">
        <v>309</v>
      </c>
      <c r="B30" t="e" vm="33">
        <v>#VALUE!</v>
      </c>
      <c r="C30" s="2" cm="1">
        <f t="array" aca="1" ref="C30" ca="1">_FV(B30,"Last trade time",TRUE)</f>
        <v>46177.811415878903</v>
      </c>
      <c r="D30" t="str" cm="1">
        <f t="array" aca="1" ref="D30" ca="1">_FV(B30,"Currency")</f>
        <v>USD</v>
      </c>
      <c r="E30" s="3" cm="1">
        <f t="array" aca="1" ref="E30" ca="1">_FV(B30,"Price")</f>
        <v>43.58</v>
      </c>
      <c r="F30" s="4" cm="1">
        <f t="array" aca="1" ref="F30" ca="1">_FV(B30,"Change (%)",TRUE)</f>
        <v>3.2229999999999997E-3</v>
      </c>
      <c r="G30" s="5" cm="1">
        <f t="array" aca="1" ref="G30" ca="1">_FV(B30,"Change")</f>
        <v>0.14000000000000001</v>
      </c>
      <c r="H30" s="6" cm="1">
        <f t="array" aca="1" ref="H30" ca="1">_FV(B30,"P/E",TRUE)</f>
        <v>81.336299999999994</v>
      </c>
      <c r="I30" s="6" cm="1">
        <f t="array" aca="1" ref="I30" ca="1">_FV(B30,"Beta")</f>
        <v>0.73670000000000002</v>
      </c>
      <c r="J30" s="3" cm="1">
        <f t="array" aca="1" ref="J30" ca="1">_FV(B30,"52 week high",TRUE)</f>
        <v>57.55</v>
      </c>
      <c r="K30" s="3" cm="1">
        <f t="array" aca="1" ref="K30" ca="1">_FV(B30,"52 week low",TRUE)</f>
        <v>31.635000000000002</v>
      </c>
      <c r="L30" s="3" cm="1">
        <f t="array" aca="1" ref="L30" ca="1">_FV(B30,"High")</f>
        <v>44.34</v>
      </c>
      <c r="M30" s="3" cm="1">
        <f t="array" aca="1" ref="M30" ca="1">_FV(B30,"Low")</f>
        <v>43.19</v>
      </c>
      <c r="N30" s="3" cm="1">
        <f t="array" aca="1" ref="N30" ca="1">_FV(B30,"Open")</f>
        <v>44.34</v>
      </c>
      <c r="O30" s="3" cm="1">
        <f t="array" aca="1" ref="O30" ca="1">_FV(B30,"Previous close",TRUE)</f>
        <v>43.44</v>
      </c>
      <c r="P30" s="7" cm="1">
        <f t="array" aca="1" ref="P30" ca="1">_FV(B30,"Volume")</f>
        <v>1909388</v>
      </c>
      <c r="Q30" s="7" cm="1">
        <f t="array" aca="1" ref="Q30" ca="1">_FV(B30,"Volume average",TRUE)</f>
        <v>6508831</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12702511006</v>
      </c>
      <c r="V30" s="7" cm="1">
        <f t="array" aca="1" ref="V30" ca="1">_FV(B30,"Shares outstanding",TRUE)</f>
        <v>291475700</v>
      </c>
    </row>
    <row r="31" spans="1:22">
      <c r="A31" t="s">
        <v>49</v>
      </c>
      <c r="B31" t="e" vm="34">
        <v>#VALUE!</v>
      </c>
      <c r="C31" s="2">
        <f t="array" aca="1" ref="C31" ca="1">_FV(B31,"Last trade time",TRUE)</f>
        <v>46177.81138548594</v>
      </c>
      <c r="D31" t="str">
        <f t="array" aca="1" ref="D31" ca="1">_FV(B31,"Currency")</f>
        <v>USD</v>
      </c>
      <c r="E31" s="3">
        <f t="array" aca="1" ref="E31" ca="1">_FV(B31,"Price")</f>
        <v>8.3149999999999995</v>
      </c>
      <c r="F31" s="4">
        <f t="array" aca="1" ref="F31" ca="1">_FV(B31,"Change (%)",TRUE)</f>
        <v>1.0327999999999999E-2</v>
      </c>
      <c r="G31" s="5">
        <f t="array" aca="1" ref="G31" ca="1">_FV(B31,"Change")</f>
        <v>8.5000000000000006E-2</v>
      </c>
      <c r="H31" s="6">
        <f t="array" aca="1" ref="H31" ca="1">_FV(B31,"P/E",TRUE)</f>
        <v>0</v>
      </c>
      <c r="I31" s="6">
        <f t="array" aca="1" ref="I31" ca="1">_FV(B31,"Beta")</f>
        <v>2.2096</v>
      </c>
      <c r="J31" s="3">
        <f t="array" aca="1" ref="J31" ca="1">_FV(B31,"52 week high",TRUE)</f>
        <v>16.489999999999998</v>
      </c>
      <c r="K31" s="3">
        <f t="array" aca="1" ref="K31" ca="1">_FV(B31,"52 week low",TRUE)</f>
        <v>4.6150000000000002</v>
      </c>
      <c r="L31" s="3">
        <f t="array" aca="1" ref="L31" ca="1">_FV(B31,"High")</f>
        <v>8.5449999999999999</v>
      </c>
      <c r="M31" s="3">
        <f t="array" aca="1" ref="M31" ca="1">_FV(B31,"Low")</f>
        <v>7.87</v>
      </c>
      <c r="N31" s="3">
        <f t="array" aca="1" ref="N31" ca="1">_FV(B31,"Open")</f>
        <v>8.0399999999999991</v>
      </c>
      <c r="O31" s="3">
        <f t="array" aca="1" ref="O31" ca="1">_FV(B31,"Previous close",TRUE)</f>
        <v>8.23</v>
      </c>
      <c r="P31" s="7">
        <f t="array" aca="1" ref="P31" ca="1">_FV(B31,"Volume")</f>
        <v>5164411</v>
      </c>
      <c r="Q31" s="7">
        <f t="array" aca="1" ref="Q31" ca="1">_FV(B31,"Volume average",TRUE)</f>
        <v>8165835</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1813945521</v>
      </c>
      <c r="V31" s="7">
        <f t="array" aca="1" ref="V31" ca="1">_FV(B31,"Shares outstanding",TRUE)</f>
        <v>218153400</v>
      </c>
    </row>
    <row r="32" spans="1:22">
      <c r="A32" t="s">
        <v>149</v>
      </c>
      <c r="B32" t="e" vm="35">
        <v>#VALUE!</v>
      </c>
      <c r="C32" s="2" cm="1">
        <f t="array" aca="1" ref="C32" ca="1">_FV(B32,"Last trade time",TRUE)</f>
        <v>46177.811424536718</v>
      </c>
      <c r="D32" t="str" cm="1">
        <f t="array" aca="1" ref="D32" ca="1">_FV(B32,"Currency")</f>
        <v>USD</v>
      </c>
      <c r="E32" s="3" cm="1">
        <f t="array" aca="1" ref="E32" ca="1">_FV(B32,"Price")</f>
        <v>421.22500000000002</v>
      </c>
      <c r="F32" s="4" cm="1">
        <f t="array" aca="1" ref="F32" ca="1">_FV(B32,"Change (%)",TRUE)</f>
        <v>3.561E-5</v>
      </c>
      <c r="G32" s="5" cm="1">
        <f t="array" aca="1" ref="G32" ca="1">_FV(B32,"Change")</f>
        <v>1.4999999999999999E-2</v>
      </c>
      <c r="H32" s="6" cm="1">
        <f t="array" aca="1" ref="H32" ca="1">_FV(B32,"P/E",TRUE)</f>
        <v>41.180300000000003</v>
      </c>
      <c r="I32" s="6" cm="1">
        <f t="array" aca="1" ref="I32" ca="1">_FV(B32,"Beta")</f>
        <v>1.1869000000000001</v>
      </c>
      <c r="J32" s="3" cm="1">
        <f t="array" aca="1" ref="J32" ca="1">_FV(B32,"52 week high",TRUE)</f>
        <v>435.43</v>
      </c>
      <c r="K32" s="3" cm="1">
        <f t="array" aca="1" ref="K32" ca="1">_FV(B32,"52 week low",TRUE)</f>
        <v>311.91500000000002</v>
      </c>
      <c r="L32" s="3" cm="1">
        <f t="array" aca="1" ref="L32" ca="1">_FV(B32,"High")</f>
        <v>421.28500000000003</v>
      </c>
      <c r="M32" s="3" cm="1">
        <f t="array" aca="1" ref="M32" ca="1">_FV(B32,"Low")</f>
        <v>408.76260000000002</v>
      </c>
      <c r="N32" s="3" cm="1">
        <f t="array" aca="1" ref="N32" ca="1">_FV(B32,"Open")</f>
        <v>416.72</v>
      </c>
      <c r="O32" s="3" cm="1">
        <f t="array" aca="1" ref="O32" ca="1">_FV(B32,"Previous close",TRUE)</f>
        <v>421.21</v>
      </c>
      <c r="P32" s="7" cm="1">
        <f t="array" aca="1" ref="P32" ca="1">_FV(B32,"Volume")</f>
        <v>1226082</v>
      </c>
      <c r="Q32" s="7" cm="1">
        <f t="array" aca="1" ref="Q32" ca="1">_FV(B32,"Volume average",TRUE)</f>
        <v>2883699</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163561667500</v>
      </c>
      <c r="V32" s="7" cm="1">
        <f t="array" aca="1" ref="V32" ca="1">_FV(B32,"Shares outstanding",TRUE)</f>
        <v>388300000</v>
      </c>
    </row>
    <row r="33" spans="1:22">
      <c r="A33" t="s">
        <v>18</v>
      </c>
      <c r="B33" t="e" vm="36">
        <v>#VALUE!</v>
      </c>
      <c r="C33" s="2">
        <f t="array" aca="1" ref="C33" ca="1">_FV(B33,"Last trade time",TRUE)</f>
        <v>46177.811398726561</v>
      </c>
      <c r="D33" t="str">
        <f t="array" aca="1" ref="D33" ca="1">_FV(B33,"Currency")</f>
        <v>USD</v>
      </c>
      <c r="E33" s="3">
        <f t="array" aca="1" ref="E33" ca="1">_FV(B33,"Price")</f>
        <v>24.645</v>
      </c>
      <c r="F33" s="4">
        <f t="array" aca="1" ref="F33" ca="1">_FV(B33,"Change (%)",TRUE)</f>
        <v>2.9019E-2</v>
      </c>
      <c r="G33" s="5">
        <f t="array" aca="1" ref="G33" ca="1">_FV(B33,"Change")</f>
        <v>0.69499999999999995</v>
      </c>
      <c r="H33" s="6">
        <f t="array" aca="1" ref="H33" ca="1">_FV(B33,"P/E",TRUE)</f>
        <v>37.369199999999999</v>
      </c>
      <c r="I33" s="6">
        <f t="array" aca="1" ref="I33" ca="1">_FV(B33,"Beta")</f>
        <v>1.4456</v>
      </c>
      <c r="J33" s="3">
        <f t="array" aca="1" ref="J33" ca="1">_FV(B33,"52 week high",TRUE)</f>
        <v>30.38</v>
      </c>
      <c r="K33" s="3">
        <f t="array" aca="1" ref="K33" ca="1">_FV(B33,"52 week low",TRUE)</f>
        <v>13.29</v>
      </c>
      <c r="L33" s="3">
        <f t="array" aca="1" ref="L33" ca="1">_FV(B33,"High")</f>
        <v>25.88</v>
      </c>
      <c r="M33" s="3">
        <f t="array" aca="1" ref="M33" ca="1">_FV(B33,"Low")</f>
        <v>23.51</v>
      </c>
      <c r="N33" s="3">
        <f t="array" aca="1" ref="N33" ca="1">_FV(B33,"Open")</f>
        <v>24.33</v>
      </c>
      <c r="O33" s="3">
        <f t="array" aca="1" ref="O33" ca="1">_FV(B33,"Previous close",TRUE)</f>
        <v>23.95</v>
      </c>
      <c r="P33" s="7">
        <f t="array" aca="1" ref="P33" ca="1">_FV(B33,"Volume")</f>
        <v>2207715</v>
      </c>
      <c r="Q33" s="7">
        <f t="array" aca="1" ref="Q33" ca="1">_FV(B33,"Volume average",TRUE)</f>
        <v>4405616</v>
      </c>
      <c r="R33" s="8">
        <f t="array" aca="1" ref="R33" ca="1">_FV(B33,"Year incorporated",TRUE)</f>
        <v>2001</v>
      </c>
      <c r="S33" s="7">
        <f t="array" aca="1" ref="S33" ca="1">_FV(B33,"Employees")</f>
        <v>2910</v>
      </c>
      <c r="T33" t="str">
        <f t="array" aca="1" ref="T33" ca="1">_FV(B33,"Industry")</f>
        <v>Software &amp; IT Services</v>
      </c>
      <c r="U33" s="7">
        <f t="array" aca="1" ref="U33" ca="1">_FV(B33,"Market cap",TRUE)</f>
        <v>1886919533</v>
      </c>
      <c r="V33" s="7">
        <f t="array" aca="1" ref="V33" ca="1">_FV(B33,"Shares outstanding",TRUE)</f>
        <v>76563990</v>
      </c>
    </row>
    <row r="34" spans="1:22">
      <c r="A34" t="s">
        <v>145</v>
      </c>
      <c r="B34" t="e" vm="37">
        <v>#VALUE!</v>
      </c>
      <c r="C34" s="2" cm="1">
        <f t="array" aca="1" ref="C34" ca="1">_FV(B34,"Last trade time",TRUE)</f>
        <v>46177.811440671096</v>
      </c>
      <c r="D34" t="str" cm="1">
        <f t="array" aca="1" ref="D34" ca="1">_FV(B34,"Currency")</f>
        <v>USD</v>
      </c>
      <c r="E34" s="3" cm="1">
        <f t="array" aca="1" ref="E34" ca="1">_FV(B34,"Price")</f>
        <v>149.935</v>
      </c>
      <c r="F34" s="4" cm="1">
        <f t="array" aca="1" ref="F34" ca="1">_FV(B34,"Change (%)",TRUE)</f>
        <v>2.3586999999999997E-2</v>
      </c>
      <c r="G34" s="5" cm="1">
        <f t="array" aca="1" ref="G34" ca="1">_FV(B34,"Change")</f>
        <v>3.4550000000000001</v>
      </c>
      <c r="H34" s="6" cm="1">
        <f t="array" aca="1" ref="H34" ca="1">_FV(B34,"P/E",TRUE)</f>
        <v>57.925699999999999</v>
      </c>
      <c r="I34" s="6" cm="1">
        <f t="array" aca="1" ref="I34" ca="1">_FV(B34,"Beta")</f>
        <v>1.1025</v>
      </c>
      <c r="J34" s="3" cm="1">
        <f t="array" aca="1" ref="J34" ca="1">_FV(B34,"52 week high",TRUE)</f>
        <v>150.065</v>
      </c>
      <c r="K34" s="3" cm="1">
        <f t="array" aca="1" ref="K34" ca="1">_FV(B34,"52 week low",TRUE)</f>
        <v>70.12</v>
      </c>
      <c r="L34" s="3" cm="1">
        <f t="array" aca="1" ref="L34" ca="1">_FV(B34,"High")</f>
        <v>150.065</v>
      </c>
      <c r="M34" s="3" cm="1">
        <f t="array" aca="1" ref="M34" ca="1">_FV(B34,"Low")</f>
        <v>144.32</v>
      </c>
      <c r="N34" s="3" cm="1">
        <f t="array" aca="1" ref="N34" ca="1">_FV(B34,"Open")</f>
        <v>146.19999999999999</v>
      </c>
      <c r="O34" s="3" cm="1">
        <f t="array" aca="1" ref="O34" ca="1">_FV(B34,"Previous close",TRUE)</f>
        <v>146.47999999999999</v>
      </c>
      <c r="P34" s="7" cm="1">
        <f t="array" aca="1" ref="P34" ca="1">_FV(B34,"Volume")</f>
        <v>3252754</v>
      </c>
      <c r="Q34" s="7" cm="1">
        <f t="array" aca="1" ref="Q34" ca="1">_FV(B34,"Volume average",TRUE)</f>
        <v>6607957</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109849637854</v>
      </c>
      <c r="V34" s="7" cm="1">
        <f t="array" aca="1" ref="V34" ca="1">_FV(B34,"Shares outstanding",TRUE)</f>
        <v>732648400</v>
      </c>
    </row>
    <row r="35" spans="1:22">
      <c r="A35" t="s">
        <v>45</v>
      </c>
      <c r="B35" t="e" vm="38">
        <v>#VALUE!</v>
      </c>
      <c r="C35" s="2">
        <f t="array" aca="1" ref="C35" ca="1">_FV(B35,"Last trade time",TRUE)</f>
        <v>46177.8114298375</v>
      </c>
      <c r="D35" t="str">
        <f t="array" aca="1" ref="D35" ca="1">_FV(B35,"Currency")</f>
        <v>USD</v>
      </c>
      <c r="E35" s="3">
        <f t="array" aca="1" ref="E35" ca="1">_FV(B35,"Price")</f>
        <v>367.36500000000001</v>
      </c>
      <c r="F35" s="4">
        <f t="array" aca="1" ref="F35" ca="1">_FV(B35,"Change (%)",TRUE)</f>
        <v>3.2853E-2</v>
      </c>
      <c r="G35" s="5">
        <f t="array" aca="1" ref="G35" ca="1">_FV(B35,"Change")</f>
        <v>11.685</v>
      </c>
      <c r="H35" s="6">
        <f t="array" aca="1" ref="H35" ca="1">_FV(B35,"P/E",TRUE)</f>
        <v>28.0562</v>
      </c>
      <c r="I35" s="6">
        <f t="array" aca="1" ref="I35" ca="1">_FV(B35,"Beta")</f>
        <v>1.2441</v>
      </c>
      <c r="J35" s="3">
        <f t="array" aca="1" ref="J35" ca="1">_FV(B35,"52 week high",TRUE)</f>
        <v>404.47</v>
      </c>
      <c r="K35" s="3">
        <f t="array" aca="1" ref="K35" ca="1">_FV(B35,"52 week low",TRUE)</f>
        <v>163.33000000000001</v>
      </c>
      <c r="L35" s="3">
        <f t="array" aca="1" ref="L35" ca="1">_FV(B35,"High")</f>
        <v>369.84500000000003</v>
      </c>
      <c r="M35" s="3">
        <f t="array" aca="1" ref="M35" ca="1">_FV(B35,"Low")</f>
        <v>354.8</v>
      </c>
      <c r="N35" s="3">
        <f t="array" aca="1" ref="N35" ca="1">_FV(B35,"Open")</f>
        <v>355.39</v>
      </c>
      <c r="O35" s="3">
        <f t="array" aca="1" ref="O35" ca="1">_FV(B35,"Previous close",TRUE)</f>
        <v>355.68</v>
      </c>
      <c r="P35" s="7">
        <f t="array" aca="1" ref="P35" ca="1">_FV(B35,"Volume")</f>
        <v>20964605</v>
      </c>
      <c r="Q35" s="7">
        <f t="array" aca="1" ref="Q35" ca="1">_FV(B35,"Volume average",TRUE)</f>
        <v>22049922</v>
      </c>
      <c r="R35" s="8">
        <f t="array" aca="1" ref="R35" ca="1">_FV(B35,"Year incorporated",TRUE)</f>
        <v>2015</v>
      </c>
      <c r="S35" s="7">
        <f t="array" aca="1" ref="S35" ca="1">_FV(B35,"Employees")</f>
        <v>194668</v>
      </c>
      <c r="T35" t="str">
        <f t="array" aca="1" ref="T35" ca="1">_FV(B35,"Industry")</f>
        <v>Software &amp; IT Services</v>
      </c>
      <c r="U35" s="7">
        <f t="array" aca="1" ref="U35" ca="1">_FV(B35,"Market cap",TRUE)</f>
        <v>4450994340000</v>
      </c>
      <c r="V35" s="7">
        <f t="array" aca="1" ref="V35" ca="1">_FV(B35,"Shares outstanding",TRUE)</f>
        <v>12116000000</v>
      </c>
    </row>
    <row r="36" spans="1:22">
      <c r="A36" t="s">
        <v>60</v>
      </c>
      <c r="B36" t="e" vm="39">
        <v>#VALUE!</v>
      </c>
      <c r="C36" s="2">
        <f t="array" aca="1" ref="C36" ca="1">_FV(B36,"Last trade time",TRUE)</f>
        <v>46177.811397881247</v>
      </c>
      <c r="D36" t="str">
        <f t="array" aca="1" ref="D36" ca="1">_FV(B36,"Currency")</f>
        <v>USD</v>
      </c>
      <c r="E36" s="3">
        <f t="array" aca="1" ref="E36" ca="1">_FV(B36,"Price")</f>
        <v>88.004999999999995</v>
      </c>
      <c r="F36" s="4">
        <f t="array" aca="1" ref="F36" ca="1">_FV(B36,"Change (%)",TRUE)</f>
        <v>6.2220999999999999E-2</v>
      </c>
      <c r="G36" s="5">
        <f t="array" aca="1" ref="G36" ca="1">_FV(B36,"Change")</f>
        <v>5.1550000000000002</v>
      </c>
      <c r="H36" s="6">
        <f t="array" aca="1" ref="H36" ca="1">_FV(B36,"P/E",TRUE)</f>
        <v>48.956899999999997</v>
      </c>
      <c r="I36" s="6">
        <f t="array" aca="1" ref="I36" ca="1">_FV(B36,"Beta")</f>
        <v>2.3624000000000001</v>
      </c>
      <c r="J36" s="3">
        <f t="array" aca="1" ref="J36" ca="1">_FV(B36,"52 week high",TRUE)</f>
        <v>153.85990000000001</v>
      </c>
      <c r="K36" s="3">
        <f t="array" aca="1" ref="K36" ca="1">_FV(B36,"52 week low",TRUE)</f>
        <v>63.515000000000001</v>
      </c>
      <c r="L36" s="3">
        <f t="array" aca="1" ref="L36" ca="1">_FV(B36,"High")</f>
        <v>88.34</v>
      </c>
      <c r="M36" s="3">
        <f t="array" aca="1" ref="M36" ca="1">_FV(B36,"Low")</f>
        <v>82.8</v>
      </c>
      <c r="N36" s="3">
        <f t="array" aca="1" ref="N36" ca="1">_FV(B36,"Open")</f>
        <v>83.25</v>
      </c>
      <c r="O36" s="3">
        <f t="array" aca="1" ref="O36" ca="1">_FV(B36,"Previous close",TRUE)</f>
        <v>82.85</v>
      </c>
      <c r="P36" s="7">
        <f t="array" aca="1" ref="P36" ca="1">_FV(B36,"Volume")</f>
        <v>24765782</v>
      </c>
      <c r="Q36" s="7">
        <f t="array" aca="1" ref="Q36" ca="1">_FV(B36,"Volume average",TRUE)</f>
        <v>28129252</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79248951325</v>
      </c>
      <c r="V36" s="7">
        <f t="array" aca="1" ref="V36" ca="1">_FV(B36,"Shares outstanding",TRUE)</f>
        <v>900505100</v>
      </c>
    </row>
    <row r="37" spans="1:22">
      <c r="A37" t="s">
        <v>34</v>
      </c>
      <c r="B37" t="e" vm="40">
        <v>#VALUE!</v>
      </c>
      <c r="C37" s="2">
        <f t="array" aca="1" ref="C37" ca="1">_FV(B37,"Last trade time",TRUE)</f>
        <v>46177.811425485939</v>
      </c>
      <c r="D37" t="str">
        <f t="array" aca="1" ref="D37" ca="1">_FV(B37,"Currency")</f>
        <v>USD</v>
      </c>
      <c r="E37" s="3">
        <f t="array" aca="1" ref="E37" ca="1">_FV(B37,"Price")</f>
        <v>302.14499999999998</v>
      </c>
      <c r="F37" s="4">
        <f t="array" aca="1" ref="F37" ca="1">_FV(B37,"Change (%)",TRUE)</f>
        <v>-1.1403000000000002E-2</v>
      </c>
      <c r="G37" s="5">
        <f t="array" aca="1" ref="G37" ca="1">_FV(B37,"Change")</f>
        <v>-3.4849999999999999</v>
      </c>
      <c r="H37" s="6">
        <f t="array" aca="1" ref="H37" ca="1">_FV(B37,"P/E",TRUE)</f>
        <v>24.179300000000001</v>
      </c>
      <c r="I37" s="6">
        <f t="array" aca="1" ref="I37" ca="1">_FV(B37,"Beta")</f>
        <v>0.65610000000000002</v>
      </c>
      <c r="J37" s="3">
        <f t="array" aca="1" ref="J37" ca="1">_FV(B37,"52 week high",TRUE)</f>
        <v>332.46</v>
      </c>
      <c r="K37" s="3">
        <f t="array" aca="1" ref="K37" ca="1">_FV(B37,"52 week low",TRUE)</f>
        <v>212.34</v>
      </c>
      <c r="L37" s="3">
        <f t="array" aca="1" ref="L37" ca="1">_FV(B37,"High")</f>
        <v>310.44</v>
      </c>
      <c r="M37" s="3">
        <f t="array" aca="1" ref="M37" ca="1">_FV(B37,"Low")</f>
        <v>300.18</v>
      </c>
      <c r="N37" s="3">
        <f t="array" aca="1" ref="N37" ca="1">_FV(B37,"Open")</f>
        <v>307.39</v>
      </c>
      <c r="O37" s="3">
        <f t="array" aca="1" ref="O37" ca="1">_FV(B37,"Previous close",TRUE)</f>
        <v>305.63</v>
      </c>
      <c r="P37" s="7">
        <f t="array" aca="1" ref="P37" ca="1">_FV(B37,"Volume")</f>
        <v>7059255</v>
      </c>
      <c r="Q37" s="7">
        <f t="array" aca="1" ref="Q37" ca="1">_FV(B37,"Volume average",TRUE)</f>
        <v>10446842</v>
      </c>
      <c r="R37" s="8">
        <f t="array" aca="1" ref="R37" ca="1">_FV(B37,"Year incorporated",TRUE)</f>
        <v>1911</v>
      </c>
      <c r="S37" s="7">
        <f t="array" aca="1" ref="S37" ca="1">_FV(B37,"Employees")</f>
        <v>286800</v>
      </c>
      <c r="T37" t="str">
        <f t="array" aca="1" ref="T37" ca="1">_FV(B37,"Industry")</f>
        <v>Software &amp; IT Services</v>
      </c>
      <c r="U37" s="7">
        <f t="array" aca="1" ref="U37" ca="1">_FV(B37,"Market cap",TRUE)</f>
        <v>283981643968</v>
      </c>
      <c r="V37" s="7">
        <f t="array" aca="1" ref="V37" ca="1">_FV(B37,"Shares outstanding",TRUE)</f>
        <v>939885300</v>
      </c>
    </row>
    <row r="38" spans="1:22">
      <c r="A38" t="s">
        <v>14</v>
      </c>
      <c r="B38" t="e" vm="41">
        <v>#VALUE!</v>
      </c>
      <c r="C38" s="2">
        <f t="array" aca="1" ref="C38" ca="1">_FV(B38,"Last trade time",TRUE)</f>
        <v>46177.811398506252</v>
      </c>
      <c r="D38" t="str">
        <f t="array" aca="1" ref="D38" ca="1">_FV(B38,"Currency")</f>
        <v>USD</v>
      </c>
      <c r="E38" s="3">
        <f t="array" aca="1" ref="E38" ca="1">_FV(B38,"Price")</f>
        <v>123.705</v>
      </c>
      <c r="F38" s="4">
        <f t="array" aca="1" ref="F38" ca="1">_FV(B38,"Change (%)",TRUE)</f>
        <v>0.14255999999999999</v>
      </c>
      <c r="G38" s="5">
        <f t="array" aca="1" ref="G38" ca="1">_FV(B38,"Change")</f>
        <v>15.435</v>
      </c>
      <c r="H38" s="6">
        <f t="array" aca="1" ref="H38" ca="1">_FV(B38,"P/E",TRUE)</f>
        <v>111.3056</v>
      </c>
      <c r="I38" s="6">
        <f t="array" aca="1" ref="I38" ca="1">_FV(B38,"Beta")</f>
        <v>2.8372999999999999</v>
      </c>
      <c r="J38" s="3">
        <f t="array" aca="1" ref="J38" ca="1">_FV(B38,"52 week high",TRUE)</f>
        <v>123.89</v>
      </c>
      <c r="K38" s="3">
        <f t="array" aca="1" ref="K38" ca="1">_FV(B38,"52 week low",TRUE)</f>
        <v>34.2301</v>
      </c>
      <c r="L38" s="3">
        <f t="array" aca="1" ref="L38" ca="1">_FV(B38,"High")</f>
        <v>123.89</v>
      </c>
      <c r="M38" s="3">
        <f t="array" aca="1" ref="M38" ca="1">_FV(B38,"Low")</f>
        <v>104.01</v>
      </c>
      <c r="N38" s="3">
        <f t="array" aca="1" ref="N38" ca="1">_FV(B38,"Open")</f>
        <v>106.46</v>
      </c>
      <c r="O38" s="3">
        <f t="array" aca="1" ref="O38" ca="1">_FV(B38,"Previous close",TRUE)</f>
        <v>108.27</v>
      </c>
      <c r="P38" s="7">
        <f t="array" aca="1" ref="P38" ca="1">_FV(B38,"Volume")</f>
        <v>2394628</v>
      </c>
      <c r="Q38" s="7">
        <f t="array" aca="1" ref="Q38" ca="1">_FV(B38,"Volume average",TRUE)</f>
        <v>2995634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46177.811439756253</v>
      </c>
      <c r="D39" t="str">
        <f t="array" aca="1" ref="D39" ca="1">_FV(B39,"Currency")</f>
        <v>USD</v>
      </c>
      <c r="E39" s="3">
        <f t="array" aca="1" ref="E39" ca="1">_FV(B39,"Price")</f>
        <v>112.485</v>
      </c>
      <c r="F39" s="4">
        <f t="array" aca="1" ref="F39" ca="1">_FV(B39,"Change (%)",TRUE)</f>
        <v>-1.9959999999999999E-3</v>
      </c>
      <c r="G39" s="5">
        <f t="array" aca="1" ref="G39" ca="1">_FV(B39,"Change")</f>
        <v>-0.22500000000000001</v>
      </c>
      <c r="H39" s="6">
        <f t="array" aca="1" ref="H39" ca="1">_FV(B39,"P/E",TRUE)</f>
        <v>0</v>
      </c>
      <c r="I39" s="6">
        <f t="array" aca="1" ref="I39" ca="1">_FV(B39,"Beta")</f>
        <v>2.2294</v>
      </c>
      <c r="J39" s="3">
        <f t="array" aca="1" ref="J39" ca="1">_FV(B39,"52 week high",TRUE)</f>
        <v>132.75</v>
      </c>
      <c r="K39" s="3">
        <f t="array" aca="1" ref="K39" ca="1">_FV(B39,"52 week low",TRUE)</f>
        <v>18.965</v>
      </c>
      <c r="L39" s="3">
        <f t="array" aca="1" ref="L39" ca="1">_FV(B39,"High")</f>
        <v>113.14</v>
      </c>
      <c r="M39" s="3">
        <f t="array" aca="1" ref="M39" ca="1">_FV(B39,"Low")</f>
        <v>107.48009999999999</v>
      </c>
      <c r="N39" s="3">
        <f t="array" aca="1" ref="N39" ca="1">_FV(B39,"Open")</f>
        <v>108.42</v>
      </c>
      <c r="O39" s="3">
        <f t="array" aca="1" ref="O39" ca="1">_FV(B39,"Previous close",TRUE)</f>
        <v>112.71</v>
      </c>
      <c r="P39" s="7">
        <f t="array" aca="1" ref="P39" ca="1">_FV(B39,"Volume")</f>
        <v>63291403</v>
      </c>
      <c r="Q39" s="7">
        <f t="array" aca="1" ref="Q39" ca="1">_FV(B39,"Volume average",TRUE)</f>
        <v>143894244</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565349610000</v>
      </c>
      <c r="V39" s="7">
        <f t="array" aca="1" ref="V39" ca="1">_FV(B39,"Shares outstanding",TRUE)</f>
        <v>5026000000</v>
      </c>
    </row>
    <row r="40" spans="1:22">
      <c r="A40" t="s">
        <v>79</v>
      </c>
      <c r="B40" t="e" vm="43">
        <v>#VALUE!</v>
      </c>
      <c r="C40" s="2">
        <f t="array" aca="1" ref="C40" ca="1">_FV(B40,"Last trade time",TRUE)</f>
        <v>46177.811395937497</v>
      </c>
      <c r="D40" t="str">
        <f t="array" aca="1" ref="D40" ca="1">_FV(B40,"Currency")</f>
        <v>USD</v>
      </c>
      <c r="E40" s="3">
        <f t="array" aca="1" ref="E40" ca="1">_FV(B40,"Price")</f>
        <v>64.89</v>
      </c>
      <c r="F40" s="4">
        <f t="array" aca="1" ref="F40" ca="1">_FV(B40,"Change (%)",TRUE)</f>
        <v>-4.8952000000000002E-2</v>
      </c>
      <c r="G40" s="5">
        <f t="array" aca="1" ref="G40" ca="1">_FV(B40,"Change")</f>
        <v>-3.34</v>
      </c>
      <c r="H40" s="6">
        <f t="array" aca="1" ref="H40" ca="1">_FV(B40,"P/E",TRUE)</f>
        <v>1107.3379</v>
      </c>
      <c r="I40" s="6">
        <f t="array" aca="1" ref="I40" ca="1">_FV(B40,"Beta")</f>
        <v>3.1932999999999998</v>
      </c>
      <c r="J40" s="3">
        <f t="array" aca="1" ref="J40" ca="1">_FV(B40,"52 week high",TRUE)</f>
        <v>84.64</v>
      </c>
      <c r="K40" s="3">
        <f t="array" aca="1" ref="K40" ca="1">_FV(B40,"52 week low",TRUE)</f>
        <v>25.89</v>
      </c>
      <c r="L40" s="3">
        <f t="array" aca="1" ref="L40" ca="1">_FV(B40,"High")</f>
        <v>69.464100000000002</v>
      </c>
      <c r="M40" s="3">
        <f t="array" aca="1" ref="M40" ca="1">_FV(B40,"Low")</f>
        <v>64.180000000000007</v>
      </c>
      <c r="N40" s="3">
        <f t="array" aca="1" ref="N40" ca="1">_FV(B40,"Open")</f>
        <v>67.28</v>
      </c>
      <c r="O40" s="3">
        <f t="array" aca="1" ref="O40" ca="1">_FV(B40,"Previous close",TRUE)</f>
        <v>68.23</v>
      </c>
      <c r="P40" s="7">
        <f t="array" aca="1" ref="P40" ca="1">_FV(B40,"Volume")</f>
        <v>34577893</v>
      </c>
      <c r="Q40" s="7">
        <f t="array" aca="1" ref="Q40" ca="1">_FV(B40,"Volume average",TRUE)</f>
        <v>33826404</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24221490300</v>
      </c>
      <c r="V40" s="7">
        <f t="array" aca="1" ref="V40" ca="1">_FV(B40,"Shares outstanding",TRUE)</f>
        <v>373270000</v>
      </c>
    </row>
    <row r="41" spans="1:22">
      <c r="A41" t="s">
        <v>447</v>
      </c>
      <c r="B41" t="e" vm="44">
        <v>#VALUE!</v>
      </c>
      <c r="C41" s="2">
        <f t="array" aca="1" ref="C41" ca="1">_FV(B41,"Last trade time",TRUE)</f>
        <v>46177.811443043749</v>
      </c>
      <c r="D41" t="str">
        <f t="array" aca="1" ref="D41" ca="1">_FV(B41,"Currency")</f>
        <v>USD</v>
      </c>
      <c r="E41" s="3">
        <f t="array" aca="1" ref="E41" ca="1">_FV(B41,"Price")</f>
        <v>61.95</v>
      </c>
      <c r="F41" s="4">
        <f t="array" aca="1" ref="F41" ca="1">_FV(B41,"Change (%)",TRUE)</f>
        <v>-5.391E-2</v>
      </c>
      <c r="G41" s="5">
        <f t="array" aca="1" ref="G41" ca="1">_FV(B41,"Change")</f>
        <v>-3.53</v>
      </c>
      <c r="H41" s="6">
        <f t="array" aca="1" ref="H41" ca="1">_FV(B41,"P/E",TRUE)</f>
        <v>135.0556</v>
      </c>
      <c r="I41" s="6">
        <f t="array" aca="1" ref="I41" ca="1">_FV(B41,"Beta")</f>
        <v>4.2291999999999996</v>
      </c>
      <c r="J41" s="3">
        <f t="array" aca="1" ref="J41" ca="1">_FV(B41,"52 week high",TRUE)</f>
        <v>76.87</v>
      </c>
      <c r="K41" s="3">
        <f t="array" aca="1" ref="K41" ca="1">_FV(B41,"52 week low",TRUE)</f>
        <v>8.6999999999999993</v>
      </c>
      <c r="L41" s="3">
        <f t="array" aca="1" ref="L41" ca="1">_FV(B41,"High")</f>
        <v>62.91</v>
      </c>
      <c r="M41" s="3">
        <f t="array" aca="1" ref="M41" ca="1">_FV(B41,"Low")</f>
        <v>59.68</v>
      </c>
      <c r="N41" s="3">
        <f t="array" aca="1" ref="N41" ca="1">_FV(B41,"Open")</f>
        <v>62.15</v>
      </c>
      <c r="O41" s="3">
        <f t="array" aca="1" ref="O41" ca="1">_FV(B41,"Previous close",TRUE)</f>
        <v>65.48</v>
      </c>
      <c r="P41" s="7">
        <f t="array" aca="1" ref="P41" ca="1">_FV(B41,"Volume")</f>
        <v>39972685</v>
      </c>
      <c r="Q41" s="7">
        <f t="array" aca="1" ref="Q41" ca="1">_FV(B41,"Volume average",TRUE)</f>
        <v>55011533</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22139610465</v>
      </c>
      <c r="V41" s="7">
        <f t="array" aca="1" ref="V41" ca="1">_FV(B41,"Shares outstanding",TRUE)</f>
        <v>357378700</v>
      </c>
    </row>
    <row r="42" spans="1:22">
      <c r="A42" t="s">
        <v>157</v>
      </c>
      <c r="B42" t="e" vm="45">
        <v>#VALUE!</v>
      </c>
      <c r="C42" s="2" cm="1">
        <f t="array" aca="1" ref="C42" ca="1">_FV(B42,"Last trade time",TRUE)</f>
        <v>46177.811461828125</v>
      </c>
      <c r="D42" t="str" cm="1">
        <f t="array" aca="1" ref="D42" ca="1">_FV(B42,"Currency")</f>
        <v>USD</v>
      </c>
      <c r="E42" s="3" cm="1">
        <f t="array" aca="1" ref="E42" ca="1">_FV(B42,"Price")</f>
        <v>292.52999999999997</v>
      </c>
      <c r="F42" s="4" cm="1">
        <f t="array" aca="1" ref="F42" ca="1">_FV(B42,"Change (%)",TRUE)</f>
        <v>1.6893999999999999E-2</v>
      </c>
      <c r="G42" s="5" cm="1">
        <f t="array" aca="1" ref="G42" ca="1">_FV(B42,"Change")</f>
        <v>4.8600000000000003</v>
      </c>
      <c r="H42" s="6" t="e" vm="13">
        <f t="array" ref="H42">_FV(B42,"P/E",TRUE)</f>
        <v>#VALUE!</v>
      </c>
      <c r="I42" s="6" cm="1">
        <f t="array" aca="1" ref="I42" ca="1">_FV(B42,"Beta")</f>
        <v>0.99929999999999997</v>
      </c>
      <c r="J42" s="3" cm="1">
        <f t="array" aca="1" ref="J42" ca="1">_FV(B42,"52 week high",TRUE)</f>
        <v>292.74</v>
      </c>
      <c r="K42" s="3" cm="1">
        <f t="array" aca="1" ref="K42" ca="1">_FV(B42,"52 week low",TRUE)</f>
        <v>206.81</v>
      </c>
      <c r="L42" s="3" cm="1">
        <f t="array" aca="1" ref="L42" ca="1">_FV(B42,"High")</f>
        <v>292.67500000000001</v>
      </c>
      <c r="M42" s="3" cm="1">
        <f t="array" aca="1" ref="M42" ca="1">_FV(B42,"Low")</f>
        <v>286.66000000000003</v>
      </c>
      <c r="N42" s="3" cm="1">
        <f t="array" aca="1" ref="N42" ca="1">_FV(B42,"Open")</f>
        <v>288.27</v>
      </c>
      <c r="O42" s="3" cm="1">
        <f t="array" aca="1" ref="O42" ca="1">_FV(B42,"Previous close",TRUE)</f>
        <v>287.67</v>
      </c>
      <c r="P42" s="7" cm="1">
        <f t="array" aca="1" ref="P42" ca="1">_FV(B42,"Volume")</f>
        <v>18599947</v>
      </c>
      <c r="Q42" s="7" cm="1">
        <f t="array" aca="1" ref="Q42" ca="1">_FV(B42,"Volume average",TRUE)</f>
        <v>26082120</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303</v>
      </c>
      <c r="B43" t="e" vm="46">
        <v>#VALUE!</v>
      </c>
      <c r="C43" s="2" cm="1">
        <f t="array" aca="1" ref="C43" ca="1">_FV(B43,"Last trade time",TRUE)</f>
        <v>46177.811445555468</v>
      </c>
      <c r="D43" t="str" cm="1">
        <f t="array" aca="1" ref="D43" ca="1">_FV(B43,"Currency")</f>
        <v>USD</v>
      </c>
      <c r="E43" s="3" cm="1">
        <f t="array" aca="1" ref="E43" ca="1">_FV(B43,"Price")</f>
        <v>2148.15</v>
      </c>
      <c r="F43" s="4" cm="1">
        <f t="array" aca="1" ref="F43" ca="1">_FV(B43,"Change (%)",TRUE)</f>
        <v>1.0842000000000001E-2</v>
      </c>
      <c r="G43" s="5" cm="1">
        <f t="array" aca="1" ref="G43" ca="1">_FV(B43,"Change")</f>
        <v>23.04</v>
      </c>
      <c r="H43" s="6" cm="1">
        <f t="array" aca="1" ref="H43" ca="1">_FV(B43,"P/E",TRUE)</f>
        <v>60.819299999999998</v>
      </c>
      <c r="I43" s="6" cm="1">
        <f t="array" aca="1" ref="I43" ca="1">_FV(B43,"Beta")</f>
        <v>1.4933000000000001</v>
      </c>
      <c r="J43" s="3" cm="1">
        <f t="array" aca="1" ref="J43" ca="1">_FV(B43,"52 week high",TRUE)</f>
        <v>2156.69</v>
      </c>
      <c r="K43" s="3" cm="1">
        <f t="array" aca="1" ref="K43" ca="1">_FV(B43,"52 week low",TRUE)</f>
        <v>773.59670000000006</v>
      </c>
      <c r="L43" s="3" cm="1">
        <f t="array" aca="1" ref="L43" ca="1">_FV(B43,"High")</f>
        <v>2156.69</v>
      </c>
      <c r="M43" s="3" cm="1">
        <f t="array" aca="1" ref="M43" ca="1">_FV(B43,"Low")</f>
        <v>2034.01</v>
      </c>
      <c r="N43" s="3" cm="1">
        <f t="array" aca="1" ref="N43" ca="1">_FV(B43,"Open")</f>
        <v>2053.85</v>
      </c>
      <c r="O43" s="3" cm="1">
        <f t="array" aca="1" ref="O43" ca="1">_FV(B43,"Previous close",TRUE)</f>
        <v>2125.11</v>
      </c>
      <c r="P43" s="7" cm="1">
        <f t="array" aca="1" ref="P43" ca="1">_FV(B43,"Volume")</f>
        <v>490550</v>
      </c>
      <c r="Q43" s="7" cm="1">
        <f t="array" aca="1" ref="Q43" ca="1">_FV(B43,"Volume average",TRUE)</f>
        <v>1042502</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280607464125</v>
      </c>
      <c r="V43" s="7" cm="1">
        <f t="array" aca="1" ref="V43" ca="1">_FV(B43,"Shares outstanding",TRUE)</f>
        <v>130627500</v>
      </c>
    </row>
    <row r="44" spans="1:22">
      <c r="A44" t="s">
        <v>37</v>
      </c>
      <c r="B44" t="e" vm="47">
        <v>#VALUE!</v>
      </c>
      <c r="C44" s="2">
        <f t="array" aca="1" ref="C44" ca="1">_FV(B44,"Last trade time",TRUE)</f>
        <v>46177.811444085157</v>
      </c>
      <c r="D44" t="str">
        <f t="array" aca="1" ref="D44" ca="1">_FV(B44,"Currency")</f>
        <v>USD</v>
      </c>
      <c r="E44" s="3">
        <f t="array" aca="1" ref="E44" ca="1">_FV(B44,"Price")</f>
        <v>77.017499999999998</v>
      </c>
      <c r="F44" s="4">
        <f t="array" aca="1" ref="F44" ca="1">_FV(B44,"Change (%)",TRUE)</f>
        <v>-2.2124000000000001E-2</v>
      </c>
      <c r="G44" s="5">
        <f t="array" aca="1" ref="G44" ca="1">_FV(B44,"Change")</f>
        <v>-1.7424999999999999</v>
      </c>
      <c r="H44" s="6">
        <f t="array" aca="1" ref="H44" ca="1">_FV(B44,"P/E",TRUE)</f>
        <v>24.245999999999999</v>
      </c>
      <c r="I44" s="6">
        <f t="array" aca="1" ref="I44" ca="1">_FV(B44,"Beta")</f>
        <v>0.3548</v>
      </c>
      <c r="J44" s="3">
        <f t="array" aca="1" ref="J44" ca="1">_FV(B44,"52 week high",TRUE)</f>
        <v>82.663499999999999</v>
      </c>
      <c r="K44" s="3">
        <f t="array" aca="1" ref="K44" ca="1">_FV(B44,"52 week low",TRUE)</f>
        <v>65.353800000000007</v>
      </c>
      <c r="L44" s="3">
        <f t="array" aca="1" ref="L44" ca="1">_FV(B44,"High")</f>
        <v>80.040000000000006</v>
      </c>
      <c r="M44" s="3">
        <f t="array" aca="1" ref="M44" ca="1">_FV(B44,"Low")</f>
        <v>77</v>
      </c>
      <c r="N44" s="3">
        <f t="array" aca="1" ref="N44" ca="1">_FV(B44,"Open")</f>
        <v>79.62</v>
      </c>
      <c r="O44" s="3">
        <f t="array" aca="1" ref="O44" ca="1">_FV(B44,"Previous close",TRUE)</f>
        <v>78.760000000000005</v>
      </c>
      <c r="P44" s="7">
        <f t="array" aca="1" ref="P44" ca="1">_FV(B44,"Volume")</f>
        <v>9127588</v>
      </c>
      <c r="Q44" s="7">
        <f t="array" aca="1" ref="Q44" ca="1">_FV(B44,"Volume average",TRUE)</f>
        <v>14734554</v>
      </c>
      <c r="R44" s="8">
        <f t="array" aca="1" ref="R44" ca="1">_FV(B44,"Year incorporated",TRUE)</f>
        <v>1919</v>
      </c>
      <c r="S44" s="7">
        <f t="array" aca="1" ref="S44" ca="1">_FV(B44,"Employees")</f>
        <v>65900</v>
      </c>
      <c r="T44" t="str">
        <f t="array" aca="1" ref="T44" ca="1">_FV(B44,"Industry")</f>
        <v>Beverages</v>
      </c>
      <c r="U44" s="7">
        <f t="array" aca="1" ref="U44" ca="1">_FV(B44,"Market cap",TRUE)</f>
        <v>331366407435</v>
      </c>
      <c r="V44" s="7">
        <f t="array" aca="1" ref="V44" ca="1">_FV(B44,"Shares outstanding",TRUE)</f>
        <v>4302482000</v>
      </c>
    </row>
    <row r="45" spans="1:22">
      <c r="A45" t="s">
        <v>61</v>
      </c>
      <c r="B45" t="e" vm="48">
        <v>#VALUE!</v>
      </c>
      <c r="C45" s="2">
        <f t="array" aca="1" ref="C45" ca="1">_FV(B45,"Last trade time",TRUE)</f>
        <v>46177.811448159373</v>
      </c>
      <c r="D45" t="str">
        <f t="array" aca="1" ref="D45" ca="1">_FV(B45,"Currency")</f>
        <v>USD</v>
      </c>
      <c r="E45" s="3">
        <f t="array" aca="1" ref="E45" ca="1">_FV(B45,"Price")</f>
        <v>18.16</v>
      </c>
      <c r="F45" s="4">
        <f t="array" aca="1" ref="F45" ca="1">_FV(B45,"Change (%)",TRUE)</f>
        <v>0.16261199999999998</v>
      </c>
      <c r="G45" s="5">
        <f t="array" aca="1" ref="G45" ca="1">_FV(B45,"Change")</f>
        <v>2.54</v>
      </c>
      <c r="H45" s="6">
        <f t="array" aca="1" ref="H45" ca="1">_FV(B45,"P/E",TRUE)</f>
        <v>0</v>
      </c>
      <c r="I45" s="6">
        <f t="array" aca="1" ref="I45" ca="1">_FV(B45,"Beta")</f>
        <v>1.3462000000000001</v>
      </c>
      <c r="J45" s="3">
        <f t="array" aca="1" ref="J45" ca="1">_FV(B45,"52 week high",TRUE)</f>
        <v>18.940000000000001</v>
      </c>
      <c r="K45" s="3">
        <f t="array" aca="1" ref="K45" ca="1">_FV(B45,"52 week low",TRUE)</f>
        <v>2.75</v>
      </c>
      <c r="L45" s="3">
        <f t="array" aca="1" ref="L45" ca="1">_FV(B45,"High")</f>
        <v>18.770099999999999</v>
      </c>
      <c r="M45" s="3">
        <f t="array" aca="1" ref="M45" ca="1">_FV(B45,"Low")</f>
        <v>14.7</v>
      </c>
      <c r="N45" s="3">
        <f t="array" aca="1" ref="N45" ca="1">_FV(B45,"Open")</f>
        <v>14.89</v>
      </c>
      <c r="O45" s="3">
        <f t="array" aca="1" ref="O45" ca="1">_FV(B45,"Previous close",TRUE)</f>
        <v>15.62</v>
      </c>
      <c r="P45" s="7">
        <f t="array" aca="1" ref="P45" ca="1">_FV(B45,"Volume")</f>
        <v>4553864</v>
      </c>
      <c r="Q45" s="7">
        <f t="array" aca="1" ref="Q45" ca="1">_FV(B45,"Volume average",TRUE)</f>
        <v>4059215</v>
      </c>
      <c r="R45" s="8">
        <f t="array" aca="1" ref="R45" ca="1">_FV(B45,"Year incorporated",TRUE)</f>
        <v>1992</v>
      </c>
      <c r="S45" s="7">
        <f t="array" aca="1" ref="S45" ca="1">_FV(B45,"Employees")</f>
        <v>345</v>
      </c>
      <c r="T45" t="str">
        <f t="array" aca="1" ref="T45" ca="1">_FV(B45,"Industry")</f>
        <v>Computers, Phones &amp; Household Electronics</v>
      </c>
      <c r="U45" s="7">
        <f t="array" aca="1" ref="U45" ca="1">_FV(B45,"Market cap",TRUE)</f>
        <v>1140255685</v>
      </c>
      <c r="V45" s="7">
        <f t="array" aca="1" ref="V45" ca="1">_FV(B45,"Shares outstanding",TRUE)</f>
        <v>62789410</v>
      </c>
    </row>
    <row r="46" spans="1:22">
      <c r="A46" t="s">
        <v>76</v>
      </c>
      <c r="B46" t="e" vm="49">
        <v>#VALUE!</v>
      </c>
      <c r="C46" s="2">
        <f t="array" aca="1" ref="C46" ca="1">_FV(B46,"Last trade time",TRUE)</f>
        <v>46177.81143366875</v>
      </c>
      <c r="D46" t="str">
        <f t="array" aca="1" ref="D46" ca="1">_FV(B46,"Currency")</f>
        <v>USD</v>
      </c>
      <c r="E46" s="3">
        <f t="array" aca="1" ref="E46" ca="1">_FV(B46,"Price")</f>
        <v>12.52</v>
      </c>
      <c r="F46" s="4">
        <f t="array" aca="1" ref="F46" ca="1">_FV(B46,"Change (%)",TRUE)</f>
        <v>1.8713999999999998E-2</v>
      </c>
      <c r="G46" s="5">
        <f t="array" aca="1" ref="G46" ca="1">_FV(B46,"Change")</f>
        <v>0.23</v>
      </c>
      <c r="H46" s="6">
        <f t="array" aca="1" ref="H46" ca="1">_FV(B46,"P/E",TRUE)</f>
        <v>0</v>
      </c>
      <c r="I46" s="6">
        <f t="array" aca="1" ref="I46" ca="1">_FV(B46,"Beta")</f>
        <v>2.3813</v>
      </c>
      <c r="J46" s="3">
        <f t="array" aca="1" ref="J46" ca="1">_FV(B46,"52 week high",TRUE)</f>
        <v>18.709</v>
      </c>
      <c r="K46" s="3">
        <f t="array" aca="1" ref="K46" ca="1">_FV(B46,"52 week low",TRUE)</f>
        <v>0.98540000000000005</v>
      </c>
      <c r="L46" s="3">
        <f t="array" aca="1" ref="L46" ca="1">_FV(B46,"High")</f>
        <v>12.89</v>
      </c>
      <c r="M46" s="3">
        <f t="array" aca="1" ref="M46" ca="1">_FV(B46,"Low")</f>
        <v>11.61</v>
      </c>
      <c r="N46" s="3">
        <f t="array" aca="1" ref="N46" ca="1">_FV(B46,"Open")</f>
        <v>11.85</v>
      </c>
      <c r="O46" s="3">
        <f t="array" aca="1" ref="O46" ca="1">_FV(B46,"Previous close",TRUE)</f>
        <v>12.29</v>
      </c>
      <c r="P46" s="7">
        <f t="array" aca="1" ref="P46" ca="1">_FV(B46,"Volume")</f>
        <v>3822924</v>
      </c>
      <c r="Q46" s="7">
        <f t="array" aca="1" ref="Q46" ca="1">_FV(B46,"Volume average",TRUE)</f>
        <v>9100870</v>
      </c>
      <c r="R46" s="8">
        <f t="array" aca="1" ref="R46" ca="1">_FV(B46,"Year incorporated",TRUE)</f>
        <v>1997</v>
      </c>
      <c r="S46" s="7">
        <f t="array" aca="1" ref="S46" ca="1">_FV(B46,"Employees")</f>
        <v>34</v>
      </c>
      <c r="T46" t="str">
        <f t="array" aca="1" ref="T46" ca="1">_FV(B46,"Industry")</f>
        <v>Electronic Equipment &amp; Parts</v>
      </c>
      <c r="U46" s="7">
        <f t="array" aca="1" ref="U46" ca="1">_FV(B46,"Market cap",TRUE)</f>
        <v>1929076592</v>
      </c>
      <c r="V46" s="7">
        <f t="array" aca="1" ref="V46" ca="1">_FV(B46,"Shares outstanding",TRUE)</f>
        <v>154079600</v>
      </c>
    </row>
    <row r="47" spans="1:22">
      <c r="A47" t="s">
        <v>612</v>
      </c>
      <c r="B47" t="e" vm="50">
        <v>#VALUE!</v>
      </c>
      <c r="C47" s="2" cm="1">
        <f t="array" aca="1" ref="C47" ca="1">_FV(B47,"Last trade time",TRUE)</f>
        <v>46177.811466145315</v>
      </c>
      <c r="D47" t="str" cm="1">
        <f t="array" aca="1" ref="D47" ca="1">_FV(B47,"Currency")</f>
        <v>USD</v>
      </c>
      <c r="E47" s="3" cm="1">
        <f t="array" aca="1" ref="E47" ca="1">_FV(B47,"Price")</f>
        <v>273.19060000000002</v>
      </c>
      <c r="F47" s="4" cm="1">
        <f t="array" aca="1" ref="F47" ca="1">_FV(B47,"Change (%)",TRUE)</f>
        <v>-3.637E-4</v>
      </c>
      <c r="G47" s="5" cm="1">
        <f t="array" aca="1" ref="G47" ca="1">_FV(B47,"Change")</f>
        <v>-9.9400000000000002E-2</v>
      </c>
      <c r="H47" s="6" cm="1">
        <f t="array" aca="1" ref="H47" ca="1">_FV(B47,"P/E",TRUE)</f>
        <v>22.518699999999999</v>
      </c>
      <c r="I47" s="6" cm="1">
        <f t="array" aca="1" ref="I47" ca="1">_FV(B47,"Beta")</f>
        <v>0.41589999999999999</v>
      </c>
      <c r="J47" s="3" cm="1">
        <f t="array" aca="1" ref="J47" ca="1">_FV(B47,"52 week high",TRUE)</f>
        <v>341.75</v>
      </c>
      <c r="K47" s="3" cm="1">
        <f t="array" aca="1" ref="K47" ca="1">_FV(B47,"52 week low",TRUE)</f>
        <v>271.85000000000002</v>
      </c>
      <c r="L47" s="3" cm="1">
        <f t="array" aca="1" ref="L47" ca="1">_FV(B47,"High")</f>
        <v>278.5</v>
      </c>
      <c r="M47" s="3" cm="1">
        <f t="array" aca="1" ref="M47" ca="1">_FV(B47,"Low")</f>
        <v>271.85000000000002</v>
      </c>
      <c r="N47" s="3" cm="1">
        <f t="array" aca="1" ref="N47" ca="1">_FV(B47,"Open")</f>
        <v>278.02499999999998</v>
      </c>
      <c r="O47" s="3" cm="1">
        <f t="array" aca="1" ref="O47" ca="1">_FV(B47,"Previous close",TRUE)</f>
        <v>273.29000000000002</v>
      </c>
      <c r="P47" s="7" cm="1">
        <f t="array" aca="1" ref="P47" ca="1">_FV(B47,"Volume")</f>
        <v>2490203</v>
      </c>
      <c r="Q47" s="7" cm="1">
        <f t="array" aca="1" ref="Q47" ca="1">_FV(B47,"Volume average",TRUE)</f>
        <v>4350079</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194103533124</v>
      </c>
      <c r="V47" s="7" cm="1">
        <f t="array" aca="1" ref="V47" ca="1">_FV(B47,"Shares outstanding",TRUE)</f>
        <v>710505900</v>
      </c>
    </row>
    <row r="48" spans="1:22">
      <c r="A48" t="s">
        <v>138</v>
      </c>
      <c r="B48" t="e" vm="51">
        <v>#VALUE!</v>
      </c>
      <c r="C48" s="2" cm="1">
        <f t="array" aca="1" ref="C48" ca="1">_FV(B48,"Last trade time",TRUE)</f>
        <v>46177.811427025001</v>
      </c>
      <c r="D48" t="str" cm="1">
        <f t="array" aca="1" ref="D48" ca="1">_FV(B48,"Currency")</f>
        <v>USD</v>
      </c>
      <c r="E48" s="3" cm="1">
        <f t="array" aca="1" ref="E48" ca="1">_FV(B48,"Price")</f>
        <v>384.47500000000002</v>
      </c>
      <c r="F48" s="4" cm="1">
        <f t="array" aca="1" ref="F48" ca="1">_FV(B48,"Change (%)",TRUE)</f>
        <v>4.3860999999999997E-2</v>
      </c>
      <c r="G48" s="5" cm="1">
        <f t="array" aca="1" ref="G48" ca="1">_FV(B48,"Change")</f>
        <v>16.155000000000001</v>
      </c>
      <c r="H48" s="6" cm="1">
        <f t="array" aca="1" ref="H48" ca="1">_FV(B48,"P/E",TRUE)</f>
        <v>0</v>
      </c>
      <c r="I48" s="6" cm="1">
        <f t="array" aca="1" ref="I48" ca="1">_FV(B48,"Beta")</f>
        <v>1.5404</v>
      </c>
      <c r="J48" s="3" cm="1">
        <f t="array" aca="1" ref="J48" ca="1">_FV(B48,"52 week high",TRUE)</f>
        <v>444.72</v>
      </c>
      <c r="K48" s="3" cm="1">
        <f t="array" aca="1" ref="K48" ca="1">_FV(B48,"52 week low",TRUE)</f>
        <v>193.86500000000001</v>
      </c>
      <c r="L48" s="3" cm="1">
        <f t="array" aca="1" ref="L48" ca="1">_FV(B48,"High")</f>
        <v>390</v>
      </c>
      <c r="M48" s="3" cm="1">
        <f t="array" aca="1" ref="M48" ca="1">_FV(B48,"Low")</f>
        <v>369</v>
      </c>
      <c r="N48" s="3" cm="1">
        <f t="array" aca="1" ref="N48" ca="1">_FV(B48,"Open")</f>
        <v>372.95</v>
      </c>
      <c r="O48" s="3" cm="1">
        <f t="array" aca="1" ref="O48" ca="1">_FV(B48,"Previous close",TRUE)</f>
        <v>368.32</v>
      </c>
      <c r="P48" s="7" cm="1">
        <f t="array" aca="1" ref="P48" ca="1">_FV(B48,"Volume")</f>
        <v>1272994</v>
      </c>
      <c r="Q48" s="7" cm="1">
        <f t="array" aca="1" ref="Q48" ca="1">_FV(B48,"Volume average",TRUE)</f>
        <v>2712677</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30924066286</v>
      </c>
      <c r="V48" s="7" cm="1">
        <f t="array" aca="1" ref="V48" ca="1">_FV(B48,"Shares outstanding",TRUE)</f>
        <v>80431930</v>
      </c>
    </row>
    <row r="49" spans="1:22">
      <c r="A49" t="s">
        <v>41</v>
      </c>
      <c r="B49" t="e" vm="52">
        <v>#VALUE!</v>
      </c>
      <c r="C49" s="2">
        <f t="array" aca="1" ref="C49" ca="1">_FV(B49,"Last trade time",TRUE)</f>
        <v>46177.811426515625</v>
      </c>
      <c r="D49" t="str">
        <f t="array" aca="1" ref="D49" ca="1">_FV(B49,"Currency")</f>
        <v>USD</v>
      </c>
      <c r="E49" s="3">
        <f t="array" aca="1" ref="E49" ca="1">_FV(B49,"Price")</f>
        <v>624.91</v>
      </c>
      <c r="F49" s="4">
        <f t="array" aca="1" ref="F49" ca="1">_FV(B49,"Change (%)",TRUE)</f>
        <v>3.0980000000000001E-3</v>
      </c>
      <c r="G49" s="5">
        <f t="array" aca="1" ref="G49" ca="1">_FV(B49,"Change")</f>
        <v>1.93</v>
      </c>
      <c r="H49" s="6">
        <f t="array" aca="1" ref="H49" ca="1">_FV(B49,"P/E",TRUE)</f>
        <v>18.954499999999999</v>
      </c>
      <c r="I49" s="6">
        <f t="array" aca="1" ref="I49" ca="1">_FV(B49,"Beta")</f>
        <v>1.2302</v>
      </c>
      <c r="J49" s="3">
        <f t="array" aca="1" ref="J49" ca="1">_FV(B49,"52 week high",TRUE)</f>
        <v>796.25</v>
      </c>
      <c r="K49" s="3">
        <f t="array" aca="1" ref="K49" ca="1">_FV(B49,"52 week low",TRUE)</f>
        <v>520.26</v>
      </c>
      <c r="L49" s="3">
        <f t="array" aca="1" ref="L49" ca="1">_FV(B49,"High")</f>
        <v>642.33000000000004</v>
      </c>
      <c r="M49" s="3">
        <f t="array" aca="1" ref="M49" ca="1">_FV(B49,"Low")</f>
        <v>622.6</v>
      </c>
      <c r="N49" s="3">
        <f t="array" aca="1" ref="N49" ca="1">_FV(B49,"Open")</f>
        <v>624.42999999999995</v>
      </c>
      <c r="O49" s="3">
        <f t="array" aca="1" ref="O49" ca="1">_FV(B49,"Previous close",TRUE)</f>
        <v>622.98</v>
      </c>
      <c r="P49" s="7">
        <f t="array" aca="1" ref="P49" ca="1">_FV(B49,"Volume")</f>
        <v>14040218</v>
      </c>
      <c r="Q49" s="7">
        <f t="array" aca="1" ref="Q49" ca="1">_FV(B49,"Volume average",TRUE)</f>
        <v>17700244</v>
      </c>
      <c r="R49" s="8">
        <f t="array" aca="1" ref="R49" ca="1">_FV(B49,"Year incorporated",TRUE)</f>
        <v>2004</v>
      </c>
      <c r="S49" s="7">
        <f t="array" aca="1" ref="S49" ca="1">_FV(B49,"Employees")</f>
        <v>77986</v>
      </c>
      <c r="T49" t="str">
        <f t="array" aca="1" ref="T49" ca="1">_FV(B49,"Industry")</f>
        <v>Software &amp; IT Services</v>
      </c>
      <c r="U49" s="7">
        <f t="array" aca="1" ref="U49" ca="1">_FV(B49,"Market cap",TRUE)</f>
        <v>1586285916930</v>
      </c>
      <c r="V49" s="7">
        <f t="array" aca="1" ref="V49" ca="1">_FV(B49,"Shares outstanding",TRUE)</f>
        <v>2538423000</v>
      </c>
    </row>
    <row r="50" spans="1:22">
      <c r="A50" t="s">
        <v>48</v>
      </c>
      <c r="B50" t="e" vm="53">
        <v>#VALUE!</v>
      </c>
      <c r="C50" s="2">
        <f t="array" aca="1" ref="C50" ca="1">_FV(B50,"Last trade time",TRUE)</f>
        <v>46177.811482060155</v>
      </c>
      <c r="D50" t="str">
        <f t="array" aca="1" ref="D50" ca="1">_FV(B50,"Currency")</f>
        <v>USD</v>
      </c>
      <c r="E50" s="3">
        <f t="array" aca="1" ref="E50" ca="1">_FV(B50,"Price")</f>
        <v>318.36500000000001</v>
      </c>
      <c r="F50" s="4">
        <f t="array" aca="1" ref="F50" ca="1">_FV(B50,"Change (%)",TRUE)</f>
        <v>5.5411999999999996E-2</v>
      </c>
      <c r="G50" s="5">
        <f t="array" aca="1" ref="G50" ca="1">_FV(B50,"Change")</f>
        <v>16.715</v>
      </c>
      <c r="H50" s="6">
        <f t="array" aca="1" ref="H50" ca="1">_FV(B50,"P/E",TRUE)</f>
        <v>109.0478</v>
      </c>
      <c r="I50" s="6">
        <f t="array" aca="1" ref="I50" ca="1">_FV(B50,"Beta")</f>
        <v>2.2231000000000001</v>
      </c>
      <c r="J50" s="3">
        <f t="array" aca="1" ref="J50" ca="1">_FV(B50,"52 week high",TRUE)</f>
        <v>324.2</v>
      </c>
      <c r="K50" s="3">
        <f t="array" aca="1" ref="K50" ca="1">_FV(B50,"52 week low",TRUE)</f>
        <v>61.44</v>
      </c>
      <c r="L50" s="3">
        <f t="array" aca="1" ref="L50" ca="1">_FV(B50,"High")</f>
        <v>319.55</v>
      </c>
      <c r="M50" s="3">
        <f t="array" aca="1" ref="M50" ca="1">_FV(B50,"Low")</f>
        <v>277.58999999999997</v>
      </c>
      <c r="N50" s="3">
        <f t="array" aca="1" ref="N50" ca="1">_FV(B50,"Open")</f>
        <v>283.67</v>
      </c>
      <c r="O50" s="3">
        <f t="array" aca="1" ref="O50" ca="1">_FV(B50,"Previous close",TRUE)</f>
        <v>301.64999999999998</v>
      </c>
      <c r="P50" s="7">
        <f t="array" aca="1" ref="P50" ca="1">_FV(B50,"Volume")</f>
        <v>73603851</v>
      </c>
      <c r="Q50" s="7">
        <f t="array" aca="1" ref="Q50" ca="1">_FV(B50,"Volume average",TRUE)</f>
        <v>34282210</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278505702000</v>
      </c>
      <c r="V50" s="7">
        <f t="array" aca="1" ref="V50" ca="1">_FV(B50,"Shares outstanding",TRUE)</f>
        <v>874800000</v>
      </c>
    </row>
    <row r="51" spans="1:22">
      <c r="A51" t="s">
        <v>23</v>
      </c>
      <c r="B51" t="e" vm="54">
        <v>#VALUE!</v>
      </c>
      <c r="C51" s="2">
        <f t="array" aca="1" ref="C51" ca="1">_FV(B51,"Last trade time",TRUE)</f>
        <v>46177.811474883594</v>
      </c>
      <c r="D51" t="str">
        <f t="array" aca="1" ref="D51" ca="1">_FV(B51,"Currency")</f>
        <v>USD</v>
      </c>
      <c r="E51" s="3">
        <f t="array" aca="1" ref="E51" ca="1">_FV(B51,"Price")</f>
        <v>427.59500000000003</v>
      </c>
      <c r="F51" s="4">
        <f t="array" aca="1" ref="F51" ca="1">_FV(B51,"Change (%)",TRUE)</f>
        <v>5.9670000000000003E-4</v>
      </c>
      <c r="G51" s="5">
        <f t="array" aca="1" ref="G51" ca="1">_FV(B51,"Change")</f>
        <v>0.255</v>
      </c>
      <c r="H51" s="6">
        <f t="array" aca="1" ref="H51" ca="1">_FV(B51,"P/E",TRUE)</f>
        <v>25.4678</v>
      </c>
      <c r="I51" s="6">
        <f t="array" aca="1" ref="I51" ca="1">_FV(B51,"Beta")</f>
        <v>1.1081000000000001</v>
      </c>
      <c r="J51" s="3">
        <f t="array" aca="1" ref="J51" ca="1">_FV(B51,"52 week high",TRUE)</f>
        <v>555.45000000000005</v>
      </c>
      <c r="K51" s="3">
        <f t="array" aca="1" ref="K51" ca="1">_FV(B51,"52 week low",TRUE)</f>
        <v>356.28</v>
      </c>
      <c r="L51" s="3">
        <f t="array" aca="1" ref="L51" ca="1">_FV(B51,"High")</f>
        <v>436.15</v>
      </c>
      <c r="M51" s="3">
        <f t="array" aca="1" ref="M51" ca="1">_FV(B51,"Low")</f>
        <v>426.41</v>
      </c>
      <c r="N51" s="3">
        <f t="array" aca="1" ref="N51" ca="1">_FV(B51,"Open")</f>
        <v>435.64</v>
      </c>
      <c r="O51" s="3">
        <f t="array" aca="1" ref="O51" ca="1">_FV(B51,"Previous close",TRUE)</f>
        <v>427.34</v>
      </c>
      <c r="P51" s="7">
        <f t="array" aca="1" ref="P51" ca="1">_FV(B51,"Volume")</f>
        <v>18497378</v>
      </c>
      <c r="Q51" s="7">
        <f t="array" aca="1" ref="Q51" ca="1">_FV(B51,"Volume average",TRUE)</f>
        <v>37514215</v>
      </c>
      <c r="R51" s="8">
        <f t="array" aca="1" ref="R51" ca="1">_FV(B51,"Year incorporated",TRUE)</f>
        <v>1993</v>
      </c>
      <c r="S51" s="7">
        <f t="array" aca="1" ref="S51" ca="1">_FV(B51,"Employees")</f>
        <v>228000</v>
      </c>
      <c r="T51" t="str">
        <f t="array" aca="1" ref="T51" ca="1">_FV(B51,"Industry")</f>
        <v>Software &amp; IT Services</v>
      </c>
      <c r="U51" s="7">
        <f t="array" aca="1" ref="U51" ca="1">_FV(B51,"Market cap",TRUE)</f>
        <v>3176361663825</v>
      </c>
      <c r="V51" s="7">
        <f t="array" aca="1" ref="V51" ca="1">_FV(B51,"Shares outstanding",TRUE)</f>
        <v>7428435000</v>
      </c>
    </row>
    <row r="52" spans="1:22">
      <c r="A52" t="s">
        <v>448</v>
      </c>
      <c r="B52" t="e" vm="55">
        <v>#VALUE!</v>
      </c>
      <c r="C52" s="2">
        <f t="array" aca="1" ref="C52" ca="1">_FV(B52,"Last trade time",TRUE)</f>
        <v>46177.811415971875</v>
      </c>
      <c r="D52" t="str">
        <f t="array" aca="1" ref="D52" ca="1">_FV(B52,"Currency")</f>
        <v>USD</v>
      </c>
      <c r="E52" s="3">
        <f t="array" aca="1" ref="E52" ca="1">_FV(B52,"Price")</f>
        <v>130.72</v>
      </c>
      <c r="F52" s="4">
        <f t="array" aca="1" ref="F52" ca="1">_FV(B52,"Change (%)",TRUE)</f>
        <v>3.2992E-2</v>
      </c>
      <c r="G52" s="5">
        <f t="array" aca="1" ref="G52" ca="1">_FV(B52,"Change")</f>
        <v>4.1749999999999998</v>
      </c>
      <c r="H52" s="6">
        <f t="array" aca="1" ref="H52" ca="1">_FV(B52,"P/E",TRUE)</f>
        <v>0</v>
      </c>
      <c r="I52" s="6">
        <f t="array" aca="1" ref="I52" ca="1">_FV(B52,"Beta")</f>
        <v>3.4939</v>
      </c>
      <c r="J52" s="3">
        <f t="array" aca="1" ref="J52" ca="1">_FV(B52,"52 week high",TRUE)</f>
        <v>457.22</v>
      </c>
      <c r="K52" s="3">
        <f t="array" aca="1" ref="K52" ca="1">_FV(B52,"52 week low",TRUE)</f>
        <v>104.16500000000001</v>
      </c>
      <c r="L52" s="3">
        <f t="array" aca="1" ref="L52" ca="1">_FV(B52,"High")</f>
        <v>131.47</v>
      </c>
      <c r="M52" s="3">
        <f t="array" aca="1" ref="M52" ca="1">_FV(B52,"Low")</f>
        <v>125.6601</v>
      </c>
      <c r="N52" s="3">
        <f t="array" aca="1" ref="N52" ca="1">_FV(B52,"Open")</f>
        <v>126.76</v>
      </c>
      <c r="O52" s="3">
        <f t="array" aca="1" ref="O52" ca="1">_FV(B52,"Previous close",TRUE)</f>
        <v>126.545</v>
      </c>
      <c r="P52" s="7">
        <f t="array" aca="1" ref="P52" ca="1">_FV(B52,"Volume")</f>
        <v>20014697</v>
      </c>
      <c r="Q52" s="7">
        <f t="array" aca="1" ref="Q52" ca="1">_FV(B52,"Volume average",TRUE)</f>
        <v>15988194</v>
      </c>
      <c r="R52" s="8">
        <f t="array" aca="1" ref="R52" ca="1">_FV(B52,"Year incorporated",TRUE)</f>
        <v>1989</v>
      </c>
      <c r="S52" s="7">
        <f t="array" aca="1" ref="S52" ca="1">_FV(B52,"Employees")</f>
        <v>1511</v>
      </c>
      <c r="T52" t="str">
        <f t="array" aca="1" ref="T52" ca="1">_FV(B52,"Industry")</f>
        <v>Software &amp; IT Services</v>
      </c>
      <c r="U52" s="7">
        <f t="array" aca="1" ref="U52" ca="1">_FV(B52,"Market cap",TRUE)</f>
        <v>46823629488</v>
      </c>
      <c r="V52" s="7">
        <f t="array" aca="1" ref="V52" ca="1">_FV(B52,"Shares outstanding",TRUE)</f>
        <v>358197900</v>
      </c>
    </row>
    <row r="53" spans="1:22">
      <c r="A53" t="s">
        <v>67</v>
      </c>
      <c r="B53" t="e" vm="56">
        <v>#VALUE!</v>
      </c>
      <c r="C53" s="2">
        <f t="array" aca="1" ref="C53" ca="1">_FV(B53,"Last trade time",TRUE)</f>
        <v>46177.811406967186</v>
      </c>
      <c r="D53" t="str">
        <f t="array" aca="1" ref="D53" ca="1">_FV(B53,"Currency")</f>
        <v>USD</v>
      </c>
      <c r="E53" s="3">
        <f t="array" aca="1" ref="E53" ca="1">_FV(B53,"Price")</f>
        <v>1021.73</v>
      </c>
      <c r="F53" s="4">
        <f t="array" aca="1" ref="F53" ca="1">_FV(B53,"Change (%)",TRUE)</f>
        <v>-5.3577000000000007E-2</v>
      </c>
      <c r="G53" s="5">
        <f t="array" aca="1" ref="G53" ca="1">_FV(B53,"Change")</f>
        <v>-57.84</v>
      </c>
      <c r="H53" s="6">
        <f t="array" aca="1" ref="H53" ca="1">_FV(B53,"P/E",TRUE)</f>
        <v>48.237400000000001</v>
      </c>
      <c r="I53" s="6">
        <f t="array" aca="1" ref="I53" ca="1">_FV(B53,"Beta")</f>
        <v>2.1627000000000001</v>
      </c>
      <c r="J53" s="3">
        <f t="array" aca="1" ref="J53" ca="1">_FV(B53,"52 week high",TRUE)</f>
        <v>1089.29</v>
      </c>
      <c r="K53" s="3">
        <f t="array" aca="1" ref="K53" ca="1">_FV(B53,"52 week low",TRUE)</f>
        <v>101.7</v>
      </c>
      <c r="L53" s="3">
        <f t="array" aca="1" ref="L53" ca="1">_FV(B53,"High")</f>
        <v>1036.3698999999999</v>
      </c>
      <c r="M53" s="3">
        <f t="array" aca="1" ref="M53" ca="1">_FV(B53,"Low")</f>
        <v>971.68</v>
      </c>
      <c r="N53" s="3">
        <f t="array" aca="1" ref="N53" ca="1">_FV(B53,"Open")</f>
        <v>1005.6</v>
      </c>
      <c r="O53" s="3">
        <f t="array" aca="1" ref="O53" ca="1">_FV(B53,"Previous close",TRUE)</f>
        <v>1079.57</v>
      </c>
      <c r="P53" s="7">
        <f t="array" aca="1" ref="P53" ca="1">_FV(B53,"Volume")</f>
        <v>44388567</v>
      </c>
      <c r="Q53" s="7">
        <f t="array" aca="1" ref="Q53" ca="1">_FV(B53,"Volume average",TRUE)</f>
        <v>52982988</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1152239659820</v>
      </c>
      <c r="V53" s="7">
        <f t="array" aca="1" ref="V53" ca="1">_FV(B53,"Shares outstanding",TRUE)</f>
        <v>1127734000</v>
      </c>
    </row>
    <row r="54" spans="1:22">
      <c r="A54" t="s">
        <v>139</v>
      </c>
      <c r="B54" t="e" vm="57">
        <v>#VALUE!</v>
      </c>
      <c r="C54" s="2" cm="1">
        <f t="array" aca="1" ref="C54" ca="1">_FV(B54,"Last trade time",TRUE)</f>
        <v>46177.811304837502</v>
      </c>
      <c r="D54" t="str" cm="1">
        <f t="array" aca="1" ref="D54" ca="1">_FV(B54,"Currency")</f>
        <v>USD</v>
      </c>
      <c r="E54" s="3" cm="1">
        <f t="array" aca="1" ref="E54" ca="1">_FV(B54,"Price")</f>
        <v>273.73</v>
      </c>
      <c r="F54" s="4" cm="1">
        <f t="array" aca="1" ref="F54" ca="1">_FV(B54,"Change (%)",TRUE)</f>
        <v>3.1659E-2</v>
      </c>
      <c r="G54" s="5" cm="1">
        <f t="array" aca="1" ref="G54" ca="1">_FV(B54,"Change")</f>
        <v>8.4</v>
      </c>
      <c r="H54" s="6" t="e" cm="1" vm="13">
        <f t="array" ref="H54">_FV(B54,"P/E",TRUE)</f>
        <v>#VALUE!</v>
      </c>
      <c r="I54" s="6" cm="1">
        <f t="array" aca="1" ref="I54" ca="1">_FV(B54,"Beta")</f>
        <v>1.6637999999999999</v>
      </c>
      <c r="J54" s="3" cm="1">
        <f t="array" aca="1" ref="J54" ca="1">_FV(B54,"52 week high",TRUE)</f>
        <v>276.815</v>
      </c>
      <c r="K54" s="3" cm="1">
        <f t="array" aca="1" ref="K54" ca="1">_FV(B54,"52 week low",TRUE)</f>
        <v>158.83000000000001</v>
      </c>
      <c r="L54" s="3" cm="1">
        <f t="array" aca="1" ref="L54" ca="1">_FV(B54,"High")</f>
        <v>276.815</v>
      </c>
      <c r="M54" s="3" cm="1">
        <f t="array" aca="1" ref="M54" ca="1">_FV(B54,"Low")</f>
        <v>253.94</v>
      </c>
      <c r="N54" s="3" cm="1">
        <f t="array" aca="1" ref="N54" ca="1">_FV(B54,"Open")</f>
        <v>257.14999999999998</v>
      </c>
      <c r="O54" s="3" cm="1">
        <f t="array" aca="1" ref="O54" ca="1">_FV(B54,"Previous close",TRUE)</f>
        <v>265.33</v>
      </c>
      <c r="P54" s="7" cm="1">
        <f t="array" aca="1" ref="P54" ca="1">_FV(B54,"Volume")</f>
        <v>3340932</v>
      </c>
      <c r="Q54" s="7" cm="1">
        <f t="array" aca="1" ref="Q54" ca="1">_FV(B54,"Volume average",TRUE)</f>
        <v>4952078</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96754302926</v>
      </c>
      <c r="V54" s="7" cm="1">
        <f t="array" aca="1" ref="V54" ca="1">_FV(B54,"Shares outstanding",TRUE)</f>
        <v>353466200</v>
      </c>
    </row>
    <row r="55" spans="1:22">
      <c r="A55" t="s">
        <v>617</v>
      </c>
      <c r="B55" t="e" vm="58">
        <v>#VALUE!</v>
      </c>
      <c r="C55" s="2" cm="1">
        <f t="array" aca="1" ref="C55" ca="1">_FV(B55,"Last trade time",TRUE)</f>
        <v>46177.75</v>
      </c>
      <c r="D55" t="str" cm="1">
        <f t="array" aca="1" ref="D55" ca="1">_FV(B55,"Currency")</f>
        <v>EUR</v>
      </c>
      <c r="E55" s="3" cm="1">
        <f t="array" aca="1" ref="E55" ca="1">_FV(B55,"Price")</f>
        <v>37.36</v>
      </c>
      <c r="F55" s="4" cm="1">
        <f t="array" aca="1" ref="F55" ca="1">_FV(B55,"Change (%)",TRUE)</f>
        <v>3.3570000000000002E-3</v>
      </c>
      <c r="G55" s="5" cm="1">
        <f t="array" aca="1" ref="G55" ca="1">_FV(B55,"Change")</f>
        <v>0.125</v>
      </c>
      <c r="H55" s="6" cm="1">
        <f t="array" aca="1" ref="H55" ca="1">_FV(B55,"P/E",TRUE)</f>
        <v>28.961200000000002</v>
      </c>
      <c r="I55" s="6" cm="1">
        <f t="array" aca="1" ref="I55" ca="1">_FV(B55,"Beta")</f>
        <v>1.1182000000000001</v>
      </c>
      <c r="J55" s="3" t="e" cm="1" vm="59">
        <f t="array" ref="J55">_FV(B55,"52 week high",TRUE)</f>
        <v>#VALUE!</v>
      </c>
      <c r="K55" s="3" t="e" cm="1" vm="60">
        <f t="array" ref="K55">_FV(B55,"52 week low",TRUE)</f>
        <v>#VALUE!</v>
      </c>
      <c r="L55" s="3" cm="1">
        <f t="array" aca="1" ref="L55" ca="1">_FV(B55,"High")</f>
        <v>38.195</v>
      </c>
      <c r="M55" s="3" cm="1">
        <f t="array" aca="1" ref="M55" ca="1">_FV(B55,"Low")</f>
        <v>37.35</v>
      </c>
      <c r="N55" s="3" cm="1">
        <f t="array" aca="1" ref="N55" ca="1">_FV(B55,"Open")</f>
        <v>38.03</v>
      </c>
      <c r="O55" s="3" cm="1">
        <f t="array" aca="1" ref="O55" ca="1">_FV(B55,"Previous close",TRUE)</f>
        <v>37.234999999999999</v>
      </c>
      <c r="P55" s="7" cm="1">
        <f t="array" aca="1" ref="P55" ca="1">_FV(B55,"Volume")</f>
        <v>2872</v>
      </c>
      <c r="Q55" s="7" cm="1">
        <f t="array" aca="1" ref="Q55" ca="1">_FV(B55,"Volume average",TRUE)</f>
        <v>24332150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449</v>
      </c>
      <c r="B56" t="e" vm="61">
        <v>#VALUE!</v>
      </c>
      <c r="C56" s="2">
        <f t="array" aca="1" ref="C56" ca="1">_FV(B56,"Last trade time",TRUE)</f>
        <v>46177.811476503906</v>
      </c>
      <c r="D56" t="str">
        <f t="array" aca="1" ref="D56" ca="1">_FV(B56,"Currency")</f>
        <v>USD</v>
      </c>
      <c r="E56" s="3">
        <f t="array" aca="1" ref="E56" ca="1">_FV(B56,"Price")</f>
        <v>16.535</v>
      </c>
      <c r="F56" s="4">
        <f t="array" aca="1" ref="F56" ca="1">_FV(B56,"Change (%)",TRUE)</f>
        <v>-1.1656E-2</v>
      </c>
      <c r="G56" s="5">
        <f t="array" aca="1" ref="G56" ca="1">_FV(B56,"Change")</f>
        <v>-0.19500000000000001</v>
      </c>
      <c r="H56" s="6">
        <f t="array" aca="1" ref="H56" ca="1">_FV(B56,"P/E",TRUE)</f>
        <v>102.7657</v>
      </c>
      <c r="I56" s="6">
        <f t="array" aca="1" ref="I56" ca="1">_FV(B56,"Beta")</f>
        <v>1.1366000000000001</v>
      </c>
      <c r="J56" s="3">
        <f t="array" aca="1" ref="J56" ca="1">_FV(B56,"52 week high",TRUE)</f>
        <v>17.45</v>
      </c>
      <c r="K56" s="3">
        <f t="array" aca="1" ref="K56" ca="1">_FV(B56,"52 week low",TRUE)</f>
        <v>4</v>
      </c>
      <c r="L56" s="3">
        <f t="array" aca="1" ref="L56" ca="1">_FV(B56,"High")</f>
        <v>16.54</v>
      </c>
      <c r="M56" s="3">
        <f t="array" aca="1" ref="M56" ca="1">_FV(B56,"Low")</f>
        <v>15.525</v>
      </c>
      <c r="N56" s="3">
        <f t="array" aca="1" ref="N56" ca="1">_FV(B56,"Open")</f>
        <v>15.79</v>
      </c>
      <c r="O56" s="3">
        <f t="array" aca="1" ref="O56" ca="1">_FV(B56,"Previous close",TRUE)</f>
        <v>16.73</v>
      </c>
      <c r="P56" s="7">
        <f t="array" aca="1" ref="P56" ca="1">_FV(B56,"Volume")</f>
        <v>114338104</v>
      </c>
      <c r="Q56" s="7">
        <f t="array" aca="1" ref="Q56" ca="1">_FV(B56,"Volume average",TRUE)</f>
        <v>124181252</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94947938400</v>
      </c>
      <c r="V56" s="7">
        <f t="array" aca="1" ref="V56" ca="1">_FV(B56,"Shares outstanding",TRUE)</f>
        <v>5742240000</v>
      </c>
    </row>
    <row r="57" spans="1:22">
      <c r="A57" t="s">
        <v>16</v>
      </c>
      <c r="B57" t="e" vm="62">
        <v>#VALUE!</v>
      </c>
      <c r="C57" s="2">
        <f t="array" aca="1" ref="C57" ca="1">_FV(B57,"Last trade time",TRUE)</f>
        <v>46177.811372823438</v>
      </c>
      <c r="D57" t="str">
        <f t="array" aca="1" ref="D57" ca="1">_FV(B57,"Currency")</f>
        <v>USD</v>
      </c>
      <c r="E57" s="3">
        <f t="array" aca="1" ref="E57" ca="1">_FV(B57,"Price")</f>
        <v>120.78</v>
      </c>
      <c r="F57" s="4">
        <f t="array" aca="1" ref="F57" ca="1">_FV(B57,"Change (%)",TRUE)</f>
        <v>2.4426999999999997E-2</v>
      </c>
      <c r="G57" s="5">
        <f t="array" aca="1" ref="G57" ca="1">_FV(B57,"Change")</f>
        <v>2.88</v>
      </c>
      <c r="H57" s="6">
        <f t="array" aca="1" ref="H57" ca="1">_FV(B57,"P/E",TRUE)</f>
        <v>71.832999999999998</v>
      </c>
      <c r="I57" s="6">
        <f t="array" aca="1" ref="I57" ca="1">_FV(B57,"Beta")</f>
        <v>0.93189999999999995</v>
      </c>
      <c r="J57" s="3">
        <f t="array" aca="1" ref="J57" ca="1">_FV(B57,"52 week high",TRUE)</f>
        <v>211.47800000000001</v>
      </c>
      <c r="K57" s="3">
        <f t="array" aca="1" ref="K57" ca="1">_FV(B57,"52 week low",TRUE)</f>
        <v>81.239999999999995</v>
      </c>
      <c r="L57" s="3">
        <f t="array" aca="1" ref="L57" ca="1">_FV(B57,"High")</f>
        <v>124.79</v>
      </c>
      <c r="M57" s="3">
        <f t="array" aca="1" ref="M57" ca="1">_FV(B57,"Low")</f>
        <v>119.4716</v>
      </c>
      <c r="N57" s="3">
        <f t="array" aca="1" ref="N57" ca="1">_FV(B57,"Open")</f>
        <v>122.39</v>
      </c>
      <c r="O57" s="3">
        <f t="array" aca="1" ref="O57" ca="1">_FV(B57,"Previous close",TRUE)</f>
        <v>117.9</v>
      </c>
      <c r="P57" s="7">
        <f t="array" aca="1" ref="P57" ca="1">_FV(B57,"Volume")</f>
        <v>23046366</v>
      </c>
      <c r="Q57" s="7">
        <f t="array" aca="1" ref="Q57" ca="1">_FV(B57,"Volume average",TRUE)</f>
        <v>32047151</v>
      </c>
      <c r="R57" s="8">
        <f t="array" aca="1" ref="R57" ca="1">_FV(B57,"Year incorporated",TRUE)</f>
        <v>2012</v>
      </c>
      <c r="S57" s="7">
        <f t="array" aca="1" ref="S57" ca="1">_FV(B57,"Employees")</f>
        <v>29187</v>
      </c>
      <c r="T57" t="str">
        <f t="array" aca="1" ref="T57" ca="1">_FV(B57,"Industry")</f>
        <v>Software &amp; IT Services</v>
      </c>
      <c r="U57" s="7">
        <f t="array" aca="1" ref="U57" ca="1">_FV(B57,"Market cap",TRUE)</f>
        <v>124561380240</v>
      </c>
      <c r="V57" s="7">
        <f t="array" aca="1" ref="V57" ca="1">_FV(B57,"Shares outstanding",TRUE)</f>
        <v>1031308000</v>
      </c>
    </row>
    <row r="58" spans="1:22">
      <c r="A58" t="s">
        <v>59</v>
      </c>
      <c r="B58" t="e" vm="63">
        <v>#VALUE!</v>
      </c>
      <c r="C58" s="2">
        <f t="array" aca="1" ref="C58" ca="1">_FV(B58,"Last trade time",TRUE)</f>
        <v>46177.811406318753</v>
      </c>
      <c r="D58" t="str">
        <f t="array" aca="1" ref="D58" ca="1">_FV(B58,"Currency")</f>
        <v>USD</v>
      </c>
      <c r="E58" s="3">
        <f t="array" aca="1" ref="E58" ca="1">_FV(B58,"Price")</f>
        <v>220.25</v>
      </c>
      <c r="F58" s="4">
        <f t="array" aca="1" ref="F58" ca="1">_FV(B58,"Change (%)",TRUE)</f>
        <v>2.6806999999999997E-2</v>
      </c>
      <c r="G58" s="5">
        <f t="array" aca="1" ref="G58" ca="1">_FV(B58,"Change")</f>
        <v>5.75</v>
      </c>
      <c r="H58" s="6">
        <f t="array" aca="1" ref="H58" ca="1">_FV(B58,"P/E",TRUE)</f>
        <v>33.728900000000003</v>
      </c>
      <c r="I58" s="6">
        <f t="array" aca="1" ref="I58" ca="1">_FV(B58,"Beta")</f>
        <v>2.2016</v>
      </c>
      <c r="J58" s="3">
        <f t="array" aca="1" ref="J58" ca="1">_FV(B58,"52 week high",TRUE)</f>
        <v>236.54</v>
      </c>
      <c r="K58" s="3">
        <f t="array" aca="1" ref="K58" ca="1">_FV(B58,"52 week low",TRUE)</f>
        <v>138.83000000000001</v>
      </c>
      <c r="L58" s="3">
        <f t="array" aca="1" ref="L58" ca="1">_FV(B58,"High")</f>
        <v>221.6</v>
      </c>
      <c r="M58" s="3">
        <f t="array" aca="1" ref="M58" ca="1">_FV(B58,"Low")</f>
        <v>210.97</v>
      </c>
      <c r="N58" s="3">
        <f t="array" aca="1" ref="N58" ca="1">_FV(B58,"Open")</f>
        <v>214</v>
      </c>
      <c r="O58" s="3">
        <f t="array" aca="1" ref="O58" ca="1">_FV(B58,"Previous close",TRUE)</f>
        <v>214.5</v>
      </c>
      <c r="P58" s="7">
        <f t="array" aca="1" ref="P58" ca="1">_FV(B58,"Volume")</f>
        <v>132194664</v>
      </c>
      <c r="Q58" s="7">
        <f t="array" aca="1" ref="Q58" ca="1">_FV(B58,"Volume average",TRUE)</f>
        <v>169636487</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5330050000000</v>
      </c>
      <c r="V58" s="7">
        <f t="array" aca="1" ref="V58" ca="1">_FV(B58,"Shares outstanding",TRUE)</f>
        <v>24200000000</v>
      </c>
    </row>
    <row r="59" spans="1:22">
      <c r="A59" t="s">
        <v>302</v>
      </c>
      <c r="B59" t="e" vm="64">
        <v>#VALUE!</v>
      </c>
      <c r="C59" s="2" cm="1">
        <f t="array" aca="1" ref="C59" ca="1">_FV(B59,"Last trade time",TRUE)</f>
        <v>46177.811364710156</v>
      </c>
      <c r="D59" t="str" cm="1">
        <f t="array" aca="1" ref="D59" ca="1">_FV(B59,"Currency")</f>
        <v>USD</v>
      </c>
      <c r="E59" s="3" cm="1">
        <f t="array" aca="1" ref="E59" ca="1">_FV(B59,"Price")</f>
        <v>133.22999999999999</v>
      </c>
      <c r="F59" s="4" cm="1">
        <f t="array" aca="1" ref="F59" ca="1">_FV(B59,"Change (%)",TRUE)</f>
        <v>-5.2270000000000007E-3</v>
      </c>
      <c r="G59" s="5" cm="1">
        <f t="array" aca="1" ref="G59" ca="1">_FV(B59,"Change")</f>
        <v>-0.7</v>
      </c>
      <c r="H59" s="6" cm="1">
        <f t="array" aca="1" ref="H59" ca="1">_FV(B59,"P/E",TRUE)</f>
        <v>95.137100000000004</v>
      </c>
      <c r="I59" s="6" cm="1">
        <f t="array" aca="1" ref="I59" ca="1">_FV(B59,"Beta")</f>
        <v>1.9646999999999999</v>
      </c>
      <c r="J59" s="3" cm="1">
        <f t="array" aca="1" ref="J59" ca="1">_FV(B59,"52 week high",TRUE)</f>
        <v>134.91999999999999</v>
      </c>
      <c r="K59" s="3" cm="1">
        <f t="array" aca="1" ref="K59" ca="1">_FV(B59,"52 week low",TRUE)</f>
        <v>44.56</v>
      </c>
      <c r="L59" s="3" cm="1">
        <f t="array" aca="1" ref="L59" ca="1">_FV(B59,"High")</f>
        <v>134.48500000000001</v>
      </c>
      <c r="M59" s="3" cm="1">
        <f t="array" aca="1" ref="M59" ca="1">_FV(B59,"Low")</f>
        <v>124.93</v>
      </c>
      <c r="N59" s="3" cm="1">
        <f t="array" aca="1" ref="N59" ca="1">_FV(B59,"Open")</f>
        <v>127.3</v>
      </c>
      <c r="O59" s="3" cm="1">
        <f t="array" aca="1" ref="O59" ca="1">_FV(B59,"Previous close",TRUE)</f>
        <v>133.93</v>
      </c>
      <c r="P59" s="7" cm="1">
        <f t="array" aca="1" ref="P59" ca="1">_FV(B59,"Volume")</f>
        <v>7111127</v>
      </c>
      <c r="Q59" s="7" cm="1">
        <f t="array" aca="1" ref="Q59" ca="1">_FV(B59,"Volume average",TRUE)</f>
        <v>12784604</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52213263335</v>
      </c>
      <c r="V59" s="7" cm="1">
        <f t="array" aca="1" ref="V59" ca="1">_FV(B59,"Shares outstanding",TRUE)</f>
        <v>391903200</v>
      </c>
    </row>
    <row r="60" spans="1:22">
      <c r="A60" t="s">
        <v>450</v>
      </c>
      <c r="B60" t="e" vm="65">
        <v>#VALUE!</v>
      </c>
      <c r="C60" s="2">
        <f t="array" aca="1" ref="C60" ca="1">_FV(B60,"Last trade time",TRUE)</f>
        <v>46177.811415231248</v>
      </c>
      <c r="D60" t="str">
        <f t="array" aca="1" ref="D60" ca="1">_FV(B60,"Currency")</f>
        <v>USD</v>
      </c>
      <c r="E60" s="3">
        <f t="array" aca="1" ref="E60" ca="1">_FV(B60,"Price")</f>
        <v>12.095000000000001</v>
      </c>
      <c r="F60" s="4">
        <f t="array" aca="1" ref="F60" ca="1">_FV(B60,"Change (%)",TRUE)</f>
        <v>4.1773999999999999E-2</v>
      </c>
      <c r="G60" s="5">
        <f t="array" aca="1" ref="G60" ca="1">_FV(B60,"Change")</f>
        <v>0.48499999999999999</v>
      </c>
      <c r="H60" s="6">
        <f t="array" aca="1" ref="H60" ca="1">_FV(B60,"P/E",TRUE)</f>
        <v>30.496700000000001</v>
      </c>
      <c r="I60" s="6">
        <f t="array" aca="1" ref="I60" ca="1">_FV(B60,"Beta")</f>
        <v>2.6408</v>
      </c>
      <c r="J60" s="3">
        <f t="array" aca="1" ref="J60" ca="1">_FV(B60,"52 week high",TRUE)</f>
        <v>15.28</v>
      </c>
      <c r="K60" s="3">
        <f t="array" aca="1" ref="K60" ca="1">_FV(B60,"52 week low",TRUE)</f>
        <v>1.36</v>
      </c>
      <c r="L60" s="3">
        <f t="array" aca="1" ref="L60" ca="1">_FV(B60,"High")</f>
        <v>12.42</v>
      </c>
      <c r="M60" s="3">
        <f t="array" aca="1" ref="M60" ca="1">_FV(B60,"Low")</f>
        <v>11.06</v>
      </c>
      <c r="N60" s="3">
        <f t="array" aca="1" ref="N60" ca="1">_FV(B60,"Open")</f>
        <v>11.48</v>
      </c>
      <c r="O60" s="3">
        <f t="array" aca="1" ref="O60" ca="1">_FV(B60,"Previous close",TRUE)</f>
        <v>11.61</v>
      </c>
      <c r="P60" s="7">
        <f t="array" aca="1" ref="P60" ca="1">_FV(B60,"Volume")</f>
        <v>56641152</v>
      </c>
      <c r="Q60" s="7">
        <f t="array" aca="1" ref="Q60" ca="1">_FV(B60,"Volume average",TRUE)</f>
        <v>81258413</v>
      </c>
      <c r="R60" s="8">
        <f t="array" aca="1" ref="R60" ca="1">_FV(B60,"Year incorporated",TRUE)</f>
        <v>2014</v>
      </c>
      <c r="S60" s="7">
        <f t="array" aca="1" ref="S60" ca="1">_FV(B60,"Employees")</f>
        <v>459</v>
      </c>
      <c r="T60" t="str">
        <f t="array" aca="1" ref="T60" ca="1">_FV(B60,"Industry")</f>
        <v>Communications &amp; Networking</v>
      </c>
      <c r="U60" s="7">
        <f t="array" aca="1" ref="U60" ca="1">_FV(B60,"Market cap",TRUE)</f>
        <v>6139481265</v>
      </c>
      <c r="V60" s="7">
        <f t="array" aca="1" ref="V60" ca="1">_FV(B60,"Shares outstanding",TRUE)</f>
        <v>507604900</v>
      </c>
    </row>
    <row r="61" spans="1:22">
      <c r="A61" t="s">
        <v>44</v>
      </c>
      <c r="B61" t="e" vm="66">
        <v>#VALUE!</v>
      </c>
      <c r="C61" s="2">
        <f t="array" aca="1" ref="C61" ca="1">_FV(B61,"Last trade time",TRUE)</f>
        <v>46177.811466712497</v>
      </c>
      <c r="D61" t="str">
        <f t="array" aca="1" ref="D61" ca="1">_FV(B61,"Currency")</f>
        <v>USD</v>
      </c>
      <c r="E61" s="3">
        <f t="array" aca="1" ref="E61" ca="1">_FV(B61,"Price")</f>
        <v>238.64</v>
      </c>
      <c r="F61" s="4">
        <f t="array" aca="1" ref="F61" ca="1">_FV(B61,"Change (%)",TRUE)</f>
        <v>3.6079E-2</v>
      </c>
      <c r="G61" s="5">
        <f t="array" aca="1" ref="G61" ca="1">_FV(B61,"Change")</f>
        <v>8.31</v>
      </c>
      <c r="H61" s="6">
        <f t="array" aca="1" ref="H61" ca="1">_FV(B61,"P/E",TRUE)</f>
        <v>40.448099999999997</v>
      </c>
      <c r="I61" s="6">
        <f t="array" aca="1" ref="I61" ca="1">_FV(B61,"Beta")</f>
        <v>1.6519999999999999</v>
      </c>
      <c r="J61" s="3">
        <f t="array" aca="1" ref="J61" ca="1">_FV(B61,"52 week high",TRUE)</f>
        <v>345.72</v>
      </c>
      <c r="K61" s="3">
        <f t="array" aca="1" ref="K61" ca="1">_FV(B61,"52 week low",TRUE)</f>
        <v>134.57</v>
      </c>
      <c r="L61" s="3">
        <f t="array" aca="1" ref="L61" ca="1">_FV(B61,"High")</f>
        <v>238.95</v>
      </c>
      <c r="M61" s="3">
        <f t="array" aca="1" ref="M61" ca="1">_FV(B61,"Low")</f>
        <v>224.30760000000001</v>
      </c>
      <c r="N61" s="3">
        <f t="array" aca="1" ref="N61" ca="1">_FV(B61,"Open")</f>
        <v>228.31</v>
      </c>
      <c r="O61" s="3">
        <f t="array" aca="1" ref="O61" ca="1">_FV(B61,"Previous close",TRUE)</f>
        <v>230.33</v>
      </c>
      <c r="P61" s="7">
        <f t="array" aca="1" ref="P61" ca="1">_FV(B61,"Volume")</f>
        <v>14981897</v>
      </c>
      <c r="Q61" s="7">
        <f t="array" aca="1" ref="Q61" ca="1">_FV(B61,"Volume average",TRUE)</f>
        <v>22709775</v>
      </c>
      <c r="R61" s="8">
        <f t="array" aca="1" ref="R61" ca="1">_FV(B61,"Year incorporated",TRUE)</f>
        <v>2005</v>
      </c>
      <c r="S61" s="7">
        <f t="array" aca="1" ref="S61" ca="1">_FV(B61,"Employees")</f>
        <v>162000</v>
      </c>
      <c r="T61" t="str">
        <f t="array" aca="1" ref="T61" ca="1">_FV(B61,"Industry")</f>
        <v>Software &amp; IT Services</v>
      </c>
      <c r="U61" s="7">
        <f t="array" aca="1" ref="U61" ca="1">_FV(B61,"Market cap",TRUE)</f>
        <v>686339617440</v>
      </c>
      <c r="V61" s="7">
        <f t="array" aca="1" ref="V61" ca="1">_FV(B61,"Shares outstanding",TRUE)</f>
        <v>2876046000</v>
      </c>
    </row>
    <row r="62" spans="1:22">
      <c r="A62" s="49" t="s">
        <v>143</v>
      </c>
      <c r="B62" t="e" vm="67">
        <v>#VALUE!</v>
      </c>
      <c r="C62" s="2" cm="1">
        <f t="array" aca="1" ref="C62" ca="1">_FV(B62,"Last trade time",TRUE)</f>
        <v>46177.811474432812</v>
      </c>
      <c r="D62" t="str" cm="1">
        <f t="array" aca="1" ref="D62" ca="1">_FV(B62,"Currency")</f>
        <v>USD</v>
      </c>
      <c r="E62" s="3" cm="1">
        <f t="array" aca="1" ref="E62" ca="1">_FV(B62,"Price")</f>
        <v>280.02</v>
      </c>
      <c r="F62" s="4" cm="1">
        <f t="array" aca="1" ref="F62" ca="1">_FV(B62,"Change (%)",TRUE)</f>
        <v>-1.462E-3</v>
      </c>
      <c r="G62" s="5" cm="1">
        <f t="array" aca="1" ref="G62" ca="1">_FV(B62,"Change")</f>
        <v>-0.41</v>
      </c>
      <c r="H62" s="6" cm="1">
        <f t="array" aca="1" ref="H62" ca="1">_FV(B62,"P/E",TRUE)</f>
        <v>230.56399999999999</v>
      </c>
      <c r="I62" s="6" cm="1">
        <f t="array" aca="1" ref="I62" ca="1">_FV(B62,"Beta")</f>
        <v>0.94489999999999996</v>
      </c>
      <c r="J62" s="3" cm="1">
        <f t="array" aca="1" ref="J62" ca="1">_FV(B62,"52 week high",TRUE)</f>
        <v>302.95</v>
      </c>
      <c r="K62" s="3" cm="1">
        <f t="array" aca="1" ref="K62" ca="1">_FV(B62,"52 week low",TRUE)</f>
        <v>139.57060000000001</v>
      </c>
      <c r="L62" s="3" cm="1">
        <f t="array" aca="1" ref="L62" ca="1">_FV(B62,"High")</f>
        <v>280.72000000000003</v>
      </c>
      <c r="M62" s="3" cm="1">
        <f t="array" aca="1" ref="M62" ca="1">_FV(B62,"Low")</f>
        <v>269</v>
      </c>
      <c r="N62" s="3" cm="1">
        <f t="array" aca="1" ref="N62" ca="1">_FV(B62,"Open")</f>
        <v>270</v>
      </c>
      <c r="O62" s="3" cm="1">
        <f t="array" aca="1" ref="O62" ca="1">_FV(B62,"Previous close",TRUE)</f>
        <v>280.43</v>
      </c>
      <c r="P62" s="7" cm="1">
        <f t="array" aca="1" ref="P62" ca="1">_FV(B62,"Volume")</f>
        <v>7586408</v>
      </c>
      <c r="Q62" s="7" cm="1">
        <f t="array" aca="1" ref="Q62" ca="1">_FV(B62,"Volume average",TRUE)</f>
        <v>9138606</v>
      </c>
      <c r="R62" s="8" cm="1">
        <f t="array" aca="1" ref="R62" ca="1">_FV(B62,"Year incorporated",TRUE)</f>
        <v>2005</v>
      </c>
      <c r="S62" s="7" cm="1">
        <f t="array" aca="1" ref="S62" ca="1">_FV(B62,"Employees")</f>
        <v>17027</v>
      </c>
      <c r="T62" t="str" cm="1">
        <f t="array" aca="1" ref="T62" ca="1">_FV(B62,"Industry")</f>
        <v>Software &amp; IT Services</v>
      </c>
      <c r="U62" s="7" cm="1">
        <f t="array" aca="1" ref="U62" ca="1">_FV(B62,"Market cap",TRUE)</f>
        <v>227096220000</v>
      </c>
      <c r="V62" s="7" cm="1">
        <f t="array" aca="1" ref="V62" ca="1">_FV(B62,"Shares outstanding",TRUE)</f>
        <v>811000000</v>
      </c>
    </row>
    <row r="63" spans="1:22">
      <c r="A63" t="s">
        <v>11</v>
      </c>
      <c r="B63" t="e" vm="68">
        <v>#VALUE!</v>
      </c>
      <c r="C63" s="2">
        <f t="array" aca="1" ref="C63" ca="1">_FV(B63,"Last trade time",TRUE)</f>
        <v>46177.811439108591</v>
      </c>
      <c r="D63" t="str">
        <f t="array" aca="1" ref="D63" ca="1">_FV(B63,"Currency")</f>
        <v>USD</v>
      </c>
      <c r="E63" s="3">
        <f t="array" aca="1" ref="E63" ca="1">_FV(B63,"Price")</f>
        <v>11.744300000000001</v>
      </c>
      <c r="F63" s="4">
        <f t="array" aca="1" ref="F63" ca="1">_FV(B63,"Change (%)",TRUE)</f>
        <v>6.3670000000000003E-3</v>
      </c>
      <c r="G63" s="5">
        <f t="array" aca="1" ref="G63" ca="1">_FV(B63,"Change")</f>
        <v>7.4300000000000005E-2</v>
      </c>
      <c r="H63" s="6">
        <f t="array" aca="1" ref="H63" ca="1">_FV(B63,"P/E",TRUE)</f>
        <v>19.521799999999999</v>
      </c>
      <c r="I63" s="6">
        <f t="array" aca="1" ref="I63" ca="1">_FV(B63,"Beta")</f>
        <v>0.96519999999999995</v>
      </c>
      <c r="J63" s="3">
        <f t="array" aca="1" ref="J63" ca="1">_FV(B63,"52 week high",TRUE)</f>
        <v>19.84</v>
      </c>
      <c r="K63" s="3">
        <f t="array" aca="1" ref="K63" ca="1">_FV(B63,"52 week low",TRUE)</f>
        <v>9.2002000000000006</v>
      </c>
      <c r="L63" s="3">
        <f t="array" aca="1" ref="L63" ca="1">_FV(B63,"High")</f>
        <v>12.14</v>
      </c>
      <c r="M63" s="3">
        <f t="array" aca="1" ref="M63" ca="1">_FV(B63,"Low")</f>
        <v>11.43</v>
      </c>
      <c r="N63" s="3">
        <f t="array" aca="1" ref="N63" ca="1">_FV(B63,"Open")</f>
        <v>11.91</v>
      </c>
      <c r="O63" s="3">
        <f t="array" aca="1" ref="O63" ca="1">_FV(B63,"Previous close",TRUE)</f>
        <v>11.67</v>
      </c>
      <c r="P63" s="7">
        <f t="array" aca="1" ref="P63" ca="1">_FV(B63,"Volume")</f>
        <v>37623286</v>
      </c>
      <c r="Q63" s="7">
        <f t="array" aca="1" ref="Q63" ca="1">_FV(B63,"Volume average",TRUE)</f>
        <v>39882897</v>
      </c>
      <c r="R63" s="8">
        <f t="array" aca="1" ref="R63" ca="1">_FV(B63,"Year incorporated",TRUE)</f>
        <v>2015</v>
      </c>
      <c r="S63" s="7">
        <f t="array" aca="1" ref="S63" ca="1">_FV(B63,"Employees")</f>
        <v>3981</v>
      </c>
      <c r="T63" t="str">
        <f t="array" aca="1" ref="T63" ca="1">_FV(B63,"Industry")</f>
        <v>Software &amp; IT Services</v>
      </c>
      <c r="U63" s="7">
        <f t="array" aca="1" ref="U63" ca="1">_FV(B63,"Market cap",TRUE)</f>
        <v>6112243422</v>
      </c>
      <c r="V63" s="7">
        <f t="array" aca="1" ref="V63" ca="1">_FV(B63,"Shares outstanding",TRUE)</f>
        <v>520443400</v>
      </c>
    </row>
    <row r="64" spans="1:22">
      <c r="A64" t="s">
        <v>616</v>
      </c>
      <c r="B64" t="e" vm="69">
        <v>#VALUE!</v>
      </c>
      <c r="C64" s="2" cm="1">
        <f t="array" aca="1" ref="C64" ca="1">_FV(B64,"Last trade time",TRUE)</f>
        <v>46177.811435625001</v>
      </c>
      <c r="D64" t="str" cm="1">
        <f t="array" aca="1" ref="D64" ca="1">_FV(B64,"Currency")</f>
        <v>USD</v>
      </c>
      <c r="E64" s="3" cm="1">
        <f t="array" aca="1" ref="E64" ca="1">_FV(B64,"Price")</f>
        <v>140.245</v>
      </c>
      <c r="F64" s="4" cm="1">
        <f t="array" aca="1" ref="F64" ca="1">_FV(B64,"Change (%)",TRUE)</f>
        <v>3.9229999999999999E-4</v>
      </c>
      <c r="G64" s="5" cm="1">
        <f t="array" aca="1" ref="G64" ca="1">_FV(B64,"Change")</f>
        <v>5.5E-2</v>
      </c>
      <c r="H64" s="6" cm="1">
        <f t="array" aca="1" ref="H64" ca="1">_FV(B64,"P/E",TRUE)</f>
        <v>20.510899999999999</v>
      </c>
      <c r="I64" s="6" cm="1">
        <f t="array" aca="1" ref="I64" ca="1">_FV(B64,"Beta")</f>
        <v>0.38700000000000001</v>
      </c>
      <c r="J64" s="3" cm="1">
        <f t="array" aca="1" ref="J64" ca="1">_FV(B64,"52 week high",TRUE)</f>
        <v>168.04499999999999</v>
      </c>
      <c r="K64" s="3" cm="1">
        <f t="array" aca="1" ref="K64" ca="1">_FV(B64,"52 week low",TRUE)</f>
        <v>137.62</v>
      </c>
      <c r="L64" s="3" cm="1">
        <f t="array" aca="1" ref="L64" ca="1">_FV(B64,"High")</f>
        <v>143.13999999999999</v>
      </c>
      <c r="M64" s="3" cm="1">
        <f t="array" aca="1" ref="M64" ca="1">_FV(B64,"Low")</f>
        <v>139.88999999999999</v>
      </c>
      <c r="N64" s="3" cm="1">
        <f t="array" aca="1" ref="N64" ca="1">_FV(B64,"Open")</f>
        <v>142.59</v>
      </c>
      <c r="O64" s="3" cm="1">
        <f t="array" aca="1" ref="O64" ca="1">_FV(B64,"Previous close",TRUE)</f>
        <v>140.19</v>
      </c>
      <c r="P64" s="7" cm="1">
        <f t="array" aca="1" ref="P64" ca="1">_FV(B64,"Volume")</f>
        <v>4780643</v>
      </c>
      <c r="Q64" s="7" cm="1">
        <f t="array" aca="1" ref="Q64" ca="1">_FV(B64,"Volume average",TRUE)</f>
        <v>8533966</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326574366755</v>
      </c>
      <c r="V64" s="7" cm="1">
        <f t="array" aca="1" ref="V64" ca="1">_FV(B64,"Shares outstanding",TRUE)</f>
        <v>2328599000</v>
      </c>
    </row>
    <row r="65" spans="1:22">
      <c r="A65" t="s">
        <v>58</v>
      </c>
      <c r="B65" t="e" vm="70">
        <v>#VALUE!</v>
      </c>
      <c r="C65" s="2">
        <f t="array" aca="1" ref="C65" ca="1">_FV(B65,"Last trade time",TRUE)</f>
        <v>46177.811425138279</v>
      </c>
      <c r="D65" t="str">
        <f t="array" aca="1" ref="D65" ca="1">_FV(B65,"Currency")</f>
        <v>USD</v>
      </c>
      <c r="E65" s="3">
        <f t="array" aca="1" ref="E65" ca="1">_FV(B65,"Price")</f>
        <v>31.59</v>
      </c>
      <c r="F65" s="4">
        <f t="array" aca="1" ref="F65" ca="1">_FV(B65,"Change (%)",TRUE)</f>
        <v>-1.6194E-2</v>
      </c>
      <c r="G65" s="5">
        <f t="array" aca="1" ref="G65" ca="1">_FV(B65,"Change")</f>
        <v>-0.52</v>
      </c>
      <c r="H65" s="6">
        <f t="array" aca="1" ref="H65" ca="1">_FV(B65,"P/E",TRUE)</f>
        <v>11.5693</v>
      </c>
      <c r="I65" s="6">
        <f t="array" aca="1" ref="I65" ca="1">_FV(B65,"Beta")</f>
        <v>1.3713</v>
      </c>
      <c r="J65" s="3">
        <f t="array" aca="1" ref="J65" ca="1">_FV(B65,"52 week high",TRUE)</f>
        <v>56</v>
      </c>
      <c r="K65" s="3">
        <f t="array" aca="1" ref="K65" ca="1">_FV(B65,"52 week low",TRUE)</f>
        <v>17.57</v>
      </c>
      <c r="L65" s="3">
        <f t="array" aca="1" ref="L65" ca="1">_FV(B65,"High")</f>
        <v>31.93</v>
      </c>
      <c r="M65" s="3">
        <f t="array" aca="1" ref="M65" ca="1">_FV(B65,"Low")</f>
        <v>30.67</v>
      </c>
      <c r="N65" s="3">
        <f t="array" aca="1" ref="N65" ca="1">_FV(B65,"Open")</f>
        <v>31.06</v>
      </c>
      <c r="O65" s="3">
        <f t="array" aca="1" ref="O65" ca="1">_FV(B65,"Previous close",TRUE)</f>
        <v>32.11</v>
      </c>
      <c r="P65" s="7">
        <f t="array" aca="1" ref="P65" ca="1">_FV(B65,"Volume")</f>
        <v>1246376</v>
      </c>
      <c r="Q65" s="7">
        <f t="array" aca="1" ref="Q65" ca="1">_FV(B65,"Volume average",TRUE)</f>
        <v>1691808</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1862748260</v>
      </c>
      <c r="V65" s="7">
        <f t="array" aca="1" ref="V65" ca="1">_FV(B65,"Shares outstanding",TRUE)</f>
        <v>58966390</v>
      </c>
    </row>
    <row r="66" spans="1:22">
      <c r="A66" t="s">
        <v>80</v>
      </c>
      <c r="B66" t="e" vm="71">
        <v>#VALUE!</v>
      </c>
      <c r="C66" s="2">
        <f t="array" aca="1" ref="C66" ca="1">_FV(B66,"Last trade time",TRUE)</f>
        <v>46177.811431539063</v>
      </c>
      <c r="D66" t="str">
        <f t="array" aca="1" ref="D66" ca="1">_FV(B66,"Currency")</f>
        <v>USD</v>
      </c>
      <c r="E66" s="3">
        <f t="array" aca="1" ref="E66" ca="1">_FV(B66,"Price")</f>
        <v>15.52</v>
      </c>
      <c r="F66" s="4">
        <f t="array" aca="1" ref="F66" ca="1">_FV(B66,"Change (%)",TRUE)</f>
        <v>9.103E-3</v>
      </c>
      <c r="G66" s="5">
        <f t="array" aca="1" ref="G66" ca="1">_FV(B66,"Change")</f>
        <v>0.14000000000000001</v>
      </c>
      <c r="H66" s="6">
        <f t="array" aca="1" ref="H66" ca="1">_FV(B66,"P/E",TRUE)</f>
        <v>0</v>
      </c>
      <c r="I66" s="6">
        <f t="array" aca="1" ref="I66" ca="1">_FV(B66,"Beta")</f>
        <v>0.70740000000000003</v>
      </c>
      <c r="J66" s="3">
        <f t="array" aca="1" ref="J66" ca="1">_FV(B66,"52 week high",TRUE)</f>
        <v>20.81</v>
      </c>
      <c r="K66" s="3">
        <f t="array" aca="1" ref="K66" ca="1">_FV(B66,"52 week low",TRUE)</f>
        <v>3.87</v>
      </c>
      <c r="L66" s="3">
        <f t="array" aca="1" ref="L66" ca="1">_FV(B66,"High")</f>
        <v>15.91</v>
      </c>
      <c r="M66" s="3">
        <f t="array" aca="1" ref="M66" ca="1">_FV(B66,"Low")</f>
        <v>13.75</v>
      </c>
      <c r="N66" s="3">
        <f t="array" aca="1" ref="N66" ca="1">_FV(B66,"Open")</f>
        <v>14.43</v>
      </c>
      <c r="O66" s="3">
        <f t="array" aca="1" ref="O66" ca="1">_FV(B66,"Previous close",TRUE)</f>
        <v>15.38</v>
      </c>
      <c r="P66" s="7">
        <f t="array" aca="1" ref="P66" ca="1">_FV(B66,"Volume")</f>
        <v>26389346</v>
      </c>
      <c r="Q66" s="7">
        <f t="array" aca="1" ref="Q66" ca="1">_FV(B66,"Volume average",TRUE)</f>
        <v>57268390</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2678680608</v>
      </c>
      <c r="V66" s="7">
        <f t="array" aca="1" ref="V66" ca="1">_FV(B66,"Shares outstanding",TRUE)</f>
        <v>172595400</v>
      </c>
    </row>
    <row r="67" spans="1:22">
      <c r="A67" t="s">
        <v>452</v>
      </c>
      <c r="B67" t="e" vm="72">
        <v>#VALUE!</v>
      </c>
      <c r="C67" s="2" cm="1">
        <f t="array" aca="1" ref="C67" ca="1">_FV(B67,"Last trade time",TRUE)</f>
        <v>46177.81148871484</v>
      </c>
      <c r="D67" t="str" cm="1">
        <f t="array" aca="1" ref="D67" ca="1">_FV(B67,"Currency")</f>
        <v>USD</v>
      </c>
      <c r="E67" s="3" cm="1">
        <f t="array" aca="1" ref="E67" ca="1">_FV(B67,"Price")</f>
        <v>244.9</v>
      </c>
      <c r="F67" s="4" cm="1">
        <f t="array" aca="1" ref="F67" ca="1">_FV(B67,"Change (%)",TRUE)</f>
        <v>-1.6820999999999999E-2</v>
      </c>
      <c r="G67" s="5" cm="1">
        <f t="array" aca="1" ref="G67" ca="1">_FV(B67,"Change")</f>
        <v>-4.1900000000000004</v>
      </c>
      <c r="H67" s="6" cm="1">
        <f t="array" aca="1" ref="H67" ca="1">_FV(B67,"P/E",TRUE)</f>
        <v>26.6387</v>
      </c>
      <c r="I67" s="6" cm="1">
        <f t="array" aca="1" ref="I67" ca="1">_FV(B67,"Beta")</f>
        <v>1.5955999999999999</v>
      </c>
      <c r="J67" s="3" cm="1">
        <f t="array" aca="1" ref="J67" ca="1">_FV(B67,"52 week high",TRUE)</f>
        <v>259.92</v>
      </c>
      <c r="K67" s="3" cm="1">
        <f t="array" aca="1" ref="K67" ca="1">_FV(B67,"52 week low",TRUE)</f>
        <v>121.99</v>
      </c>
      <c r="L67" s="3" cm="1">
        <f t="array" aca="1" ref="L67" ca="1">_FV(B67,"High")</f>
        <v>246.7</v>
      </c>
      <c r="M67" s="3" cm="1">
        <f t="array" aca="1" ref="M67" ca="1">_FV(B67,"Low")</f>
        <v>235.33</v>
      </c>
      <c r="N67" s="3" cm="1">
        <f t="array" aca="1" ref="N67" ca="1">_FV(B67,"Open")</f>
        <v>239.23</v>
      </c>
      <c r="O67" s="3" cm="1">
        <f t="array" aca="1" ref="O67" ca="1">_FV(B67,"Previous close",TRUE)</f>
        <v>249.09</v>
      </c>
      <c r="P67" s="7" cm="1">
        <f t="array" aca="1" ref="P67" ca="1">_FV(B67,"Volume")</f>
        <v>9894206</v>
      </c>
      <c r="Q67" s="7" cm="1">
        <f t="array" aca="1" ref="Q67" ca="1">_FV(B67,"Volume average",TRUE)</f>
        <v>29640500</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258124600000</v>
      </c>
      <c r="V67" s="7" cm="1">
        <f t="array" aca="1" ref="V67" ca="1">_FV(B67,"Shares outstanding",TRUE)</f>
        <v>1054000000</v>
      </c>
    </row>
    <row r="68" spans="1:22">
      <c r="A68" t="s">
        <v>20</v>
      </c>
      <c r="B68" t="e" vm="73">
        <v>#VALUE!</v>
      </c>
      <c r="C68" s="2">
        <f t="array" aca="1" ref="C68" ca="1">_FV(B68,"Last trade time",TRUE)</f>
        <v>46177.811370960153</v>
      </c>
      <c r="D68" t="str">
        <f t="array" aca="1" ref="D68" ca="1">_FV(B68,"Currency")</f>
        <v>USD</v>
      </c>
      <c r="E68" s="3">
        <f t="array" aca="1" ref="E68" ca="1">_FV(B68,"Price")</f>
        <v>112.87</v>
      </c>
      <c r="F68" s="4">
        <f t="array" aca="1" ref="F68" ca="1">_FV(B68,"Change (%)",TRUE)</f>
        <v>1.1289E-2</v>
      </c>
      <c r="G68" s="5">
        <f t="array" aca="1" ref="G68" ca="1">_FV(B68,"Change")</f>
        <v>1.26</v>
      </c>
      <c r="H68" s="6">
        <f t="array" aca="1" ref="H68" ca="1">_FV(B68,"P/E",TRUE)</f>
        <v>20.267900000000001</v>
      </c>
      <c r="I68" s="6">
        <f t="array" aca="1" ref="I68" ca="1">_FV(B68,"Beta")</f>
        <v>0.64800000000000002</v>
      </c>
      <c r="J68" s="3">
        <f t="array" aca="1" ref="J68" ca="1">_FV(B68,"52 week high",TRUE)</f>
        <v>155.47</v>
      </c>
      <c r="K68" s="3">
        <f t="array" aca="1" ref="K68" ca="1">_FV(B68,"52 week low",TRUE)</f>
        <v>74.510000000000005</v>
      </c>
      <c r="L68" s="3">
        <f t="array" aca="1" ref="L68" ca="1">_FV(B68,"High")</f>
        <v>114.1</v>
      </c>
      <c r="M68" s="3">
        <f t="array" aca="1" ref="M68" ca="1">_FV(B68,"Low")</f>
        <v>111.15</v>
      </c>
      <c r="N68" s="3">
        <f t="array" aca="1" ref="N68" ca="1">_FV(B68,"Open")</f>
        <v>112.36</v>
      </c>
      <c r="O68" s="3">
        <f t="array" aca="1" ref="O68" ca="1">_FV(B68,"Previous close",TRUE)</f>
        <v>111.61</v>
      </c>
      <c r="P68" s="7">
        <f t="array" aca="1" ref="P68" ca="1">_FV(B68,"Volume")</f>
        <v>428510</v>
      </c>
      <c r="Q68" s="7">
        <f t="array" aca="1" ref="Q68" ca="1">_FV(B68,"Volume average",TRUE)</f>
        <v>832971</v>
      </c>
      <c r="R68" s="8">
        <f t="array" aca="1" ref="R68" ca="1">_FV(B68,"Year incorporated",TRUE)</f>
        <v>1999</v>
      </c>
      <c r="S68" s="7">
        <f t="array" aca="1" ref="S68" ca="1">_FV(B68,"Employees")</f>
        <v>2683</v>
      </c>
      <c r="T68" t="str">
        <f t="array" aca="1" ref="T68" ca="1">_FV(B68,"Industry")</f>
        <v>Software &amp; IT Services</v>
      </c>
      <c r="U68" s="7">
        <f t="array" aca="1" ref="U68" ca="1">_FV(B68,"Market cap",TRUE)</f>
        <v>3974943918</v>
      </c>
      <c r="V68" s="7">
        <f t="array" aca="1" ref="V68" ca="1">_FV(B68,"Shares outstanding",TRUE)</f>
        <v>35217010</v>
      </c>
    </row>
    <row r="69" spans="1:22">
      <c r="A69" t="s">
        <v>153</v>
      </c>
      <c r="B69" t="e" vm="74">
        <v>#VALUE!</v>
      </c>
      <c r="C69" s="2" cm="1">
        <f t="array" aca="1" ref="C69" ca="1">_FV(B69,"Last trade time",TRUE)</f>
        <v>46177.81147453672</v>
      </c>
      <c r="D69" t="str" cm="1">
        <f t="array" aca="1" ref="D69" ca="1">_FV(B69,"Currency")</f>
        <v>USD</v>
      </c>
      <c r="E69" s="3" cm="1">
        <f t="array" aca="1" ref="E69" ca="1">_FV(B69,"Price")</f>
        <v>742.96</v>
      </c>
      <c r="F69" s="4" cm="1">
        <f t="array" aca="1" ref="F69" ca="1">_FV(B69,"Change (%)",TRUE)</f>
        <v>-1.6800000000000001E-3</v>
      </c>
      <c r="G69" s="5" cm="1">
        <f t="array" aca="1" ref="G69" ca="1">_FV(B69,"Change")</f>
        <v>-1.25</v>
      </c>
      <c r="H69" s="6" t="e" cm="1" vm="13">
        <f t="array" ref="H69">_FV(B69,"P/E",TRUE)</f>
        <v>#VALUE!</v>
      </c>
      <c r="I69" s="6" cm="1">
        <f t="array" aca="1" ref="I69" ca="1">_FV(B69,"Beta")</f>
        <v>1.0089999999999999</v>
      </c>
      <c r="J69" s="3" cm="1">
        <f t="array" aca="1" ref="J69" ca="1">_FV(B69,"52 week high",TRUE)</f>
        <v>748.65</v>
      </c>
      <c r="K69" s="3" cm="1">
        <f t="array" aca="1" ref="K69" ca="1">_FV(B69,"52 week low",TRUE)</f>
        <v>522.66</v>
      </c>
      <c r="L69" s="3" cm="1">
        <f t="array" aca="1" ref="L69" ca="1">_FV(B69,"High")</f>
        <v>743.43</v>
      </c>
      <c r="M69" s="3" cm="1">
        <f t="array" aca="1" ref="M69" ca="1">_FV(B69,"Low")</f>
        <v>732.63</v>
      </c>
      <c r="N69" s="3" cm="1">
        <f t="array" aca="1" ref="N69" ca="1">_FV(B69,"Open")</f>
        <v>735.46</v>
      </c>
      <c r="O69" s="3" cm="1">
        <f t="array" aca="1" ref="O69" ca="1">_FV(B69,"Previous close",TRUE)</f>
        <v>744.21</v>
      </c>
      <c r="P69" s="7" cm="1">
        <f t="array" aca="1" ref="P69" ca="1">_FV(B69,"Volume")</f>
        <v>30643690</v>
      </c>
      <c r="Q69" s="7" cm="1">
        <f t="array" aca="1" ref="Q69" ca="1">_FV(B69,"Volume average",TRUE)</f>
        <v>38562874</v>
      </c>
      <c r="R69" s="8" t="e" cm="1" vm="14">
        <f t="array" ref="R69">_FV(B69,"Year incorporated",TRUE)</f>
        <v>#VALUE!</v>
      </c>
      <c r="S69" s="7" t="e" cm="1" vm="15">
        <f t="array" ref="S69">_FV(B69,"Employees")</f>
        <v>#VALUE!</v>
      </c>
      <c r="T69" t="e" cm="1" vm="16">
        <f t="array" ref="T69">_FV(B69,"Industry")</f>
        <v>#VALUE!</v>
      </c>
      <c r="U69" s="7" cm="1">
        <f t="array" aca="1" ref="U69" ca="1">_FV(B69,"Market cap",TRUE)</f>
        <v>493987523137.08002</v>
      </c>
      <c r="V69" s="7" t="e" cm="1" vm="17">
        <f t="array" ref="V69">_FV(B69,"Shares outstanding",TRUE)</f>
        <v>#VALUE!</v>
      </c>
    </row>
    <row r="70" spans="1:22">
      <c r="A70" t="s">
        <v>147</v>
      </c>
      <c r="B70" t="e" vm="75">
        <v>#VALUE!</v>
      </c>
      <c r="C70" s="2" cm="1">
        <f t="array" aca="1" ref="C70" ca="1">_FV(B70,"Last trade time",TRUE)</f>
        <v>46177.811347441406</v>
      </c>
      <c r="D70" t="str" cm="1">
        <f t="array" aca="1" ref="D70" ca="1">_FV(B70,"Currency")</f>
        <v>USD</v>
      </c>
      <c r="E70" s="3" cm="1">
        <f t="array" aca="1" ref="E70" ca="1">_FV(B70,"Price")</f>
        <v>463.15</v>
      </c>
      <c r="F70" s="4" cm="1">
        <f t="array" aca="1" ref="F70" ca="1">_FV(B70,"Change (%)",TRUE)</f>
        <v>3.075E-3</v>
      </c>
      <c r="G70" s="5" cm="1">
        <f t="array" aca="1" ref="G70" ca="1">_FV(B70,"Change")</f>
        <v>1.42</v>
      </c>
      <c r="H70" s="6" cm="1">
        <f t="array" aca="1" ref="H70" ca="1">_FV(B70,"P/E",TRUE)</f>
        <v>48.113500000000002</v>
      </c>
      <c r="I70" s="6" cm="1">
        <f t="array" aca="1" ref="I70" ca="1">_FV(B70,"Beta")</f>
        <v>1.5565</v>
      </c>
      <c r="J70" s="3" cm="1">
        <f t="array" aca="1" ref="J70" ca="1">_FV(B70,"52 week high",TRUE)</f>
        <v>468.11</v>
      </c>
      <c r="K70" s="3" cm="1">
        <f t="array" aca="1" ref="K70" ca="1">_FV(B70,"52 week low",TRUE)</f>
        <v>305.44009999999997</v>
      </c>
      <c r="L70" s="3" cm="1">
        <f t="array" aca="1" ref="L70" ca="1">_FV(B70,"High")</f>
        <v>464.27</v>
      </c>
      <c r="M70" s="3" cm="1">
        <f t="array" aca="1" ref="M70" ca="1">_FV(B70,"Low")</f>
        <v>457.73500000000001</v>
      </c>
      <c r="N70" s="3" cm="1">
        <f t="array" aca="1" ref="N70" ca="1">_FV(B70,"Open")</f>
        <v>461</v>
      </c>
      <c r="O70" s="3" cm="1">
        <f t="array" aca="1" ref="O70" ca="1">_FV(B70,"Previous close",TRUE)</f>
        <v>461.73</v>
      </c>
      <c r="P70" s="7" cm="1">
        <f t="array" aca="1" ref="P70" ca="1">_FV(B70,"Volume")</f>
        <v>250510</v>
      </c>
      <c r="Q70" s="7" cm="1">
        <f t="array" aca="1" ref="Q70" ca="1">_FV(B70,"Volume average",TRUE)</f>
        <v>809621</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51536506785</v>
      </c>
      <c r="V70" s="7" cm="1">
        <f t="array" aca="1" ref="V70" ca="1">_FV(B70,"Shares outstanding",TRUE)</f>
        <v>111273900</v>
      </c>
    </row>
    <row r="71" spans="1:22">
      <c r="A71" t="s">
        <v>310</v>
      </c>
      <c r="B71" t="e" vm="76">
        <v>#VALUE!</v>
      </c>
      <c r="C71" s="2" cm="1">
        <f t="array" aca="1" ref="C71" ca="1">_FV(B71,"Last trade time",TRUE)</f>
        <v>46177.811466400002</v>
      </c>
      <c r="D71" t="str" cm="1">
        <f t="array" aca="1" ref="D71" ca="1">_FV(B71,"Currency")</f>
        <v>USD</v>
      </c>
      <c r="E71" s="3" cm="1">
        <f t="array" aca="1" ref="E71" ca="1">_FV(B71,"Price")</f>
        <v>3.8250000000000002</v>
      </c>
      <c r="F71" s="4" cm="1">
        <f t="array" aca="1" ref="F71" ca="1">_FV(B71,"Change (%)",TRUE)</f>
        <v>0.10230499999999999</v>
      </c>
      <c r="G71" s="5" cm="1">
        <f t="array" aca="1" ref="G71" ca="1">_FV(B71,"Change")</f>
        <v>0.35499999999999998</v>
      </c>
      <c r="H71" s="6" cm="1">
        <f t="array" aca="1" ref="H71" ca="1">_FV(B71,"P/E",TRUE)</f>
        <v>0</v>
      </c>
      <c r="I71" s="6" cm="1">
        <f t="array" aca="1" ref="I71" ca="1">_FV(B71,"Beta")</f>
        <v>1.0052000000000001</v>
      </c>
      <c r="J71" s="3" cm="1">
        <f t="array" aca="1" ref="J71" ca="1">_FV(B71,"52 week high",TRUE)</f>
        <v>7.18</v>
      </c>
      <c r="K71" s="3" cm="1">
        <f t="array" aca="1" ref="K71" ca="1">_FV(B71,"52 week low",TRUE)</f>
        <v>2.77</v>
      </c>
      <c r="L71" s="3" cm="1">
        <f t="array" aca="1" ref="L71" ca="1">_FV(B71,"High")</f>
        <v>4.04</v>
      </c>
      <c r="M71" s="3" cm="1">
        <f t="array" aca="1" ref="M71" ca="1">_FV(B71,"Low")</f>
        <v>3.4496000000000002</v>
      </c>
      <c r="N71" s="3" cm="1">
        <f t="array" aca="1" ref="N71" ca="1">_FV(B71,"Open")</f>
        <v>3.46</v>
      </c>
      <c r="O71" s="3" cm="1">
        <f t="array" aca="1" ref="O71" ca="1">_FV(B71,"Previous close",TRUE)</f>
        <v>3.47</v>
      </c>
      <c r="P71" s="7" cm="1">
        <f t="array" aca="1" ref="P71" ca="1">_FV(B71,"Volume")</f>
        <v>33688825</v>
      </c>
      <c r="Q71" s="7" cm="1">
        <f t="array" aca="1" ref="Q71" ca="1">_FV(B71,"Volume average",TRUE)</f>
        <v>17452053</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2026887390</v>
      </c>
      <c r="V71" s="7" cm="1">
        <f t="array" aca="1" ref="V71" ca="1">_FV(B71,"Shares outstanding",TRUE)</f>
        <v>529905200</v>
      </c>
    </row>
    <row r="72" spans="1:22">
      <c r="A72" t="s">
        <v>311</v>
      </c>
      <c r="B72" t="e" vm="77">
        <v>#VALUE!</v>
      </c>
      <c r="C72" s="2" cm="1">
        <f t="array" aca="1" ref="C72" ca="1">_FV(B72,"Last trade time",TRUE)</f>
        <v>46177.81147981406</v>
      </c>
      <c r="D72" t="str" cm="1">
        <f t="array" aca="1" ref="D72" ca="1">_FV(B72,"Currency")</f>
        <v>USD</v>
      </c>
      <c r="E72" s="3" cm="1">
        <f t="array" aca="1" ref="E72" ca="1">_FV(B72,"Price")</f>
        <v>16.6707</v>
      </c>
      <c r="F72" s="4" cm="1">
        <f t="array" aca="1" ref="F72" ca="1">_FV(B72,"Change (%)",TRUE)</f>
        <v>2.2741999999999998E-2</v>
      </c>
      <c r="G72" s="5" cm="1">
        <f t="array" aca="1" ref="G72" ca="1">_FV(B72,"Change")</f>
        <v>0.37069999999999997</v>
      </c>
      <c r="H72" s="6" t="e" cm="1" vm="13">
        <f t="array" ref="H72">_FV(B72,"P/E",TRUE)</f>
        <v>#VALUE!</v>
      </c>
      <c r="I72" s="6" cm="1">
        <f t="array" aca="1" ref="I72" ca="1">_FV(B72,"Beta")</f>
        <v>0.83260000000000001</v>
      </c>
      <c r="J72" s="3" cm="1">
        <f t="array" aca="1" ref="J72" ca="1">_FV(B72,"52 week high",TRUE)</f>
        <v>21.4</v>
      </c>
      <c r="K72" s="3" cm="1">
        <f t="array" aca="1" ref="K72" ca="1">_FV(B72,"52 week low",TRUE)</f>
        <v>11.81</v>
      </c>
      <c r="L72" s="3" cm="1">
        <f t="array" aca="1" ref="L72" ca="1">_FV(B72,"High")</f>
        <v>16.850000000000001</v>
      </c>
      <c r="M72" s="3" cm="1">
        <f t="array" aca="1" ref="M72" ca="1">_FV(B72,"Low")</f>
        <v>15.92</v>
      </c>
      <c r="N72" s="3" cm="1">
        <f t="array" aca="1" ref="N72" ca="1">_FV(B72,"Open")</f>
        <v>16.425000000000001</v>
      </c>
      <c r="O72" s="3" cm="1">
        <f t="array" aca="1" ref="O72" ca="1">_FV(B72,"Previous close",TRUE)</f>
        <v>16.3</v>
      </c>
      <c r="P72" s="7" cm="1">
        <f t="array" aca="1" ref="P72" ca="1">_FV(B72,"Volume")</f>
        <v>4930774</v>
      </c>
      <c r="Q72" s="7" cm="1">
        <f t="array" aca="1" ref="Q72" ca="1">_FV(B72,"Volume average",TRUE)</f>
        <v>9746634</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5714777641</v>
      </c>
      <c r="V72" s="7" cm="1">
        <f t="array" aca="1" ref="V72" ca="1">_FV(B72,"Shares outstanding",TRUE)</f>
        <v>342803700</v>
      </c>
    </row>
    <row r="73" spans="1:22">
      <c r="A73" t="s">
        <v>615</v>
      </c>
      <c r="B73" t="e" vm="78">
        <v>#VALUE!</v>
      </c>
      <c r="C73" s="2" cm="1">
        <f t="array" aca="1" ref="C73" ca="1">_FV(B73,"Last trade time",TRUE)</f>
        <v>46177.75</v>
      </c>
      <c r="D73" t="str" cm="1">
        <f t="array" aca="1" ref="D73" ca="1">_FV(B73,"Currency")</f>
        <v>EUR</v>
      </c>
      <c r="E73" s="3" cm="1">
        <f t="array" aca="1" ref="E73" ca="1">_FV(B73,"Price")</f>
        <v>164.5</v>
      </c>
      <c r="F73" s="4" cm="1">
        <f t="array" aca="1" ref="F73" ca="1">_FV(B73,"Change (%)",TRUE)</f>
        <v>5.4892999999999997E-2</v>
      </c>
      <c r="G73" s="5" cm="1">
        <f t="array" aca="1" ref="G73" ca="1">_FV(B73,"Change")</f>
        <v>8.56</v>
      </c>
      <c r="H73" s="6" cm="1">
        <f t="array" aca="1" ref="H73" ca="1">_FV(B73,"P/E",TRUE)</f>
        <v>26.2151</v>
      </c>
      <c r="I73" s="6" cm="1">
        <f t="array" aca="1" ref="I73" ca="1">_FV(B73,"Beta")</f>
        <v>1.109</v>
      </c>
      <c r="J73" s="3" cm="1">
        <f t="array" aca="1" ref="J73" ca="1">_FV(B73,"52 week high",TRUE)</f>
        <v>273.55</v>
      </c>
      <c r="K73" s="3" cm="1">
        <f t="array" aca="1" ref="K73" ca="1">_FV(B73,"52 week low",TRUE)</f>
        <v>135.44</v>
      </c>
      <c r="L73" s="3" cm="1">
        <f t="array" aca="1" ref="L73" ca="1">_FV(B73,"High")</f>
        <v>165.56</v>
      </c>
      <c r="M73" s="3" cm="1">
        <f t="array" aca="1" ref="M73" ca="1">_FV(B73,"Low")</f>
        <v>156.22</v>
      </c>
      <c r="N73" s="3" cm="1">
        <f t="array" aca="1" ref="N73" ca="1">_FV(B73,"Open")</f>
        <v>156.22</v>
      </c>
      <c r="O73" s="3" cm="1">
        <f t="array" aca="1" ref="O73" ca="1">_FV(B73,"Previous close",TRUE)</f>
        <v>155.94</v>
      </c>
      <c r="P73" s="7" cm="1">
        <f t="array" aca="1" ref="P73" ca="1">_FV(B73,"Volume")</f>
        <v>3249594</v>
      </c>
      <c r="Q73" s="7" cm="1">
        <f t="array" aca="1" ref="Q73" ca="1">_FV(B73,"Volume average",TRUE)</f>
        <v>3038340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46177.811472349218</v>
      </c>
      <c r="D74" t="str">
        <f t="array" aca="1" ref="D74" ca="1">_FV(B74,"Currency")</f>
        <v>USD</v>
      </c>
      <c r="E74" s="3">
        <f t="array" aca="1" ref="E74" ca="1">_FV(B74,"Price")</f>
        <v>88.185000000000002</v>
      </c>
      <c r="F74" s="4">
        <f t="array" aca="1" ref="F74" ca="1">_FV(B74,"Change (%)",TRUE)</f>
        <v>1.8420000000000002E-2</v>
      </c>
      <c r="G74" s="5">
        <f t="array" aca="1" ref="G74" ca="1">_FV(B74,"Change")</f>
        <v>1.595</v>
      </c>
      <c r="H74" s="6">
        <f t="array" aca="1" ref="H74" ca="1">_FV(B74,"P/E",TRUE)</f>
        <v>17.487300000000001</v>
      </c>
      <c r="I74" s="6">
        <f t="array" aca="1" ref="I74" ca="1">_FV(B74,"Beta")</f>
        <v>0.77349999999999997</v>
      </c>
      <c r="J74" s="3">
        <f t="array" aca="1" ref="J74" ca="1">_FV(B74,"52 week high",TRUE)</f>
        <v>107.5</v>
      </c>
      <c r="K74" s="3">
        <f t="array" aca="1" ref="K74" ca="1">_FV(B74,"52 week low",TRUE)</f>
        <v>83.96</v>
      </c>
      <c r="L74" s="3">
        <f t="array" aca="1" ref="L74" ca="1">_FV(B74,"High")</f>
        <v>88.49</v>
      </c>
      <c r="M74" s="3">
        <f t="array" aca="1" ref="M74" ca="1">_FV(B74,"Low")</f>
        <v>86.7</v>
      </c>
      <c r="N74" s="3">
        <f t="array" aca="1" ref="N74" ca="1">_FV(B74,"Open")</f>
        <v>87.46</v>
      </c>
      <c r="O74" s="3">
        <f t="array" aca="1" ref="O74" ca="1">_FV(B74,"Previous close",TRUE)</f>
        <v>86.59</v>
      </c>
      <c r="P74" s="7">
        <f t="array" aca="1" ref="P74" ca="1">_FV(B74,"Volume")</f>
        <v>7475070</v>
      </c>
      <c r="Q74" s="7">
        <f t="array" aca="1" ref="Q74" ca="1">_FV(B74,"Volume average",TRUE)</f>
        <v>11195805</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153365619975</v>
      </c>
      <c r="V74" s="7">
        <f t="array" aca="1" ref="V74" ca="1">_FV(B74,"Shares outstanding",TRUE)</f>
        <v>1739135000</v>
      </c>
    </row>
    <row r="75" spans="1:22">
      <c r="A75" t="s">
        <v>32</v>
      </c>
      <c r="B75" t="e" vm="80">
        <v>#VALUE!</v>
      </c>
      <c r="C75" s="2">
        <f t="array" aca="1" ref="C75" ca="1">_FV(B75,"Last trade time",TRUE)</f>
        <v>46177.660798611112</v>
      </c>
      <c r="D75" t="str">
        <f t="array" aca="1" ref="D75" ca="1">_FV(B75,"Currency")</f>
        <v>GBp</v>
      </c>
      <c r="E75" s="9">
        <f t="array" aca="1" ref="E75" ca="1">_FV(B75,"Price")</f>
        <v>883.2</v>
      </c>
      <c r="F75" s="4">
        <f t="array" aca="1" ref="F75" ca="1">_FV(B75,"Change (%)",TRUE)</f>
        <v>3.5161999999999999E-2</v>
      </c>
      <c r="G75" s="5">
        <f t="array" aca="1" ref="G75" ca="1">_FV(B75,"Change")</f>
        <v>30</v>
      </c>
      <c r="H75" s="6">
        <f t="array" aca="1" ref="H75" ca="1">_FV(B75,"P/E",TRUE)</f>
        <v>0</v>
      </c>
      <c r="I75" s="6">
        <f t="array" aca="1" ref="I75" ca="1">_FV(B75,"Beta")</f>
        <v>0.35360000000000003</v>
      </c>
      <c r="J75" s="9">
        <f t="array" aca="1" ref="J75" ca="1">_FV(B75,"52 week high",TRUE)</f>
        <v>1335</v>
      </c>
      <c r="K75" s="9">
        <f t="array" aca="1" ref="K75" ca="1">_FV(B75,"52 week low",TRUE)</f>
        <v>771.66</v>
      </c>
      <c r="L75" s="9">
        <f t="array" aca="1" ref="L75" ca="1">_FV(B75,"High")</f>
        <v>883.2</v>
      </c>
      <c r="M75" s="9">
        <f t="array" aca="1" ref="M75" ca="1">_FV(B75,"Low")</f>
        <v>843.8</v>
      </c>
      <c r="N75" s="9">
        <f t="array" aca="1" ref="N75" ca="1">_FV(B75,"Open")</f>
        <v>843.8</v>
      </c>
      <c r="O75" s="9">
        <f t="array" aca="1" ref="O75" ca="1">_FV(B75,"Previous close",TRUE)</f>
        <v>853.2</v>
      </c>
      <c r="P75" s="7">
        <f t="array" aca="1" ref="P75" ca="1">_FV(B75,"Volume")</f>
        <v>5685871</v>
      </c>
      <c r="Q75" s="7">
        <f t="array" aca="1" ref="Q75" ca="1">_FV(B75,"Volume average",TRUE)</f>
        <v>4917550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46177.811411539064</v>
      </c>
      <c r="D76" t="str">
        <f t="array" aca="1" ref="D76" ca="1">_FV(B76,"Currency")</f>
        <v>USD</v>
      </c>
      <c r="E76" s="3">
        <f t="array" aca="1" ref="E76" ca="1">_FV(B76,"Price")</f>
        <v>37.99</v>
      </c>
      <c r="F76" s="4">
        <f t="array" aca="1" ref="F76" ca="1">_FV(B76,"Change (%)",TRUE)</f>
        <v>-9.9039999999999996E-3</v>
      </c>
      <c r="G76" s="5">
        <f t="array" aca="1" ref="G76" ca="1">_FV(B76,"Change")</f>
        <v>-0.38</v>
      </c>
      <c r="H76" s="6">
        <f t="array" aca="1" ref="H76" ca="1">_FV(B76,"P/E",TRUE)</f>
        <v>16.284500000000001</v>
      </c>
      <c r="I76" s="6">
        <f t="array" aca="1" ref="I76" ca="1">_FV(B76,"Beta")</f>
        <v>3.3250999999999999</v>
      </c>
      <c r="J76" s="3">
        <f t="array" aca="1" ref="J76" ca="1">_FV(B76,"52 week high",TRUE)</f>
        <v>39.93</v>
      </c>
      <c r="K76" s="3">
        <f t="array" aca="1" ref="K76" ca="1">_FV(B76,"52 week low",TRUE)</f>
        <v>8.18</v>
      </c>
      <c r="L76" s="3">
        <f t="array" aca="1" ref="L76" ca="1">_FV(B76,"High")</f>
        <v>38.5</v>
      </c>
      <c r="M76" s="3">
        <f t="array" aca="1" ref="M76" ca="1">_FV(B76,"Low")</f>
        <v>37.360799999999998</v>
      </c>
      <c r="N76" s="3">
        <f t="array" aca="1" ref="N76" ca="1">_FV(B76,"Open")</f>
        <v>37.44</v>
      </c>
      <c r="O76" s="3">
        <f t="array" aca="1" ref="O76" ca="1">_FV(B76,"Previous close",TRUE)</f>
        <v>38.369999999999997</v>
      </c>
      <c r="P76" s="7">
        <f t="array" aca="1" ref="P76" ca="1">_FV(B76,"Volume")</f>
        <v>517676</v>
      </c>
      <c r="Q76" s="7">
        <f t="array" aca="1" ref="Q76" ca="1">_FV(B76,"Volume average",TRUE)</f>
        <v>1188763</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1869282754</v>
      </c>
      <c r="V76" s="7">
        <f t="array" aca="1" ref="V76" ca="1">_FV(B76,"Shares outstanding",TRUE)</f>
        <v>49204600</v>
      </c>
    </row>
    <row r="77" spans="1:22">
      <c r="A77" t="s">
        <v>72</v>
      </c>
      <c r="B77" t="e" vm="82">
        <v>#VALUE!</v>
      </c>
      <c r="C77" s="2">
        <f t="array" aca="1" ref="C77" ca="1">_FV(B77,"Last trade time",TRUE)</f>
        <v>46177.811461932812</v>
      </c>
      <c r="D77" t="str">
        <f t="array" aca="1" ref="D77" ca="1">_FV(B77,"Currency")</f>
        <v>USD</v>
      </c>
      <c r="E77" s="3">
        <f t="array" aca="1" ref="E77" ca="1">_FV(B77,"Price")</f>
        <v>47.414999999999999</v>
      </c>
      <c r="F77" s="4">
        <f t="array" aca="1" ref="F77" ca="1">_FV(B77,"Change (%)",TRUE)</f>
        <v>-1.0540000000000001E-4</v>
      </c>
      <c r="G77" s="5">
        <f t="array" aca="1" ref="G77" ca="1">_FV(B77,"Change")</f>
        <v>-5.0000000000000001E-3</v>
      </c>
      <c r="H77" s="6">
        <f t="array" aca="1" ref="H77" ca="1">_FV(B77,"P/E",TRUE)</f>
        <v>25.835000000000001</v>
      </c>
      <c r="I77" s="6">
        <f t="array" aca="1" ref="I77" ca="1">_FV(B77,"Beta")</f>
        <v>1.8707</v>
      </c>
      <c r="J77" s="3">
        <f t="array" aca="1" ref="J77" ca="1">_FV(B77,"52 week high",TRUE)</f>
        <v>62.357999999999997</v>
      </c>
      <c r="K77" s="3">
        <f t="array" aca="1" ref="K77" ca="1">_FV(B77,"52 week low",TRUE)</f>
        <v>19.48</v>
      </c>
      <c r="L77" s="3">
        <f t="array" aca="1" ref="L77" ca="1">_FV(B77,"High")</f>
        <v>47.84</v>
      </c>
      <c r="M77" s="3">
        <f t="array" aca="1" ref="M77" ca="1">_FV(B77,"Low")</f>
        <v>45.21</v>
      </c>
      <c r="N77" s="3">
        <f t="array" aca="1" ref="N77" ca="1">_FV(B77,"Open")</f>
        <v>45.26</v>
      </c>
      <c r="O77" s="3">
        <f t="array" aca="1" ref="O77" ca="1">_FV(B77,"Previous close",TRUE)</f>
        <v>47.42</v>
      </c>
      <c r="P77" s="7">
        <f t="array" aca="1" ref="P77" ca="1">_FV(B77,"Volume")</f>
        <v>26675872</v>
      </c>
      <c r="Q77" s="7">
        <f t="array" aca="1" ref="Q77" ca="1">_FV(B77,"Volume average",TRUE)</f>
        <v>44596233</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28516258177</v>
      </c>
      <c r="V77" s="7">
        <f t="array" aca="1" ref="V77" ca="1">_FV(B77,"Shares outstanding",TRUE)</f>
        <v>601418500</v>
      </c>
    </row>
    <row r="78" spans="1:22">
      <c r="A78" t="s">
        <v>154</v>
      </c>
      <c r="B78" t="e" vm="83">
        <v>#VALUE!</v>
      </c>
      <c r="C78" s="2" cm="1">
        <f t="array" aca="1" ref="C78" ca="1">_FV(B78,"Last trade time",TRUE)</f>
        <v>46177.811509606247</v>
      </c>
      <c r="D78" t="str" cm="1">
        <f t="array" aca="1" ref="D78" ca="1">_FV(B78,"Currency")</f>
        <v>USD</v>
      </c>
      <c r="E78" s="3" cm="1">
        <f t="array" aca="1" ref="E78" ca="1">_FV(B78,"Price")</f>
        <v>632.72</v>
      </c>
      <c r="F78" s="4" cm="1">
        <f t="array" aca="1" ref="F78" ca="1">_FV(B78,"Change (%)",TRUE)</f>
        <v>-8.1200000000000005E-3</v>
      </c>
      <c r="G78" s="5" cm="1">
        <f t="array" aca="1" ref="G78" ca="1">_FV(B78,"Change")</f>
        <v>-5.18</v>
      </c>
      <c r="H78" s="6" t="e" cm="1" vm="13">
        <f t="array" ref="H78">_FV(B78,"P/E",TRUE)</f>
        <v>#VALUE!</v>
      </c>
      <c r="I78" s="6" cm="1">
        <f t="array" aca="1" ref="I78" ca="1">_FV(B78,"Beta")</f>
        <v>1.5567</v>
      </c>
      <c r="J78" s="3" cm="1">
        <f t="array" aca="1" ref="J78" ca="1">_FV(B78,"52 week high",TRUE)</f>
        <v>642.77</v>
      </c>
      <c r="K78" s="3" cm="1">
        <f t="array" aca="1" ref="K78" ca="1">_FV(B78,"52 week low",TRUE)</f>
        <v>248.36</v>
      </c>
      <c r="L78" s="3" cm="1">
        <f t="array" aca="1" ref="L78" ca="1">_FV(B78,"High")</f>
        <v>634.78</v>
      </c>
      <c r="M78" s="3" cm="1">
        <f t="array" aca="1" ref="M78" ca="1">_FV(B78,"Low")</f>
        <v>604.61</v>
      </c>
      <c r="N78" s="3" cm="1">
        <f t="array" aca="1" ref="N78" ca="1">_FV(B78,"Open")</f>
        <v>613</v>
      </c>
      <c r="O78" s="3" cm="1">
        <f t="array" aca="1" ref="O78" ca="1">_FV(B78,"Previous close",TRUE)</f>
        <v>637.9</v>
      </c>
      <c r="P78" s="7" cm="1">
        <f t="array" aca="1" ref="P78" ca="1">_FV(B78,"Volume")</f>
        <v>8590520</v>
      </c>
      <c r="Q78" s="7" cm="1">
        <f t="array" aca="1" ref="Q78" ca="1">_FV(B78,"Volume average",TRUE)</f>
        <v>9747630</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151</v>
      </c>
      <c r="B79" t="e" vm="84">
        <v>#VALUE!</v>
      </c>
      <c r="C79" s="2" cm="1">
        <f t="array" aca="1" ref="C79" ca="1">_FV(B79,"Last trade time",TRUE)</f>
        <v>46177.811473529684</v>
      </c>
      <c r="D79" t="str" cm="1">
        <f t="array" aca="1" ref="D79" ca="1">_FV(B79,"Currency")</f>
        <v>USD</v>
      </c>
      <c r="E79" s="3" cm="1">
        <f t="array" aca="1" ref="E79" ca="1">_FV(B79,"Price")</f>
        <v>12.065</v>
      </c>
      <c r="F79" s="4" cm="1">
        <f t="array" aca="1" ref="F79" ca="1">_FV(B79,"Change (%)",TRUE)</f>
        <v>-1.6707E-2</v>
      </c>
      <c r="G79" s="5" cm="1">
        <f t="array" aca="1" ref="G79" ca="1">_FV(B79,"Change")</f>
        <v>-0.20499999999999999</v>
      </c>
      <c r="H79" s="6" t="e" cm="1" vm="13">
        <f t="array" ref="H79">_FV(B79,"P/E",TRUE)</f>
        <v>#VALUE!</v>
      </c>
      <c r="I79" s="6" cm="1">
        <f t="array" aca="1" ref="I79" ca="1">_FV(B79,"Beta")</f>
        <v>2.2225000000000001</v>
      </c>
      <c r="J79" s="3" cm="1">
        <f t="array" aca="1" ref="J79" ca="1">_FV(B79,"52 week high",TRUE)</f>
        <v>57.42</v>
      </c>
      <c r="K79" s="3" cm="1">
        <f t="array" aca="1" ref="K79" ca="1">_FV(B79,"52 week low",TRUE)</f>
        <v>8.85</v>
      </c>
      <c r="L79" s="3" cm="1">
        <f t="array" aca="1" ref="L79" ca="1">_FV(B79,"High")</f>
        <v>12.3</v>
      </c>
      <c r="M79" s="3" cm="1">
        <f t="array" aca="1" ref="M79" ca="1">_FV(B79,"Low")</f>
        <v>11.83</v>
      </c>
      <c r="N79" s="3" cm="1">
        <f t="array" aca="1" ref="N79" ca="1">_FV(B79,"Open")</f>
        <v>12.19</v>
      </c>
      <c r="O79" s="3" cm="1">
        <f t="array" aca="1" ref="O79" ca="1">_FV(B79,"Previous close",TRUE)</f>
        <v>12.27</v>
      </c>
      <c r="P79" s="7" cm="1">
        <f t="array" aca="1" ref="P79" ca="1">_FV(B79,"Volume")</f>
        <v>21547857</v>
      </c>
      <c r="Q79" s="7" cm="1">
        <f t="array" aca="1" ref="Q79" ca="1">_FV(B79,"Volume average",TRUE)</f>
        <v>33975201</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4409530678</v>
      </c>
      <c r="V79" s="7" cm="1">
        <f t="array" aca="1" ref="V79" ca="1">_FV(B79,"Shares outstanding",TRUE)</f>
        <v>365481200</v>
      </c>
    </row>
    <row r="80" spans="1:22">
      <c r="A80" t="s">
        <v>28</v>
      </c>
      <c r="B80" t="e" vm="85">
        <v>#VALUE!</v>
      </c>
      <c r="C80" s="2">
        <f t="array" aca="1" ref="C80" ca="1">_FV(B80,"Last trade time",TRUE)</f>
        <v>46177.811493830472</v>
      </c>
      <c r="D80" t="str">
        <f t="array" aca="1" ref="D80" ca="1">_FV(B80,"Currency")</f>
        <v>USD</v>
      </c>
      <c r="E80" s="3">
        <f t="array" aca="1" ref="E80" ca="1">_FV(B80,"Price")</f>
        <v>1783.94</v>
      </c>
      <c r="F80" s="4">
        <f t="array" aca="1" ref="F80" ca="1">_FV(B80,"Change (%)",TRUE)</f>
        <v>-2.5968000000000001E-2</v>
      </c>
      <c r="G80" s="5">
        <f t="array" aca="1" ref="G80" ca="1">_FV(B80,"Change")</f>
        <v>-47.56</v>
      </c>
      <c r="H80" s="6">
        <f t="array" aca="1" ref="H80" ca="1">_FV(B80,"P/E",TRUE)</f>
        <v>63.068800000000003</v>
      </c>
      <c r="I80" s="6">
        <f t="array" aca="1" ref="I80" ca="1">_FV(B80,"Beta")</f>
        <v>2.73</v>
      </c>
      <c r="J80" s="3">
        <f t="array" aca="1" ref="J80" ca="1">_FV(B80,"52 week high",TRUE)</f>
        <v>1861</v>
      </c>
      <c r="K80" s="3">
        <f t="array" aca="1" ref="K80" ca="1">_FV(B80,"52 week low",TRUE)</f>
        <v>37.33</v>
      </c>
      <c r="L80" s="3">
        <f t="array" aca="1" ref="L80" ca="1">_FV(B80,"High")</f>
        <v>1825.9</v>
      </c>
      <c r="M80" s="3">
        <f t="array" aca="1" ref="M80" ca="1">_FV(B80,"Low")</f>
        <v>1725.08</v>
      </c>
      <c r="N80" s="3">
        <f t="array" aca="1" ref="N80" ca="1">_FV(B80,"Open")</f>
        <v>1742.82</v>
      </c>
      <c r="O80" s="3">
        <f t="array" aca="1" ref="O80" ca="1">_FV(B80,"Previous close",TRUE)</f>
        <v>1831.5</v>
      </c>
      <c r="P80" s="7">
        <f t="array" aca="1" ref="P80" ca="1">_FV(B80,"Volume")</f>
        <v>9094372</v>
      </c>
      <c r="Q80" s="7">
        <f t="array" aca="1" ref="Q80" ca="1">_FV(B80,"Volume average",TRUE)</f>
        <v>13879891</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264183317812</v>
      </c>
      <c r="V80" s="7">
        <f t="array" aca="1" ref="V80" ca="1">_FV(B80,"Shares outstanding",TRUE)</f>
        <v>148089800</v>
      </c>
    </row>
    <row r="81" spans="1:22">
      <c r="A81" t="s">
        <v>137</v>
      </c>
      <c r="B81" t="e" vm="86">
        <v>#VALUE!</v>
      </c>
      <c r="C81" s="2" cm="1">
        <f t="array" aca="1" ref="C81" ca="1">_FV(B81,"Last trade time",TRUE)</f>
        <v>46177.811478633594</v>
      </c>
      <c r="D81" t="str" cm="1">
        <f t="array" aca="1" ref="D81" ca="1">_FV(B81,"Currency")</f>
        <v>USD</v>
      </c>
      <c r="E81" s="3" cm="1">
        <f t="array" aca="1" ref="E81" ca="1">_FV(B81,"Price")</f>
        <v>246.655</v>
      </c>
      <c r="F81" s="4" cm="1">
        <f t="array" aca="1" ref="F81" ca="1">_FV(B81,"Change (%)",TRUE)</f>
        <v>2.2277000000000002E-2</v>
      </c>
      <c r="G81" s="5" cm="1">
        <f t="array" aca="1" ref="G81" ca="1">_FV(B81,"Change")</f>
        <v>5.375</v>
      </c>
      <c r="H81" s="6" cm="1">
        <f t="array" aca="1" ref="H81" ca="1">_FV(B81,"P/E",TRUE)</f>
        <v>0</v>
      </c>
      <c r="I81" s="6" cm="1">
        <f t="array" aca="1" ref="I81" ca="1">_FV(B81,"Beta")</f>
        <v>1.3606</v>
      </c>
      <c r="J81" s="3" cm="1">
        <f t="array" aca="1" ref="J81" ca="1">_FV(B81,"52 week high",TRUE)</f>
        <v>284.99</v>
      </c>
      <c r="K81" s="3" cm="1">
        <f t="array" aca="1" ref="K81" ca="1">_FV(B81,"52 week low",TRUE)</f>
        <v>118.3</v>
      </c>
      <c r="L81" s="3" cm="1">
        <f t="array" aca="1" ref="L81" ca="1">_FV(B81,"High")</f>
        <v>253.005</v>
      </c>
      <c r="M81" s="3" cm="1">
        <f t="array" aca="1" ref="M81" ca="1">_FV(B81,"Low")</f>
        <v>241.465</v>
      </c>
      <c r="N81" s="3" cm="1">
        <f t="array" aca="1" ref="N81" ca="1">_FV(B81,"Open")</f>
        <v>244.3</v>
      </c>
      <c r="O81" s="3" cm="1">
        <f t="array" aca="1" ref="O81" ca="1">_FV(B81,"Previous close",TRUE)</f>
        <v>241.28</v>
      </c>
      <c r="P81" s="7" cm="1">
        <f t="array" aca="1" ref="P81" ca="1">_FV(B81,"Volume")</f>
        <v>7132011</v>
      </c>
      <c r="Q81" s="7" cm="1">
        <f t="array" aca="1" ref="Q81" ca="1">_FV(B81,"Volume average",TRUE)</f>
        <v>10675170</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305</v>
      </c>
      <c r="B82" t="e" vm="87">
        <v>#VALUE!</v>
      </c>
      <c r="C82" s="2" cm="1">
        <f t="array" aca="1" ref="C82" ca="1">_FV(B82,"Last trade time",TRUE)</f>
        <v>46177.811439363279</v>
      </c>
      <c r="D82" t="str" cm="1">
        <f t="array" aca="1" ref="D82" ca="1">_FV(B82,"Currency")</f>
        <v>USD</v>
      </c>
      <c r="E82" s="3" cm="1">
        <f t="array" aca="1" ref="E82" ca="1">_FV(B82,"Price")</f>
        <v>496.74</v>
      </c>
      <c r="F82" s="4" cm="1">
        <f t="array" aca="1" ref="F82" ca="1">_FV(B82,"Change (%)",TRUE)</f>
        <v>-2.5700000000000002E-3</v>
      </c>
      <c r="G82" s="5" cm="1">
        <f t="array" aca="1" ref="G82" ca="1">_FV(B82,"Change")</f>
        <v>-1.28</v>
      </c>
      <c r="H82" s="6" cm="1">
        <f t="array" aca="1" ref="H82" ca="1">_FV(B82,"P/E",TRUE)</f>
        <v>115.122</v>
      </c>
      <c r="I82" s="6" cm="1">
        <f t="array" aca="1" ref="I82" ca="1">_FV(B82,"Beta")</f>
        <v>1.2079</v>
      </c>
      <c r="J82" s="3" cm="1">
        <f t="array" aca="1" ref="J82" ca="1">_FV(B82,"52 week high",TRUE)</f>
        <v>651.73</v>
      </c>
      <c r="K82" s="3" cm="1">
        <f t="array" aca="1" ref="K82" ca="1">_FV(B82,"52 week low",TRUE)</f>
        <v>376.18</v>
      </c>
      <c r="L82" s="3" cm="1">
        <f t="array" aca="1" ref="L82" ca="1">_FV(B82,"High")</f>
        <v>500.35</v>
      </c>
      <c r="M82" s="3" cm="1">
        <f t="array" aca="1" ref="M82" ca="1">_FV(B82,"Low")</f>
        <v>485</v>
      </c>
      <c r="N82" s="3" cm="1">
        <f t="array" aca="1" ref="N82" ca="1">_FV(B82,"Open")</f>
        <v>500.35</v>
      </c>
      <c r="O82" s="3" cm="1">
        <f t="array" aca="1" ref="O82" ca="1">_FV(B82,"Previous close",TRUE)</f>
        <v>498.02</v>
      </c>
      <c r="P82" s="7" cm="1">
        <f t="array" aca="1" ref="P82" ca="1">_FV(B82,"Volume")</f>
        <v>1331604</v>
      </c>
      <c r="Q82" s="7" cm="1">
        <f t="array" aca="1" ref="Q82" ca="1">_FV(B82,"Volume average",TRUE)</f>
        <v>1850606</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95115427482</v>
      </c>
      <c r="V82" s="7" cm="1">
        <f t="array" aca="1" ref="V82" ca="1">_FV(B82,"Shares outstanding",TRUE)</f>
        <v>191479300</v>
      </c>
    </row>
    <row r="83" spans="1:22">
      <c r="A83" t="s">
        <v>43</v>
      </c>
      <c r="B83" t="e" vm="88">
        <v>#VALUE!</v>
      </c>
      <c r="C83" s="2">
        <f t="array" aca="1" ref="C83" ca="1">_FV(B83,"Last trade time",TRUE)</f>
        <v>46177.811495335154</v>
      </c>
      <c r="D83" t="str">
        <f t="array" aca="1" ref="D83" ca="1">_FV(B83,"Currency")</f>
        <v>USD</v>
      </c>
      <c r="E83" s="3">
        <f t="array" aca="1" ref="E83" ca="1">_FV(B83,"Price")</f>
        <v>8.08</v>
      </c>
      <c r="F83" s="4">
        <f t="array" aca="1" ref="F83" ca="1">_FV(B83,"Change (%)",TRUE)</f>
        <v>0</v>
      </c>
      <c r="G83" s="5">
        <f t="array" aca="1" ref="G83" ca="1">_FV(B83,"Change")</f>
        <v>0</v>
      </c>
      <c r="H83" s="6">
        <f t="array" aca="1" ref="H83" ca="1">_FV(B83,"P/E",TRUE)</f>
        <v>0</v>
      </c>
      <c r="I83" s="6">
        <f t="array" aca="1" ref="I83" ca="1">_FV(B83,"Beta")</f>
        <v>2.7606999999999999</v>
      </c>
      <c r="J83" s="3">
        <f t="array" aca="1" ref="J83" ca="1">_FV(B83,"52 week high",TRUE)</f>
        <v>22.17</v>
      </c>
      <c r="K83" s="3">
        <f t="array" aca="1" ref="K83" ca="1">_FV(B83,"52 week low",TRUE)</f>
        <v>5.83</v>
      </c>
      <c r="L83" s="3">
        <f t="array" aca="1" ref="L83" ca="1">_FV(B83,"High")</f>
        <v>8.26</v>
      </c>
      <c r="M83" s="3">
        <f t="array" aca="1" ref="M83" ca="1">_FV(B83,"Low")</f>
        <v>8.06</v>
      </c>
      <c r="N83" s="3">
        <f t="array" aca="1" ref="N83" ca="1">_FV(B83,"Open")</f>
        <v>8.08</v>
      </c>
      <c r="O83" s="3">
        <f t="array" aca="1" ref="O83" ca="1">_FV(B83,"Previous close",TRUE)</f>
        <v>8.08</v>
      </c>
      <c r="P83" s="7">
        <f t="array" aca="1" ref="P83" ca="1">_FV(B83,"Volume")</f>
        <v>13456082</v>
      </c>
      <c r="Q83" s="7">
        <f t="array" aca="1" ref="Q83" ca="1">_FV(B83,"Volume average",TRUE)</f>
        <v>30858273</v>
      </c>
      <c r="R83" s="8">
        <f t="array" aca="1" ref="R83" ca="1">_FV(B83,"Year incorporated",TRUE)</f>
        <v>2020</v>
      </c>
      <c r="S83" s="7">
        <f t="array" aca="1" ref="S83" ca="1">_FV(B83,"Employees")</f>
        <v>954</v>
      </c>
      <c r="T83" t="str">
        <f t="array" aca="1" ref="T83" ca="1">_FV(B83,"Industry")</f>
        <v>Software &amp; IT Services</v>
      </c>
      <c r="U83" s="7">
        <f t="array" aca="1" ref="U83" ca="1">_FV(B83,"Market cap",TRUE)</f>
        <v>3496778368</v>
      </c>
      <c r="V83" s="7">
        <f t="array" aca="1" ref="V83" ca="1">_FV(B83,"Shares outstanding",TRUE)</f>
        <v>432769600</v>
      </c>
    </row>
    <row r="84" spans="1:22">
      <c r="A84" t="s">
        <v>155</v>
      </c>
      <c r="B84" t="e" vm="89">
        <v>#VALUE!</v>
      </c>
      <c r="C84" s="2" cm="1">
        <f t="array" aca="1" ref="C84" ca="1">_FV(B84,"Last trade time",TRUE)</f>
        <v>46177.81149033516</v>
      </c>
      <c r="D84" t="str" cm="1">
        <f t="array" aca="1" ref="D84" ca="1">_FV(B84,"Currency")</f>
        <v>USD</v>
      </c>
      <c r="E84" s="3" cm="1">
        <f t="array" aca="1" ref="E84" ca="1">_FV(B84,"Price")</f>
        <v>607.92999999999995</v>
      </c>
      <c r="F84" s="4" cm="1">
        <f t="array" aca="1" ref="F84" ca="1">_FV(B84,"Change (%)",TRUE)</f>
        <v>-1.2587999999999998E-2</v>
      </c>
      <c r="G84" s="5" cm="1">
        <f t="array" aca="1" ref="G84" ca="1">_FV(B84,"Change")</f>
        <v>-7.75</v>
      </c>
      <c r="H84" s="6" t="e" cm="1" vm="13">
        <f t="array" ref="H84">_FV(B84,"P/E",TRUE)</f>
        <v>#VALUE!</v>
      </c>
      <c r="I84" s="6" cm="1">
        <f t="array" aca="1" ref="I84" ca="1">_FV(B84,"Beta")</f>
        <v>1.7036</v>
      </c>
      <c r="J84" s="3" cm="1">
        <f t="array" aca="1" ref="J84" ca="1">_FV(B84,"52 week high",TRUE)</f>
        <v>618.84</v>
      </c>
      <c r="K84" s="3" cm="1">
        <f t="array" aca="1" ref="K84" ca="1">_FV(B84,"52 week low",TRUE)</f>
        <v>213.54</v>
      </c>
      <c r="L84" s="3" cm="1">
        <f t="array" aca="1" ref="L84" ca="1">_FV(B84,"High")</f>
        <v>611.26</v>
      </c>
      <c r="M84" s="3" cm="1">
        <f t="array" aca="1" ref="M84" ca="1">_FV(B84,"Low")</f>
        <v>577.54</v>
      </c>
      <c r="N84" s="3" cm="1">
        <f t="array" aca="1" ref="N84" ca="1">_FV(B84,"Open")</f>
        <v>587.98</v>
      </c>
      <c r="O84" s="3" cm="1">
        <f t="array" aca="1" ref="O84" ca="1">_FV(B84,"Previous close",TRUE)</f>
        <v>615.67999999999995</v>
      </c>
      <c r="P84" s="7" cm="1">
        <f t="array" aca="1" ref="P84" ca="1">_FV(B84,"Volume")</f>
        <v>9633549</v>
      </c>
      <c r="Q84" s="7" cm="1">
        <f t="array" aca="1" ref="Q84" ca="1">_FV(B84,"Volume average",TRUE)</f>
        <v>8113301</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152</v>
      </c>
      <c r="B85" t="e" vm="90">
        <v>#VALUE!</v>
      </c>
      <c r="C85" s="2" cm="1">
        <f t="array" aca="1" ref="C85" ca="1">_FV(B85,"Last trade time",TRUE)</f>
        <v>46177.811496180468</v>
      </c>
      <c r="D85" t="str" cm="1">
        <f t="array" aca="1" ref="D85" ca="1">_FV(B85,"Currency")</f>
        <v>USD</v>
      </c>
      <c r="E85" s="3" cm="1">
        <f t="array" aca="1" ref="E85" ca="1">_FV(B85,"Price")</f>
        <v>758.12</v>
      </c>
      <c r="F85" s="4" cm="1">
        <f t="array" aca="1" ref="F85" ca="1">_FV(B85,"Change (%)",TRUE)</f>
        <v>5.1439999999999993E-3</v>
      </c>
      <c r="G85" s="5" cm="1">
        <f t="array" aca="1" ref="G85" ca="1">_FV(B85,"Change")</f>
        <v>3.88</v>
      </c>
      <c r="H85" s="6" t="e" vm="13">
        <f t="array" ref="H85">_FV(B85,"P/E",TRUE)</f>
        <v>#VALUE!</v>
      </c>
      <c r="I85" s="6" cm="1">
        <f t="array" aca="1" ref="I85" ca="1">_FV(B85,"Beta")</f>
        <v>0.99709999999999999</v>
      </c>
      <c r="J85" s="3" cm="1">
        <f t="array" aca="1" ref="J85" ca="1">_FV(B85,"52 week high",TRUE)</f>
        <v>760.4</v>
      </c>
      <c r="K85" s="3" cm="1">
        <f t="array" aca="1" ref="K85" ca="1">_FV(B85,"52 week low",TRUE)</f>
        <v>591.04999999999995</v>
      </c>
      <c r="L85" s="3" cm="1">
        <f t="array" aca="1" ref="L85" ca="1">_FV(B85,"High")</f>
        <v>758.12990000000002</v>
      </c>
      <c r="M85" s="3" cm="1">
        <f t="array" aca="1" ref="M85" ca="1">_FV(B85,"Low")</f>
        <v>751.47</v>
      </c>
      <c r="N85" s="3" cm="1">
        <f t="array" aca="1" ref="N85" ca="1">_FV(B85,"Open")</f>
        <v>751.99</v>
      </c>
      <c r="O85" s="3" cm="1">
        <f t="array" aca="1" ref="O85" ca="1">_FV(B85,"Previous close",TRUE)</f>
        <v>754.24</v>
      </c>
      <c r="P85" s="7" cm="1">
        <f t="array" aca="1" ref="P85" ca="1">_FV(B85,"Volume")</f>
        <v>32770844</v>
      </c>
      <c r="Q85" s="7" cm="1">
        <f t="array" aca="1" ref="Q85" ca="1">_FV(B85,"Volume average",TRUE)</f>
        <v>45559704</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46177.811485856248</v>
      </c>
      <c r="D86" t="str">
        <f t="array" aca="1" ref="D86" ca="1">_FV(B86,"Currency")</f>
        <v>USD</v>
      </c>
      <c r="E86" s="3">
        <f t="array" aca="1" ref="E86" ca="1">_FV(B86,"Price")</f>
        <v>80.42</v>
      </c>
      <c r="F86" s="4">
        <f t="array" aca="1" ref="F86" ca="1">_FV(B86,"Change (%)",TRUE)</f>
        <v>-2.9749999999999998E-3</v>
      </c>
      <c r="G86" s="5">
        <f t="array" aca="1" ref="G86" ca="1">_FV(B86,"Change")</f>
        <v>-0.24</v>
      </c>
      <c r="H86" s="6">
        <f t="array" aca="1" ref="H86" ca="1">_FV(B86,"P/E",TRUE)</f>
        <v>31.7715</v>
      </c>
      <c r="I86" s="6">
        <f t="array" aca="1" ref="I86" ca="1">_FV(B86,"Beta")</f>
        <v>1.4748000000000001</v>
      </c>
      <c r="J86" s="3">
        <f t="array" aca="1" ref="J86" ca="1">_FV(B86,"52 week high",TRUE)</f>
        <v>90.9</v>
      </c>
      <c r="K86" s="3">
        <f t="array" aca="1" ref="K86" ca="1">_FV(B86,"52 week low",TRUE)</f>
        <v>51.93</v>
      </c>
      <c r="L86" s="3">
        <f t="array" aca="1" ref="L86" ca="1">_FV(B86,"High")</f>
        <v>81.87</v>
      </c>
      <c r="M86" s="3">
        <f t="array" aca="1" ref="M86" ca="1">_FV(B86,"Low")</f>
        <v>78.8</v>
      </c>
      <c r="N86" s="3">
        <f t="array" aca="1" ref="N86" ca="1">_FV(B86,"Open")</f>
        <v>79.540000000000006</v>
      </c>
      <c r="O86" s="3">
        <f t="array" aca="1" ref="O86" ca="1">_FV(B86,"Previous close",TRUE)</f>
        <v>80.66</v>
      </c>
      <c r="P86" s="7">
        <f t="array" aca="1" ref="P86" ca="1">_FV(B86,"Volume")</f>
        <v>2048752</v>
      </c>
      <c r="Q86" s="7">
        <f t="array" aca="1" ref="Q86" ca="1">_FV(B86,"Volume average",TRUE)</f>
        <v>5523639</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12095642478</v>
      </c>
      <c r="V86" s="7">
        <f t="array" aca="1" ref="V86" ca="1">_FV(B86,"Shares outstanding",TRUE)</f>
        <v>150405900</v>
      </c>
    </row>
    <row r="87" spans="1:22">
      <c r="A87" t="s">
        <v>146</v>
      </c>
      <c r="B87" t="e" vm="92">
        <v>#VALUE!</v>
      </c>
      <c r="C87" s="2" cm="1">
        <f t="array" aca="1" ref="C87" ca="1">_FV(B87,"Last trade time",TRUE)</f>
        <v>46177.81152204844</v>
      </c>
      <c r="D87" t="str" cm="1">
        <f t="array" aca="1" ref="D87" ca="1">_FV(B87,"Currency")</f>
        <v>USD</v>
      </c>
      <c r="E87" s="3" cm="1">
        <f t="array" aca="1" ref="E87" ca="1">_FV(B87,"Price")</f>
        <v>47.33</v>
      </c>
      <c r="F87" s="4" cm="1">
        <f t="array" aca="1" ref="F87" ca="1">_FV(B87,"Change (%)",TRUE)</f>
        <v>2.542E-3</v>
      </c>
      <c r="G87" s="5" cm="1">
        <f t="array" aca="1" ref="G87" ca="1">_FV(B87,"Change")</f>
        <v>0.12</v>
      </c>
      <c r="H87" s="6" cm="1">
        <f t="array" aca="1" ref="H87" ca="1">_FV(B87,"P/E",TRUE)</f>
        <v>0</v>
      </c>
      <c r="I87" s="6" cm="1">
        <f t="array" aca="1" ref="I87" ca="1">_FV(B87,"Beta")</f>
        <v>1.927</v>
      </c>
      <c r="J87" s="3" cm="1">
        <f t="array" aca="1" ref="J87" ca="1">_FV(B87,"52 week high",TRUE)</f>
        <v>87.88</v>
      </c>
      <c r="K87" s="3" cm="1">
        <f t="array" aca="1" ref="K87" ca="1">_FV(B87,"52 week low",TRUE)</f>
        <v>27.26</v>
      </c>
      <c r="L87" s="3" cm="1">
        <f t="array" aca="1" ref="L87" ca="1">_FV(B87,"High")</f>
        <v>48.22</v>
      </c>
      <c r="M87" s="3" cm="1">
        <f t="array" aca="1" ref="M87" ca="1">_FV(B87,"Low")</f>
        <v>46.07</v>
      </c>
      <c r="N87" s="3" cm="1">
        <f t="array" aca="1" ref="N87" ca="1">_FV(B87,"Open")</f>
        <v>46.81</v>
      </c>
      <c r="O87" s="3" cm="1">
        <f t="array" aca="1" ref="O87" ca="1">_FV(B87,"Previous close",TRUE)</f>
        <v>47.21</v>
      </c>
      <c r="P87" s="7" cm="1">
        <f t="array" aca="1" ref="P87" ca="1">_FV(B87,"Volume")</f>
        <v>1148858</v>
      </c>
      <c r="Q87" s="7" cm="1">
        <f t="array" aca="1" ref="Q87" ca="1">_FV(B87,"Volume average",TRUE)</f>
        <v>2528308</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28526112844</v>
      </c>
      <c r="V87" s="7" cm="1">
        <f t="array" aca="1" ref="V87" ca="1">_FV(B87,"Shares outstanding",TRUE)</f>
        <v>602706800</v>
      </c>
    </row>
    <row r="88" spans="1:22">
      <c r="A88" t="s">
        <v>52</v>
      </c>
      <c r="B88" t="e" vm="93">
        <v>#VALUE!</v>
      </c>
      <c r="C88" s="2">
        <f t="array" aca="1" ref="C88" ca="1">_FV(B88,"Last trade time",TRUE)</f>
        <v>46177.81146931641</v>
      </c>
      <c r="D88" t="str">
        <f t="array" aca="1" ref="D88" ca="1">_FV(B88,"Currency")</f>
        <v>USD</v>
      </c>
      <c r="E88" s="3">
        <f t="array" aca="1" ref="E88" ca="1">_FV(B88,"Price")</f>
        <v>52.79</v>
      </c>
      <c r="F88" s="4">
        <f t="array" aca="1" ref="F88" ca="1">_FV(B88,"Change (%)",TRUE)</f>
        <v>0.11113400000000001</v>
      </c>
      <c r="G88" s="5">
        <f t="array" aca="1" ref="G88" ca="1">_FV(B88,"Change")</f>
        <v>5.28</v>
      </c>
      <c r="H88" s="6">
        <f t="array" aca="1" ref="H88" ca="1">_FV(B88,"P/E",TRUE)</f>
        <v>0</v>
      </c>
      <c r="I88" s="6">
        <f t="array" aca="1" ref="I88" ca="1">_FV(B88,"Beta")</f>
        <v>3.11</v>
      </c>
      <c r="J88" s="3">
        <f t="array" aca="1" ref="J88" ca="1">_FV(B88,"52 week high",TRUE)</f>
        <v>104.32</v>
      </c>
      <c r="K88" s="3">
        <f t="array" aca="1" ref="K88" ca="1">_FV(B88,"52 week low",TRUE)</f>
        <v>41.73</v>
      </c>
      <c r="L88" s="3">
        <f t="array" aca="1" ref="L88" ca="1">_FV(B88,"High")</f>
        <v>53.97</v>
      </c>
      <c r="M88" s="3">
        <f t="array" aca="1" ref="M88" ca="1">_FV(B88,"Low")</f>
        <v>46.69</v>
      </c>
      <c r="N88" s="3">
        <f t="array" aca="1" ref="N88" ca="1">_FV(B88,"Open")</f>
        <v>46.99</v>
      </c>
      <c r="O88" s="3">
        <f t="array" aca="1" ref="O88" ca="1">_FV(B88,"Previous close",TRUE)</f>
        <v>47.51</v>
      </c>
      <c r="P88" s="7">
        <f t="array" aca="1" ref="P88" ca="1">_FV(B88,"Volume")</f>
        <v>11362182</v>
      </c>
      <c r="Q88" s="7">
        <f t="array" aca="1" ref="Q88" ca="1">_FV(B88,"Volume average",TRUE)</f>
        <v>6711333</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9479225792</v>
      </c>
      <c r="V88" s="7">
        <f t="array" aca="1" ref="V88" ca="1">_FV(B88,"Shares outstanding",TRUE)</f>
        <v>179564800</v>
      </c>
    </row>
    <row r="89" spans="1:22">
      <c r="A89" t="s">
        <v>306</v>
      </c>
      <c r="B89" t="e" vm="94">
        <v>#VALUE!</v>
      </c>
      <c r="C89" s="2" cm="1">
        <f t="array" aca="1" ref="C89" ca="1">_FV(B89,"Last trade time",TRUE)</f>
        <v>46177.81146759219</v>
      </c>
      <c r="D89" t="str" cm="1">
        <f t="array" aca="1" ref="D89" ca="1">_FV(B89,"Currency")</f>
        <v>USD</v>
      </c>
      <c r="E89" s="3" cm="1">
        <f t="array" aca="1" ref="E89" ca="1">_FV(B89,"Price")</f>
        <v>410.01</v>
      </c>
      <c r="F89" s="4" cm="1">
        <f t="array" aca="1" ref="F89" ca="1">_FV(B89,"Change (%)",TRUE)</f>
        <v>8.2989999999999995E-4</v>
      </c>
      <c r="G89" s="5" cm="1">
        <f t="array" aca="1" ref="G89" ca="1">_FV(B89,"Change")</f>
        <v>0.34</v>
      </c>
      <c r="H89" s="6" cm="1">
        <f t="array" aca="1" ref="H89" ca="1">_FV(B89,"P/E",TRUE)</f>
        <v>75.884200000000007</v>
      </c>
      <c r="I89" s="6" cm="1">
        <f t="array" aca="1" ref="I89" ca="1">_FV(B89,"Beta")</f>
        <v>1.7836000000000001</v>
      </c>
      <c r="J89" s="3" cm="1">
        <f t="array" aca="1" ref="J89" ca="1">_FV(B89,"52 week high",TRUE)</f>
        <v>422.11</v>
      </c>
      <c r="K89" s="3" cm="1">
        <f t="array" aca="1" ref="K89" ca="1">_FV(B89,"52 week low",TRUE)</f>
        <v>81.069999999999993</v>
      </c>
      <c r="L89" s="3" cm="1">
        <f t="array" aca="1" ref="L89" ca="1">_FV(B89,"High")</f>
        <v>413.87</v>
      </c>
      <c r="M89" s="3" cm="1">
        <f t="array" aca="1" ref="M89" ca="1">_FV(B89,"Low")</f>
        <v>388.09</v>
      </c>
      <c r="N89" s="3" cm="1">
        <f t="array" aca="1" ref="N89" ca="1">_FV(B89,"Open")</f>
        <v>395.56</v>
      </c>
      <c r="O89" s="3" cm="1">
        <f t="array" aca="1" ref="O89" ca="1">_FV(B89,"Previous close",TRUE)</f>
        <v>409.67</v>
      </c>
      <c r="P89" s="7" cm="1">
        <f t="array" aca="1" ref="P89" ca="1">_FV(B89,"Volume")</f>
        <v>1513308</v>
      </c>
      <c r="Q89" s="7" cm="1">
        <f t="array" aca="1" ref="Q89" ca="1">_FV(B89,"Volume average",TRUE)</f>
        <v>4172082</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64183867422</v>
      </c>
      <c r="V89" s="7" cm="1">
        <f t="array" aca="1" ref="V89" ca="1">_FV(B89,"Shares outstanding",TRUE)</f>
        <v>156542200</v>
      </c>
    </row>
    <row r="90" spans="1:22">
      <c r="A90" t="s">
        <v>64</v>
      </c>
      <c r="B90" t="e" vm="95">
        <v>#VALUE!</v>
      </c>
      <c r="C90" s="2">
        <f t="array" aca="1" ref="C90" ca="1">_FV(B90,"Last trade time",TRUE)</f>
        <v>46177.811517349219</v>
      </c>
      <c r="D90" t="str">
        <f t="array" aca="1" ref="D90" ca="1">_FV(B90,"Currency")</f>
        <v>USD</v>
      </c>
      <c r="E90" s="3">
        <f t="array" aca="1" ref="E90" ca="1">_FV(B90,"Price")</f>
        <v>420.11500000000001</v>
      </c>
      <c r="F90" s="4">
        <f t="array" aca="1" ref="F90" ca="1">_FV(B90,"Change (%)",TRUE)</f>
        <v>-8.4609999999999998E-3</v>
      </c>
      <c r="G90" s="5">
        <f t="array" aca="1" ref="G90" ca="1">_FV(B90,"Change")</f>
        <v>-3.585</v>
      </c>
      <c r="H90" s="6">
        <f t="array" aca="1" ref="H90" ca="1">_FV(B90,"P/E",TRUE)</f>
        <v>383.98230000000001</v>
      </c>
      <c r="I90" s="6">
        <f t="array" aca="1" ref="I90" ca="1">_FV(B90,"Beta")</f>
        <v>1.8013999999999999</v>
      </c>
      <c r="J90" s="3">
        <f t="array" aca="1" ref="J90" ca="1">_FV(B90,"52 week high",TRUE)</f>
        <v>498.83</v>
      </c>
      <c r="K90" s="3">
        <f t="array" aca="1" ref="K90" ca="1">_FV(B90,"52 week low",TRUE)</f>
        <v>273.20999999999998</v>
      </c>
      <c r="L90" s="3">
        <f t="array" aca="1" ref="L90" ca="1">_FV(B90,"High")</f>
        <v>426.34989999999999</v>
      </c>
      <c r="M90" s="3">
        <f t="array" aca="1" ref="M90" ca="1">_FV(B90,"Low")</f>
        <v>417.16</v>
      </c>
      <c r="N90" s="3">
        <f t="array" aca="1" ref="N90" ca="1">_FV(B90,"Open")</f>
        <v>419.59</v>
      </c>
      <c r="O90" s="3">
        <f t="array" aca="1" ref="O90" ca="1">_FV(B90,"Previous close",TRUE)</f>
        <v>423.7</v>
      </c>
      <c r="P90" s="7">
        <f t="array" aca="1" ref="P90" ca="1">_FV(B90,"Volume")</f>
        <v>27619972</v>
      </c>
      <c r="Q90" s="7">
        <f t="array" aca="1" ref="Q90" ca="1">_FV(B90,"Volume average",TRUE)</f>
        <v>51004605</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1577835988260</v>
      </c>
      <c r="V90" s="7">
        <f t="array" aca="1" ref="V90" ca="1">_FV(B90,"Shares outstanding",TRUE)</f>
        <v>3755724000</v>
      </c>
    </row>
    <row r="91" spans="1:22">
      <c r="A91" t="s">
        <v>51</v>
      </c>
      <c r="B91" t="e" vm="96">
        <v>#VALUE!</v>
      </c>
      <c r="C91" s="2">
        <f t="array" aca="1" ref="C91" ca="1">_FV(B91,"Last trade time",TRUE)</f>
        <v>46177.811502974218</v>
      </c>
      <c r="D91" t="str">
        <f t="array" aca="1" ref="D91" ca="1">_FV(B91,"Currency")</f>
        <v>USD</v>
      </c>
      <c r="E91" s="3">
        <f t="array" aca="1" ref="E91" ca="1">_FV(B91,"Price")</f>
        <v>447</v>
      </c>
      <c r="F91" s="4">
        <f t="array" aca="1" ref="F91" ca="1">_FV(B91,"Change (%)",TRUE)</f>
        <v>2.3609000000000002E-2</v>
      </c>
      <c r="G91" s="5">
        <f t="array" aca="1" ref="G91" ca="1">_FV(B91,"Change")</f>
        <v>10.31</v>
      </c>
      <c r="H91" s="6">
        <f t="array" aca="1" ref="H91" ca="1">_FV(B91,"P/E",TRUE)</f>
        <v>37.820099999999996</v>
      </c>
      <c r="I91" s="6">
        <f t="array" aca="1" ref="I91" ca="1">_FV(B91,"Beta")</f>
        <v>1.2743</v>
      </c>
      <c r="J91" s="3">
        <f t="array" aca="1" ref="J91" ca="1">_FV(B91,"52 week high",TRUE)</f>
        <v>450.16359999999997</v>
      </c>
      <c r="K91" s="3">
        <f t="array" aca="1" ref="K91" ca="1">_FV(B91,"52 week low",TRUE)</f>
        <v>200.38</v>
      </c>
      <c r="L91" s="3">
        <f t="array" aca="1" ref="L91" ca="1">_FV(B91,"High")</f>
        <v>448.01</v>
      </c>
      <c r="M91" s="3">
        <f t="array" aca="1" ref="M91" ca="1">_FV(B91,"Low")</f>
        <v>427.3</v>
      </c>
      <c r="N91" s="3">
        <f t="array" aca="1" ref="N91" ca="1">_FV(B91,"Open")</f>
        <v>429.99</v>
      </c>
      <c r="O91" s="3">
        <f t="array" aca="1" ref="O91" ca="1">_FV(B91,"Previous close",TRUE)</f>
        <v>436.69</v>
      </c>
      <c r="P91" s="7">
        <f t="array" aca="1" ref="P91" ca="1">_FV(B91,"Volume")</f>
        <v>9010548</v>
      </c>
      <c r="Q91" s="7">
        <f t="array" aca="1" ref="Q91" ca="1">_FV(B91,"Volume average",TRUE)</f>
        <v>12781388</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2264881331060</v>
      </c>
      <c r="V91" s="7">
        <f t="array" aca="1" ref="V91" ca="1">_FV(B91,"Shares outstanding",TRUE)</f>
        <v>25932370000</v>
      </c>
    </row>
    <row r="92" spans="1:22">
      <c r="A92" t="s">
        <v>308</v>
      </c>
      <c r="B92" t="e" vm="97">
        <v>#VALUE!</v>
      </c>
      <c r="C92" s="2" cm="1">
        <f t="array" aca="1" ref="C92" ca="1">_FV(B92,"Last trade time",TRUE)</f>
        <v>46177.811482106248</v>
      </c>
      <c r="D92" t="str" cm="1">
        <f t="array" aca="1" ref="D92" ca="1">_FV(B92,"Currency")</f>
        <v>USD</v>
      </c>
      <c r="E92" s="3" cm="1">
        <f t="array" aca="1" ref="E92" ca="1">_FV(B92,"Price")</f>
        <v>235.86</v>
      </c>
      <c r="F92" s="4" cm="1">
        <f t="array" aca="1" ref="F92" ca="1">_FV(B92,"Change (%)",TRUE)</f>
        <v>3.7842000000000001E-2</v>
      </c>
      <c r="G92" s="5" cm="1">
        <f t="array" aca="1" ref="G92" ca="1">_FV(B92,"Change")</f>
        <v>8.6</v>
      </c>
      <c r="H92" s="6" cm="1">
        <f t="array" aca="1" ref="H92" ca="1">_FV(B92,"P/E",TRUE)</f>
        <v>366.64080000000001</v>
      </c>
      <c r="I92" s="6" cm="1">
        <f t="array" aca="1" ref="I92" ca="1">_FV(B92,"Beta")</f>
        <v>1.3563000000000001</v>
      </c>
      <c r="J92" s="3" cm="1">
        <f t="array" aca="1" ref="J92" ca="1">_FV(B92,"52 week high",TRUE)</f>
        <v>238.47989999999999</v>
      </c>
      <c r="K92" s="3" cm="1">
        <f t="array" aca="1" ref="K92" ca="1">_FV(B92,"52 week low",TRUE)</f>
        <v>91.84</v>
      </c>
      <c r="L92" s="3" cm="1">
        <f t="array" aca="1" ref="L92" ca="1">_FV(B92,"High")</f>
        <v>238.47989999999999</v>
      </c>
      <c r="M92" s="3" cm="1">
        <f t="array" aca="1" ref="M92" ca="1">_FV(B92,"Low")</f>
        <v>222.62</v>
      </c>
      <c r="N92" s="3" cm="1">
        <f t="array" aca="1" ref="N92" ca="1">_FV(B92,"Open")</f>
        <v>225.97</v>
      </c>
      <c r="O92" s="3" cm="1">
        <f t="array" aca="1" ref="O92" ca="1">_FV(B92,"Previous close",TRUE)</f>
        <v>227.26</v>
      </c>
      <c r="P92" s="7" cm="1">
        <f t="array" aca="1" ref="P92" ca="1">_FV(B92,"Volume")</f>
        <v>2578963</v>
      </c>
      <c r="Q92" s="7" cm="1">
        <f t="array" aca="1" ref="Q92" ca="1">_FV(B92,"Volume average",TRUE)</f>
        <v>3307809</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35797392054</v>
      </c>
      <c r="V92" s="7" cm="1">
        <f t="array" aca="1" ref="V92" ca="1">_FV(B92,"Shares outstanding",TRUE)</f>
        <v>151773900</v>
      </c>
    </row>
    <row r="93" spans="1:22">
      <c r="A93" t="s">
        <v>148</v>
      </c>
      <c r="B93" t="e" vm="98">
        <v>#VALUE!</v>
      </c>
      <c r="C93" s="2" cm="1">
        <f t="array" aca="1" ref="C93" ca="1">_FV(B93,"Last trade time",TRUE)</f>
        <v>46177.811489339845</v>
      </c>
      <c r="D93" t="str" cm="1">
        <f t="array" aca="1" ref="D93" ca="1">_FV(B93,"Currency")</f>
        <v>USD</v>
      </c>
      <c r="E93" s="3" cm="1">
        <f t="array" aca="1" ref="E93" ca="1">_FV(B93,"Price")</f>
        <v>325.91000000000003</v>
      </c>
      <c r="F93" s="4" cm="1">
        <f t="array" aca="1" ref="F93" ca="1">_FV(B93,"Change (%)",TRUE)</f>
        <v>-1.6685000000000002E-2</v>
      </c>
      <c r="G93" s="5" cm="1">
        <f t="array" aca="1" ref="G93" ca="1">_FV(B93,"Change")</f>
        <v>-5.53</v>
      </c>
      <c r="H93" s="6" cm="1">
        <f t="array" aca="1" ref="H93" ca="1">_FV(B93,"P/E",TRUE)</f>
        <v>81.825299999999999</v>
      </c>
      <c r="I93" s="6" cm="1">
        <f t="array" aca="1" ref="I93" ca="1">_FV(B93,"Beta")</f>
        <v>2.0344000000000002</v>
      </c>
      <c r="J93" s="3" cm="1">
        <f t="array" aca="1" ref="J93" ca="1">_FV(B93,"52 week high",TRUE)</f>
        <v>379.935</v>
      </c>
      <c r="K93" s="3" cm="1">
        <f t="array" aca="1" ref="K93" ca="1">_FV(B93,"52 week low",TRUE)</f>
        <v>107.38</v>
      </c>
      <c r="L93" s="3" cm="1">
        <f t="array" aca="1" ref="L93" ca="1">_FV(B93,"High")</f>
        <v>326</v>
      </c>
      <c r="M93" s="3" cm="1">
        <f t="array" aca="1" ref="M93" ca="1">_FV(B93,"Low")</f>
        <v>306</v>
      </c>
      <c r="N93" s="3" cm="1">
        <f t="array" aca="1" ref="N93" ca="1">_FV(B93,"Open")</f>
        <v>320.01</v>
      </c>
      <c r="O93" s="3" cm="1">
        <f t="array" aca="1" ref="O93" ca="1">_FV(B93,"Previous close",TRUE)</f>
        <v>331.44</v>
      </c>
      <c r="P93" s="7" cm="1">
        <f t="array" aca="1" ref="P93" ca="1">_FV(B93,"Volume")</f>
        <v>4826799</v>
      </c>
      <c r="Q93" s="7" cm="1">
        <f t="array" aca="1" ref="Q93" ca="1">_FV(B93,"Volume average",TRUE)</f>
        <v>5610288</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125184899008</v>
      </c>
      <c r="V93" s="7" cm="1">
        <f t="array" aca="1" ref="V93" ca="1">_FV(B93,"Shares outstanding",TRUE)</f>
        <v>384108800</v>
      </c>
    </row>
    <row r="94" spans="1:22">
      <c r="A94" t="s">
        <v>307</v>
      </c>
      <c r="B94" t="e" vm="99">
        <v>#VALUE!</v>
      </c>
      <c r="C94" s="2" cm="1">
        <f t="array" aca="1" ref="C94" ca="1">_FV(B94,"Last trade time",TRUE)</f>
        <v>46177.811484015627</v>
      </c>
      <c r="D94" t="str" cm="1">
        <f t="array" aca="1" ref="D94" ca="1">_FV(B94,"Currency")</f>
        <v>USD</v>
      </c>
      <c r="E94" s="3" cm="1">
        <f t="array" aca="1" ref="E94" ca="1">_FV(B94,"Price")</f>
        <v>148.85499999999999</v>
      </c>
      <c r="F94" s="4" cm="1">
        <f t="array" aca="1" ref="F94" ca="1">_FV(B94,"Change (%)",TRUE)</f>
        <v>1.3308E-2</v>
      </c>
      <c r="G94" s="5" cm="1">
        <f t="array" aca="1" ref="G94" ca="1">_FV(B94,"Change")</f>
        <v>1.9550000000000001</v>
      </c>
      <c r="H94" s="6" cm="1">
        <f t="array" aca="1" ref="H94" ca="1">_FV(B94,"P/E",TRUE)</f>
        <v>46.4664</v>
      </c>
      <c r="I94" s="6" cm="1">
        <f t="array" aca="1" ref="I94" ca="1">_FV(B94,"Beta")</f>
        <v>1.0781000000000001</v>
      </c>
      <c r="J94" s="3" cm="1">
        <f t="array" aca="1" ref="J94" ca="1">_FV(B94,"52 week high",TRUE)</f>
        <v>257.08999999999997</v>
      </c>
      <c r="K94" s="3" cm="1">
        <f t="array" aca="1" ref="K94" ca="1">_FV(B94,"52 week low",TRUE)</f>
        <v>110.36</v>
      </c>
      <c r="L94" s="3" cm="1">
        <f t="array" aca="1" ref="L94" ca="1">_FV(B94,"High")</f>
        <v>153.47999999999999</v>
      </c>
      <c r="M94" s="3" cm="1">
        <f t="array" aca="1" ref="M94" ca="1">_FV(B94,"Low")</f>
        <v>148</v>
      </c>
      <c r="N94" s="3" cm="1">
        <f t="array" aca="1" ref="N94" ca="1">_FV(B94,"Open")</f>
        <v>153</v>
      </c>
      <c r="O94" s="3" cm="1">
        <f t="array" aca="1" ref="O94" ca="1">_FV(B94,"Previous close",TRUE)</f>
        <v>146.9</v>
      </c>
      <c r="P94" s="7" cm="1">
        <f t="array" aca="1" ref="P94" ca="1">_FV(B94,"Volume")</f>
        <v>2573630</v>
      </c>
      <c r="Q94" s="7" cm="1">
        <f t="array" aca="1" ref="Q94" ca="1">_FV(B94,"Volume average",TRUE)</f>
        <v>5480958</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36767185000</v>
      </c>
      <c r="V94" s="7" cm="1">
        <f t="array" aca="1" ref="V94" ca="1">_FV(B94,"Shares outstanding",TRUE)</f>
        <v>247000000</v>
      </c>
    </row>
    <row r="95" spans="1:22">
      <c r="A95" t="s">
        <v>144</v>
      </c>
      <c r="B95" t="e" vm="100">
        <v>#VALUE!</v>
      </c>
      <c r="C95" s="2" cm="1">
        <f t="array" aca="1" ref="C95" ca="1">_FV(B95,"Last trade time",TRUE)</f>
        <v>46177.811507997656</v>
      </c>
      <c r="D95" t="str" cm="1">
        <f t="array" aca="1" ref="D95" ca="1">_FV(B95,"Currency")</f>
        <v>USD</v>
      </c>
      <c r="E95" s="3" cm="1">
        <f t="array" aca="1" ref="E95" ca="1">_FV(B95,"Price")</f>
        <v>136.19499999999999</v>
      </c>
      <c r="F95" s="4" cm="1">
        <f t="array" aca="1" ref="F95" ca="1">_FV(B95,"Change (%)",TRUE)</f>
        <v>1.3582E-2</v>
      </c>
      <c r="G95" s="5" cm="1">
        <f t="array" aca="1" ref="G95" ca="1">_FV(B95,"Change")</f>
        <v>1.825</v>
      </c>
      <c r="H95" s="6" cm="1">
        <f t="array" aca="1" ref="H95" ca="1">_FV(B95,"P/E",TRUE)</f>
        <v>0</v>
      </c>
      <c r="I95" s="6" cm="1">
        <f t="array" aca="1" ref="I95" ca="1">_FV(B95,"Beta")</f>
        <v>0.96579999999999999</v>
      </c>
      <c r="J95" s="3" cm="1">
        <f t="array" aca="1" ref="J95" ca="1">_FV(B95,"52 week high",TRUE)</f>
        <v>336.99</v>
      </c>
      <c r="K95" s="3" cm="1">
        <f t="array" aca="1" ref="K95" ca="1">_FV(B95,"52 week low",TRUE)</f>
        <v>114.625</v>
      </c>
      <c r="L95" s="3" cm="1">
        <f t="array" aca="1" ref="L95" ca="1">_FV(B95,"High")</f>
        <v>137.5</v>
      </c>
      <c r="M95" s="3" cm="1">
        <f t="array" aca="1" ref="M95" ca="1">_FV(B95,"Low")</f>
        <v>132.5</v>
      </c>
      <c r="N95" s="3" cm="1">
        <f t="array" aca="1" ref="N95" ca="1">_FV(B95,"Open")</f>
        <v>136.03</v>
      </c>
      <c r="O95" s="3" cm="1">
        <f t="array" aca="1" ref="O95" ca="1">_FV(B95,"Previous close",TRUE)</f>
        <v>134.37</v>
      </c>
      <c r="P95" s="7" cm="1">
        <f t="array" aca="1" ref="P95" ca="1">_FV(B95,"Volume")</f>
        <v>3322603</v>
      </c>
      <c r="Q95" s="7" cm="1">
        <f t="array" aca="1" ref="Q95" ca="1">_FV(B95,"Volume average",TRUE)</f>
        <v>6162261</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22024025352</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abSelected="1" workbookViewId="0">
      <selection activeCell="L12" sqref="L12"/>
    </sheetView>
  </sheetViews>
  <sheetFormatPr defaultColWidth="9.1328125" defaultRowHeight="15.4"/>
  <cols>
    <col min="1" max="1" width="9.86328125" style="14" bestFit="1" customWidth="1"/>
    <col min="2" max="2" width="42.33203125" style="14" customWidth="1"/>
    <col min="3" max="3" width="7.3984375" style="14" hidden="1" customWidth="1"/>
    <col min="4" max="4" width="6.53125" style="14" hidden="1" customWidth="1"/>
    <col min="5" max="5" width="9.46484375" style="14" hidden="1" customWidth="1"/>
    <col min="6" max="6" width="11.46484375" style="14" customWidth="1"/>
    <col min="7" max="7" width="8.33203125" style="14" hidden="1" customWidth="1"/>
    <col min="8" max="8" width="11.53125" style="14" hidden="1" customWidth="1"/>
    <col min="9" max="9" width="10" style="14" customWidth="1"/>
    <col min="10" max="10" width="7.6640625" style="14" hidden="1"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312</v>
      </c>
      <c r="B1" s="38" t="s">
        <v>93</v>
      </c>
      <c r="C1" s="39" t="s">
        <v>95</v>
      </c>
      <c r="D1" s="40" t="s">
        <v>313</v>
      </c>
      <c r="E1" s="40" t="s">
        <v>314</v>
      </c>
      <c r="F1" s="40" t="s">
        <v>315</v>
      </c>
      <c r="G1" s="40" t="s">
        <v>316</v>
      </c>
      <c r="H1" s="40" t="s">
        <v>317</v>
      </c>
      <c r="I1" s="40" t="s">
        <v>96</v>
      </c>
      <c r="J1" s="40" t="s">
        <v>318</v>
      </c>
      <c r="K1" s="41" t="s">
        <v>97</v>
      </c>
      <c r="L1" s="40" t="s">
        <v>319</v>
      </c>
      <c r="M1" s="40" t="s">
        <v>320</v>
      </c>
      <c r="N1" s="40" t="s">
        <v>321</v>
      </c>
    </row>
    <row r="2" spans="1:14" ht="24">
      <c r="A2" s="15" t="s">
        <v>41</v>
      </c>
      <c r="B2" s="42" t="e" vm="52">
        <v>#VALUE!</v>
      </c>
      <c r="C2" s="43" t="str">
        <f t="shared" ref="C2:C10" ca="1" si="0">_FV(B2,"Currency")</f>
        <v>USD</v>
      </c>
      <c r="D2" s="44">
        <v>6</v>
      </c>
      <c r="E2" s="44">
        <v>0</v>
      </c>
      <c r="F2" s="44">
        <v>6</v>
      </c>
      <c r="G2" s="45">
        <v>527.97666700000002</v>
      </c>
      <c r="H2" s="45">
        <f t="shared" ref="H2:H10" si="1">F2*G2</f>
        <v>3167.8600020000003</v>
      </c>
      <c r="I2" s="46">
        <f t="shared" ref="I2:I10" ca="1" si="2">_FV(B2,"Price")</f>
        <v>624.91</v>
      </c>
      <c r="J2" s="47">
        <f ca="1">Config!$C$1</f>
        <v>0.74470000000000003</v>
      </c>
      <c r="K2" s="48" cm="1">
        <f t="array" aca="1" ref="K2" ca="1">_FV(B2,"Change (%)",TRUE)</f>
        <v>3.0980000000000001E-3</v>
      </c>
      <c r="L2" s="45">
        <f t="shared" ref="L2:L10" ca="1" si="3">F2*I2*J2</f>
        <v>2792.2228620000001</v>
      </c>
      <c r="M2" s="45">
        <f t="shared" ref="M2:M10" ca="1" si="4">L2-H2</f>
        <v>-375.63714000000027</v>
      </c>
      <c r="N2" s="48">
        <f t="shared" ref="N2:N10" ca="1" si="5">IF(H2=0,"",M2/H2)</f>
        <v>-0.11857756964097059</v>
      </c>
    </row>
    <row r="3" spans="1:14" ht="24">
      <c r="A3" s="15" t="s">
        <v>60</v>
      </c>
      <c r="B3" s="42" t="e" vm="39">
        <v>#VALUE!</v>
      </c>
      <c r="C3" s="43" t="str">
        <f t="shared" ca="1" si="0"/>
        <v>USD</v>
      </c>
      <c r="D3" s="44">
        <v>75</v>
      </c>
      <c r="E3" s="44">
        <v>0</v>
      </c>
      <c r="F3" s="44">
        <v>75</v>
      </c>
      <c r="G3" s="45">
        <v>48.637323999999992</v>
      </c>
      <c r="H3" s="45">
        <f t="shared" si="1"/>
        <v>3647.7992999999992</v>
      </c>
      <c r="I3" s="46">
        <f t="shared" ca="1" si="2"/>
        <v>88.004999999999995</v>
      </c>
      <c r="J3" s="47">
        <f ca="1">Config!$C$1</f>
        <v>0.74470000000000003</v>
      </c>
      <c r="K3" s="48" cm="1">
        <f t="array" aca="1" ref="K3" ca="1">_FV(B3,"Change (%)",TRUE)</f>
        <v>6.2220999999999999E-2</v>
      </c>
      <c r="L3" s="45">
        <f t="shared" ca="1" si="3"/>
        <v>4915.2992625000006</v>
      </c>
      <c r="M3" s="45">
        <f t="shared" ca="1" si="4"/>
        <v>1267.4999625000014</v>
      </c>
      <c r="N3" s="48">
        <f t="shared" ca="1" si="5"/>
        <v>0.34746976416712444</v>
      </c>
    </row>
    <row r="4" spans="1:14" ht="24">
      <c r="A4" s="15" t="s">
        <v>200</v>
      </c>
      <c r="B4" s="42" t="e" vm="63">
        <v>#VALUE!</v>
      </c>
      <c r="C4" s="43" t="str">
        <f t="shared" ca="1" si="0"/>
        <v>USD</v>
      </c>
      <c r="D4" s="44">
        <v>18</v>
      </c>
      <c r="E4" s="44">
        <v>0</v>
      </c>
      <c r="F4" s="44">
        <v>18</v>
      </c>
      <c r="G4" s="45">
        <v>129.58000000000001</v>
      </c>
      <c r="H4" s="45">
        <f t="shared" si="1"/>
        <v>2332.44</v>
      </c>
      <c r="I4" s="46">
        <f t="shared" ca="1" si="2"/>
        <v>220.25</v>
      </c>
      <c r="J4" s="47">
        <f ca="1">Config!$C$1</f>
        <v>0.74470000000000003</v>
      </c>
      <c r="K4" s="48" cm="1">
        <f t="array" aca="1" ref="K4" ca="1">_FV(B4,"Change (%)",TRUE)</f>
        <v>2.6806999999999997E-2</v>
      </c>
      <c r="L4" s="45">
        <f t="shared" ca="1" si="3"/>
        <v>2952.3631500000001</v>
      </c>
      <c r="M4" s="45">
        <f t="shared" ca="1" si="4"/>
        <v>619.92315000000008</v>
      </c>
      <c r="N4" s="48">
        <f t="shared" ca="1" si="5"/>
        <v>0.26578310696095081</v>
      </c>
    </row>
    <row r="5" spans="1:14" ht="24">
      <c r="A5" s="15" t="s">
        <v>63</v>
      </c>
      <c r="B5" s="42" t="e" vm="8">
        <v>#VALUE!</v>
      </c>
      <c r="C5" s="43" t="str">
        <f t="shared" ca="1" si="0"/>
        <v>USD</v>
      </c>
      <c r="D5" s="44">
        <v>12</v>
      </c>
      <c r="E5" s="44">
        <v>0</v>
      </c>
      <c r="F5" s="44">
        <v>12</v>
      </c>
      <c r="G5" s="45">
        <v>154.96</v>
      </c>
      <c r="H5" s="45">
        <f t="shared" si="1"/>
        <v>1859.52</v>
      </c>
      <c r="I5" s="46">
        <f t="shared" ca="1" si="2"/>
        <v>526.73500000000001</v>
      </c>
      <c r="J5" s="47">
        <f ca="1">Config!$C$1</f>
        <v>0.74470000000000003</v>
      </c>
      <c r="K5" s="48" cm="1">
        <f t="array" aca="1" ref="K5" ca="1">_FV(B5,"Change (%)",TRUE)</f>
        <v>-2.9096E-2</v>
      </c>
      <c r="L5" s="45">
        <f t="shared" ca="1" si="3"/>
        <v>4707.114654</v>
      </c>
      <c r="M5" s="45">
        <f t="shared" ca="1" si="4"/>
        <v>2847.594654</v>
      </c>
      <c r="N5" s="48">
        <f t="shared" ca="1" si="5"/>
        <v>1.5313600574341766</v>
      </c>
    </row>
    <row r="6" spans="1:14" ht="24">
      <c r="A6" s="15" t="s">
        <v>70</v>
      </c>
      <c r="B6" s="42" t="e" vm="28">
        <v>#VALUE!</v>
      </c>
      <c r="C6" s="43" t="str">
        <f t="shared" ca="1" si="0"/>
        <v>USD</v>
      </c>
      <c r="D6" s="44">
        <v>31</v>
      </c>
      <c r="E6" s="44">
        <v>0</v>
      </c>
      <c r="F6" s="44">
        <v>31</v>
      </c>
      <c r="G6" s="45">
        <v>66.906129000000007</v>
      </c>
      <c r="H6" s="45">
        <f t="shared" si="1"/>
        <v>2074.0899990000003</v>
      </c>
      <c r="I6" s="46">
        <f t="shared" ca="1" si="2"/>
        <v>109.69</v>
      </c>
      <c r="J6" s="47">
        <f ca="1">Config!$C$1</f>
        <v>0.74470000000000003</v>
      </c>
      <c r="K6" s="48" cm="1">
        <f t="array" aca="1" ref="K6" ca="1">_FV(B6,"Change (%)",TRUE)</f>
        <v>-1.1177999999999999E-2</v>
      </c>
      <c r="L6" s="45">
        <f t="shared" ca="1" si="3"/>
        <v>2532.2704330000001</v>
      </c>
      <c r="M6" s="45">
        <f t="shared" ca="1" si="4"/>
        <v>458.18043399999988</v>
      </c>
      <c r="N6" s="48">
        <f t="shared" ca="1" si="5"/>
        <v>0.22090672739413744</v>
      </c>
    </row>
    <row r="7" spans="1:14" ht="24">
      <c r="A7" s="15" t="s">
        <v>64</v>
      </c>
      <c r="B7" s="42" t="e" vm="95">
        <v>#VALUE!</v>
      </c>
      <c r="C7" s="43" t="str">
        <f t="shared" ca="1" si="0"/>
        <v>USD</v>
      </c>
      <c r="D7" s="44">
        <v>18</v>
      </c>
      <c r="E7" s="44">
        <v>0</v>
      </c>
      <c r="F7" s="44">
        <v>18</v>
      </c>
      <c r="G7" s="45">
        <v>269.68166111111105</v>
      </c>
      <c r="H7" s="45">
        <f t="shared" si="1"/>
        <v>4854.2698999999993</v>
      </c>
      <c r="I7" s="46">
        <f t="shared" ca="1" si="2"/>
        <v>420.11500000000001</v>
      </c>
      <c r="J7" s="47">
        <f ca="1">Config!$C$1</f>
        <v>0.74470000000000003</v>
      </c>
      <c r="K7" s="48" cm="1">
        <f t="array" aca="1" ref="K7" ca="1">_FV(B7,"Change (%)",TRUE)</f>
        <v>-8.4609999999999998E-3</v>
      </c>
      <c r="L7" s="45">
        <f t="shared" ca="1" si="3"/>
        <v>5631.4735289999999</v>
      </c>
      <c r="M7" s="45">
        <f t="shared" ca="1" si="4"/>
        <v>777.20362900000055</v>
      </c>
      <c r="N7" s="48">
        <f t="shared" ca="1" si="5"/>
        <v>0.16010721385722715</v>
      </c>
    </row>
    <row r="8" spans="1:14" ht="24">
      <c r="A8" s="15" t="s">
        <v>76</v>
      </c>
      <c r="B8" s="42" t="e" vm="49">
        <v>#VALUE!</v>
      </c>
      <c r="C8" s="43" t="str">
        <f t="shared" ca="1" si="0"/>
        <v>USD</v>
      </c>
      <c r="D8" s="44">
        <v>124</v>
      </c>
      <c r="E8" s="44">
        <v>0</v>
      </c>
      <c r="F8" s="44">
        <v>124</v>
      </c>
      <c r="G8" s="45">
        <v>8.8163710000000002</v>
      </c>
      <c r="H8" s="45">
        <f t="shared" si="1"/>
        <v>1093.230004</v>
      </c>
      <c r="I8" s="46">
        <f t="shared" ca="1" si="2"/>
        <v>12.52</v>
      </c>
      <c r="J8" s="47">
        <f ca="1">Config!$C$1</f>
        <v>0.74470000000000003</v>
      </c>
      <c r="K8" s="48" cm="1">
        <f t="array" aca="1" ref="K8" ca="1">_FV(B8,"Change (%)",TRUE)</f>
        <v>1.8713999999999998E-2</v>
      </c>
      <c r="L8" s="45">
        <f t="shared" ca="1" si="3"/>
        <v>1156.131856</v>
      </c>
      <c r="M8" s="45">
        <f t="shared" ca="1" si="4"/>
        <v>62.901851999999963</v>
      </c>
      <c r="N8" s="48">
        <f t="shared" ca="1" si="5"/>
        <v>5.753761950353492E-2</v>
      </c>
    </row>
    <row r="9" spans="1:14" ht="24">
      <c r="A9" s="15" t="s">
        <v>80</v>
      </c>
      <c r="B9" s="42" t="e" vm="71">
        <v>#VALUE!</v>
      </c>
      <c r="C9" s="43" t="str">
        <f t="shared" ca="1" si="0"/>
        <v>USD</v>
      </c>
      <c r="D9" s="44">
        <v>446</v>
      </c>
      <c r="E9" s="44">
        <v>0</v>
      </c>
      <c r="F9" s="44">
        <v>446</v>
      </c>
      <c r="G9" s="45">
        <v>5.6275115156950681</v>
      </c>
      <c r="H9" s="45">
        <f t="shared" si="1"/>
        <v>2509.8701360000005</v>
      </c>
      <c r="I9" s="46">
        <f t="shared" ca="1" si="2"/>
        <v>15.52</v>
      </c>
      <c r="J9" s="47">
        <f ca="1">Config!$C$1</f>
        <v>0.74470000000000003</v>
      </c>
      <c r="K9" s="48" cm="1">
        <f t="array" aca="1" ref="K9" ca="1">_FV(B9,"Change (%)",TRUE)</f>
        <v>9.103E-3</v>
      </c>
      <c r="L9" s="45">
        <f t="shared" ca="1" si="3"/>
        <v>5154.7538240000003</v>
      </c>
      <c r="M9" s="45">
        <f t="shared" ca="1" si="4"/>
        <v>2644.8836879999999</v>
      </c>
      <c r="N9" s="48">
        <f t="shared" ca="1" si="5"/>
        <v>1.0537930429401305</v>
      </c>
    </row>
    <row r="10" spans="1:14" hidden="1">
      <c r="A10" s="15" t="s">
        <v>32</v>
      </c>
      <c r="B10" s="15" t="e" vm="80">
        <v>#VALUE!</v>
      </c>
      <c r="C10" s="16" t="str">
        <f t="shared" ca="1" si="0"/>
        <v>GBp</v>
      </c>
      <c r="D10" s="17">
        <v>100</v>
      </c>
      <c r="E10" s="17">
        <v>50</v>
      </c>
      <c r="F10" s="17">
        <v>50</v>
      </c>
      <c r="G10" s="18">
        <v>100</v>
      </c>
      <c r="H10" s="18">
        <f t="shared" si="1"/>
        <v>5000</v>
      </c>
      <c r="I10" s="19">
        <f t="shared" ca="1" si="2"/>
        <v>883.2</v>
      </c>
      <c r="J10" s="20">
        <f ca="1">Config!$C$1</f>
        <v>0.74470000000000003</v>
      </c>
      <c r="K10" s="36" cm="1">
        <f t="array" aca="1" ref="K10" ca="1">_FV(B10,"Change (%)",TRUE)</f>
        <v>3.5161999999999999E-2</v>
      </c>
      <c r="L10" s="18">
        <f t="shared" ca="1" si="3"/>
        <v>32885.952000000005</v>
      </c>
      <c r="M10" s="18">
        <f t="shared" ca="1" si="4"/>
        <v>27885.952000000005</v>
      </c>
      <c r="N10" s="21">
        <f t="shared" ca="1" si="5"/>
        <v>5.577190400000001</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101">
        <v>#VALUE!</v>
      </c>
      <c r="C1" s="3" cm="1">
        <f t="array" aca="1" ref="C1" ca="1">_FV(B1,"Price")</f>
        <v>0.74470000000000003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1" t="s">
        <v>462</v>
      </c>
    </row>
    <row r="214" spans="1:2" ht="31.9">
      <c r="A214" s="23" t="s">
        <v>463</v>
      </c>
    </row>
    <row r="216" spans="1:2">
      <c r="A216" t="s">
        <v>464</v>
      </c>
    </row>
    <row r="217" spans="1:2">
      <c r="A217" s="22"/>
    </row>
    <row r="218" spans="1:2">
      <c r="A218" s="24" t="s">
        <v>465</v>
      </c>
    </row>
    <row r="220" spans="1:2">
      <c r="A220" t="s">
        <v>466</v>
      </c>
    </row>
    <row r="221" spans="1:2">
      <c r="A221" s="22"/>
    </row>
    <row r="222" spans="1:2">
      <c r="A222" s="24" t="s">
        <v>467</v>
      </c>
    </row>
    <row r="226" spans="1:1" ht="31.9">
      <c r="A226" s="23" t="s">
        <v>468</v>
      </c>
    </row>
    <row r="228" spans="1:1">
      <c r="A228" t="s">
        <v>469</v>
      </c>
    </row>
    <row r="229" spans="1:1">
      <c r="A229" s="29"/>
    </row>
    <row r="230" spans="1:1">
      <c r="A230" s="29" t="s">
        <v>470</v>
      </c>
    </row>
    <row r="231" spans="1:1">
      <c r="A231" s="29" t="s">
        <v>471</v>
      </c>
    </row>
    <row r="232" spans="1:1">
      <c r="A232" s="29" t="s">
        <v>472</v>
      </c>
    </row>
    <row r="234" spans="1:1">
      <c r="A234" t="s">
        <v>473</v>
      </c>
    </row>
    <row r="235" spans="1:1">
      <c r="A235" s="29"/>
    </row>
    <row r="236" spans="1:1">
      <c r="A236" s="29" t="s">
        <v>474</v>
      </c>
    </row>
    <row r="237" spans="1:1">
      <c r="A237" s="29" t="s">
        <v>475</v>
      </c>
    </row>
    <row r="238" spans="1:1">
      <c r="A238" s="29" t="s">
        <v>476</v>
      </c>
    </row>
    <row r="239" spans="1:1">
      <c r="A239" s="29" t="s">
        <v>477</v>
      </c>
    </row>
    <row r="240" spans="1:1">
      <c r="A240" s="29" t="s">
        <v>478</v>
      </c>
    </row>
    <row r="242" spans="1:1">
      <c r="A242" t="s">
        <v>479</v>
      </c>
    </row>
    <row r="243" spans="1:1">
      <c r="A243" s="29"/>
    </row>
    <row r="244" spans="1:1">
      <c r="A244" s="29" t="s">
        <v>480</v>
      </c>
    </row>
    <row r="245" spans="1:1">
      <c r="A245" s="29" t="s">
        <v>481</v>
      </c>
    </row>
    <row r="246" spans="1:1">
      <c r="A246" s="29" t="s">
        <v>482</v>
      </c>
    </row>
    <row r="247" spans="1:1">
      <c r="A247" s="29" t="s">
        <v>483</v>
      </c>
    </row>
    <row r="251" spans="1:1" ht="31.9">
      <c r="A251" s="23" t="s">
        <v>484</v>
      </c>
    </row>
    <row r="253" spans="1:1">
      <c r="A253" t="s">
        <v>485</v>
      </c>
    </row>
    <row r="254" spans="1:1">
      <c r="A254" s="29"/>
    </row>
    <row r="255" spans="1:1">
      <c r="A255" s="29" t="s">
        <v>486</v>
      </c>
    </row>
    <row r="256" spans="1:1">
      <c r="A256" s="29" t="s">
        <v>487</v>
      </c>
    </row>
    <row r="257" spans="1:1">
      <c r="A257" s="29" t="s">
        <v>488</v>
      </c>
    </row>
    <row r="259" spans="1:1">
      <c r="A259" t="s">
        <v>473</v>
      </c>
    </row>
    <row r="260" spans="1:1">
      <c r="A260" s="29"/>
    </row>
    <row r="261" spans="1:1">
      <c r="A261" s="29" t="s">
        <v>489</v>
      </c>
    </row>
    <row r="262" spans="1:1">
      <c r="A262" s="29" t="s">
        <v>490</v>
      </c>
    </row>
    <row r="263" spans="1:1">
      <c r="A263" s="29" t="s">
        <v>491</v>
      </c>
    </row>
    <row r="264" spans="1:1">
      <c r="A264" s="29" t="s">
        <v>492</v>
      </c>
    </row>
    <row r="265" spans="1:1">
      <c r="A265" s="29" t="s">
        <v>493</v>
      </c>
    </row>
    <row r="267" spans="1:1">
      <c r="A267" t="s">
        <v>479</v>
      </c>
    </row>
    <row r="268" spans="1:1">
      <c r="A268" s="29"/>
    </row>
    <row r="269" spans="1:1">
      <c r="A269" s="29" t="s">
        <v>494</v>
      </c>
    </row>
    <row r="270" spans="1:1">
      <c r="A270" s="29" t="s">
        <v>495</v>
      </c>
    </row>
    <row r="271" spans="1:1">
      <c r="A271" s="29" t="s">
        <v>496</v>
      </c>
    </row>
    <row r="272" spans="1:1">
      <c r="A272" s="29" t="s">
        <v>497</v>
      </c>
    </row>
    <row r="276" spans="1:1" ht="31.9">
      <c r="A276" s="23" t="s">
        <v>498</v>
      </c>
    </row>
    <row r="278" spans="1:1">
      <c r="A278" t="s">
        <v>499</v>
      </c>
    </row>
    <row r="279" spans="1:1">
      <c r="A279" s="22"/>
    </row>
    <row r="280" spans="1:1">
      <c r="A280" s="24" t="s">
        <v>500</v>
      </c>
    </row>
    <row r="281" spans="1:1">
      <c r="A281" s="24" t="s">
        <v>501</v>
      </c>
    </row>
    <row r="282" spans="1:1">
      <c r="A282" s="24" t="s">
        <v>502</v>
      </c>
    </row>
    <row r="284" spans="1:1">
      <c r="A284" t="s">
        <v>503</v>
      </c>
    </row>
    <row r="285" spans="1:1">
      <c r="A285" s="22"/>
    </row>
    <row r="286" spans="1:1">
      <c r="A286" s="24" t="s">
        <v>500</v>
      </c>
    </row>
    <row r="287" spans="1:1">
      <c r="A287" s="24" t="s">
        <v>504</v>
      </c>
    </row>
    <row r="288" spans="1:1">
      <c r="A288" s="24" t="s">
        <v>502</v>
      </c>
    </row>
    <row r="292" spans="1:1" ht="31.9">
      <c r="A292" s="23" t="s">
        <v>505</v>
      </c>
    </row>
    <row r="294" spans="1:1">
      <c r="A294" t="s">
        <v>506</v>
      </c>
    </row>
    <row r="295" spans="1:1">
      <c r="A295" s="22"/>
    </row>
    <row r="296" spans="1:1">
      <c r="A296" s="24" t="s">
        <v>507</v>
      </c>
    </row>
    <row r="298" spans="1:1">
      <c r="A298" t="s">
        <v>271</v>
      </c>
    </row>
    <row r="300" spans="1:1" ht="23.25">
      <c r="A300" s="28" t="s">
        <v>468</v>
      </c>
    </row>
    <row r="301" spans="1:1">
      <c r="A301" s="22"/>
    </row>
    <row r="302" spans="1:1">
      <c r="A302" s="24" t="s">
        <v>508</v>
      </c>
    </row>
    <row r="304" spans="1:1">
      <c r="A304" t="s">
        <v>466</v>
      </c>
    </row>
    <row r="305" spans="1:1">
      <c r="A305" s="29"/>
    </row>
    <row r="306" spans="1:1">
      <c r="A306" s="29" t="s">
        <v>509</v>
      </c>
    </row>
    <row r="307" spans="1:1">
      <c r="A307" s="29" t="s">
        <v>510</v>
      </c>
    </row>
    <row r="311" spans="1:1" ht="23.25">
      <c r="A311" s="28" t="s">
        <v>484</v>
      </c>
    </row>
    <row r="312" spans="1:1">
      <c r="A312" s="22"/>
    </row>
    <row r="313" spans="1:1">
      <c r="A313" s="24" t="s">
        <v>511</v>
      </c>
    </row>
    <row r="315" spans="1:1">
      <c r="A315" t="s">
        <v>466</v>
      </c>
    </row>
    <row r="316" spans="1:1">
      <c r="A316" s="29"/>
    </row>
    <row r="317" spans="1:1">
      <c r="A317" s="29" t="s">
        <v>512</v>
      </c>
    </row>
    <row r="318" spans="1:1">
      <c r="A318" s="29" t="s">
        <v>513</v>
      </c>
    </row>
    <row r="320" spans="1:1">
      <c r="A320" t="s">
        <v>514</v>
      </c>
    </row>
    <row r="321" spans="1:1">
      <c r="A321" s="29"/>
    </row>
    <row r="322" spans="1:1">
      <c r="A322" s="29" t="s">
        <v>515</v>
      </c>
    </row>
    <row r="326" spans="1:1" ht="31.9">
      <c r="A326" s="23" t="s">
        <v>516</v>
      </c>
    </row>
    <row r="328" spans="1:1">
      <c r="A328" t="s">
        <v>517</v>
      </c>
    </row>
    <row r="330" spans="1:1">
      <c r="A330" t="s">
        <v>518</v>
      </c>
    </row>
    <row r="331" spans="1:1">
      <c r="A331" s="22"/>
    </row>
    <row r="332" spans="1:1">
      <c r="A332" s="24" t="s">
        <v>519</v>
      </c>
    </row>
    <row r="334" spans="1:1">
      <c r="A334" t="s">
        <v>520</v>
      </c>
    </row>
    <row r="335" spans="1:1">
      <c r="A335" s="22"/>
    </row>
    <row r="336" spans="1:1">
      <c r="A336" s="24" t="s">
        <v>521</v>
      </c>
    </row>
    <row r="340" spans="1:1" ht="31.9">
      <c r="A340" s="23" t="s">
        <v>522</v>
      </c>
    </row>
    <row r="342" spans="1:1">
      <c r="A342" t="s">
        <v>523</v>
      </c>
    </row>
    <row r="343" spans="1:1">
      <c r="A343" s="29"/>
    </row>
    <row r="344" spans="1:1">
      <c r="A344" s="29" t="s">
        <v>119</v>
      </c>
    </row>
    <row r="345" spans="1:1">
      <c r="A345" s="29" t="s">
        <v>524</v>
      </c>
    </row>
    <row r="346" spans="1:1">
      <c r="A346" s="29" t="s">
        <v>525</v>
      </c>
    </row>
    <row r="347" spans="1:1">
      <c r="A347" s="29" t="s">
        <v>526</v>
      </c>
    </row>
    <row r="348" spans="1:1">
      <c r="A348" s="29" t="s">
        <v>527</v>
      </c>
    </row>
    <row r="349" spans="1:1">
      <c r="A349" s="29" t="s">
        <v>528</v>
      </c>
    </row>
    <row r="353" spans="1:1" ht="31.9">
      <c r="A353" s="23" t="s">
        <v>125</v>
      </c>
    </row>
    <row r="355" spans="1:1" ht="23.25">
      <c r="A355" s="28" t="s">
        <v>442</v>
      </c>
    </row>
    <row r="357" spans="1:1">
      <c r="A357" t="s">
        <v>529</v>
      </c>
    </row>
    <row r="358" spans="1:1">
      <c r="A358" s="29"/>
    </row>
    <row r="359" spans="1:1">
      <c r="A359" s="29" t="s">
        <v>530</v>
      </c>
    </row>
    <row r="360" spans="1:1">
      <c r="A360" s="29" t="s">
        <v>481</v>
      </c>
    </row>
    <row r="361" spans="1:1">
      <c r="A361" s="29" t="s">
        <v>531</v>
      </c>
    </row>
    <row r="363" spans="1:1">
      <c r="A363" t="s">
        <v>532</v>
      </c>
    </row>
    <row r="364" spans="1:1">
      <c r="A364" s="22"/>
    </row>
    <row r="365" spans="1:1">
      <c r="A365" s="24" t="s">
        <v>533</v>
      </c>
    </row>
    <row r="367" spans="1:1">
      <c r="A367" t="s">
        <v>534</v>
      </c>
    </row>
    <row r="368" spans="1:1">
      <c r="A368" s="29"/>
    </row>
    <row r="369" spans="1:1">
      <c r="A369" s="29" t="s">
        <v>535</v>
      </c>
    </row>
    <row r="373" spans="1:1" ht="31.9">
      <c r="A373" s="23" t="s">
        <v>536</v>
      </c>
    </row>
    <row r="375" spans="1:1">
      <c r="A375" t="s">
        <v>537</v>
      </c>
    </row>
    <row r="376" spans="1:1">
      <c r="A376" s="22"/>
    </row>
    <row r="377" spans="1:1">
      <c r="A377" s="24" t="s">
        <v>538</v>
      </c>
    </row>
    <row r="379" spans="1:1">
      <c r="A379" t="s">
        <v>159</v>
      </c>
    </row>
    <row r="380" spans="1:1">
      <c r="A380" s="29"/>
    </row>
    <row r="381" spans="1:1">
      <c r="A381" s="29" t="s">
        <v>539</v>
      </c>
    </row>
    <row r="382" spans="1:1">
      <c r="A382" s="29" t="s">
        <v>540</v>
      </c>
    </row>
    <row r="383" spans="1:1">
      <c r="A383" s="29" t="s">
        <v>541</v>
      </c>
    </row>
    <row r="385" spans="1:1">
      <c r="A385" t="s">
        <v>542</v>
      </c>
    </row>
    <row r="386" spans="1:1">
      <c r="A386" s="22"/>
    </row>
    <row r="387" spans="1:1">
      <c r="A387" s="24" t="s">
        <v>543</v>
      </c>
    </row>
    <row r="389" spans="1:1">
      <c r="A389" t="s">
        <v>544</v>
      </c>
    </row>
    <row r="391" spans="1:1">
      <c r="A391" t="s">
        <v>545</v>
      </c>
    </row>
    <row r="395" spans="1:1" ht="31.9">
      <c r="A395" s="23" t="s">
        <v>546</v>
      </c>
    </row>
    <row r="397" spans="1:1">
      <c r="A397" t="s">
        <v>547</v>
      </c>
    </row>
    <row r="398" spans="1:1">
      <c r="A398" s="22"/>
    </row>
    <row r="399" spans="1:1">
      <c r="A399" s="24" t="s">
        <v>548</v>
      </c>
    </row>
    <row r="401" spans="1:1">
      <c r="A401" t="s">
        <v>549</v>
      </c>
    </row>
    <row r="402" spans="1:1">
      <c r="A402" s="29"/>
    </row>
    <row r="403" spans="1:1">
      <c r="A403" s="29" t="s">
        <v>550</v>
      </c>
    </row>
    <row r="404" spans="1:1">
      <c r="A404" s="29" t="s">
        <v>551</v>
      </c>
    </row>
    <row r="405" spans="1:1">
      <c r="A405" s="29" t="s">
        <v>552</v>
      </c>
    </row>
    <row r="407" spans="1:1">
      <c r="A407" t="s">
        <v>553</v>
      </c>
    </row>
    <row r="409" spans="1:1" ht="23.25">
      <c r="A409" s="28" t="s">
        <v>554</v>
      </c>
    </row>
    <row r="411" spans="1:1">
      <c r="A411" t="s">
        <v>555</v>
      </c>
    </row>
    <row r="412" spans="1:1">
      <c r="A412" s="22"/>
    </row>
    <row r="413" spans="1:1">
      <c r="A413" s="24" t="s">
        <v>556</v>
      </c>
    </row>
    <row r="415" spans="1:1">
      <c r="A415" t="s">
        <v>557</v>
      </c>
    </row>
    <row r="416" spans="1:1">
      <c r="A416" s="22"/>
    </row>
    <row r="417" spans="1:1">
      <c r="A417" s="24" t="s">
        <v>558</v>
      </c>
    </row>
    <row r="419" spans="1:1">
      <c r="A419" t="s">
        <v>559</v>
      </c>
    </row>
    <row r="421" spans="1:1">
      <c r="A421" t="s">
        <v>560</v>
      </c>
    </row>
    <row r="425" spans="1:1" ht="31.9">
      <c r="A425" s="23" t="s">
        <v>561</v>
      </c>
    </row>
    <row r="427" spans="1:1">
      <c r="A427" t="s">
        <v>562</v>
      </c>
    </row>
    <row r="429" spans="1:1" ht="31.9">
      <c r="A429" s="23" t="s">
        <v>563</v>
      </c>
    </row>
    <row r="430" spans="1:1">
      <c r="A430" s="22"/>
    </row>
    <row r="431" spans="1:1">
      <c r="A431" s="24" t="s">
        <v>564</v>
      </c>
    </row>
    <row r="433" spans="1:1">
      <c r="A433" t="s">
        <v>565</v>
      </c>
    </row>
    <row r="435" spans="1:1" ht="31.9">
      <c r="A435" s="23" t="s">
        <v>566</v>
      </c>
    </row>
    <row r="436" spans="1:1">
      <c r="A436" s="22"/>
    </row>
    <row r="437" spans="1:1">
      <c r="A437" s="24" t="s">
        <v>567</v>
      </c>
    </row>
    <row r="439" spans="1:1">
      <c r="A439" t="s">
        <v>568</v>
      </c>
    </row>
    <row r="443" spans="1:1" ht="31.9">
      <c r="A443" s="23" t="s">
        <v>125</v>
      </c>
    </row>
    <row r="445" spans="1:1" ht="23.25">
      <c r="A445" s="28" t="s">
        <v>569</v>
      </c>
    </row>
    <row r="447" spans="1:1">
      <c r="A447" t="s">
        <v>570</v>
      </c>
    </row>
    <row r="448" spans="1:1">
      <c r="A448" s="29"/>
    </row>
    <row r="449" spans="1:1">
      <c r="A449" s="29" t="s">
        <v>571</v>
      </c>
    </row>
    <row r="450" spans="1:1">
      <c r="A450" s="29" t="s">
        <v>572</v>
      </c>
    </row>
    <row r="451" spans="1:1">
      <c r="A451" s="29" t="s">
        <v>573</v>
      </c>
    </row>
    <row r="452" spans="1:1">
      <c r="A452" s="29" t="s">
        <v>574</v>
      </c>
    </row>
    <row r="454" spans="1:1">
      <c r="A454" t="s">
        <v>575</v>
      </c>
    </row>
    <row r="455" spans="1:1">
      <c r="A455" s="29"/>
    </row>
    <row r="456" spans="1:1">
      <c r="A456" s="29" t="s">
        <v>576</v>
      </c>
    </row>
    <row r="460" spans="1:1" ht="31.9">
      <c r="A460" s="23" t="s">
        <v>577</v>
      </c>
    </row>
    <row r="461" spans="1:1">
      <c r="A461" s="22"/>
    </row>
    <row r="462" spans="1:1">
      <c r="A462" s="24" t="s">
        <v>578</v>
      </c>
    </row>
    <row r="463" spans="1:1">
      <c r="A463" s="24" t="s">
        <v>579</v>
      </c>
    </row>
    <row r="464" spans="1:1">
      <c r="A464" s="24" t="s">
        <v>580</v>
      </c>
    </row>
    <row r="465" spans="1:1">
      <c r="A465" s="24" t="s">
        <v>579</v>
      </c>
    </row>
    <row r="466" spans="1:1">
      <c r="A466" s="24" t="s">
        <v>581</v>
      </c>
    </row>
    <row r="467" spans="1:1">
      <c r="A467" s="24" t="s">
        <v>579</v>
      </c>
    </row>
    <row r="468" spans="1:1">
      <c r="A468" s="24" t="s">
        <v>582</v>
      </c>
    </row>
    <row r="472" spans="1:1" ht="31.9">
      <c r="A472" s="23" t="s">
        <v>583</v>
      </c>
    </row>
    <row r="473" spans="1:1">
      <c r="A473" s="22"/>
    </row>
    <row r="474" spans="1:1">
      <c r="A474" s="24" t="s">
        <v>578</v>
      </c>
    </row>
    <row r="475" spans="1:1">
      <c r="A475" s="24" t="s">
        <v>579</v>
      </c>
    </row>
    <row r="476" spans="1:1">
      <c r="A476" s="24" t="s">
        <v>584</v>
      </c>
    </row>
    <row r="477" spans="1:1">
      <c r="A477" s="24" t="s">
        <v>579</v>
      </c>
    </row>
    <row r="478" spans="1:1">
      <c r="A478" s="24" t="s">
        <v>585</v>
      </c>
    </row>
    <row r="479" spans="1:1">
      <c r="A479" s="24" t="s">
        <v>579</v>
      </c>
    </row>
    <row r="480" spans="1:1">
      <c r="A480" s="24" t="s">
        <v>586</v>
      </c>
    </row>
    <row r="481" spans="1:1">
      <c r="A481" s="24" t="s">
        <v>579</v>
      </c>
    </row>
    <row r="482" spans="1:1">
      <c r="A482" s="24" t="s">
        <v>587</v>
      </c>
    </row>
    <row r="484" spans="1:1">
      <c r="A484" t="s">
        <v>588</v>
      </c>
    </row>
    <row r="485" spans="1:1">
      <c r="A485" s="29"/>
    </row>
    <row r="486" spans="1:1">
      <c r="A486" s="29" t="s">
        <v>589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323</v>
      </c>
    </row>
    <row r="5" spans="1:3" ht="31.9">
      <c r="A5" s="23" t="s">
        <v>324</v>
      </c>
    </row>
    <row r="7" spans="1:3">
      <c r="A7" t="s">
        <v>325</v>
      </c>
    </row>
    <row r="8" spans="1:3">
      <c r="A8" s="22"/>
    </row>
    <row r="9" spans="1:3">
      <c r="A9" s="24" t="s">
        <v>326</v>
      </c>
    </row>
    <row r="11" spans="1:3">
      <c r="A11" t="s">
        <v>327</v>
      </c>
    </row>
    <row r="13" spans="1:3">
      <c r="A13" s="25" t="s">
        <v>328</v>
      </c>
      <c r="B13" s="25" t="s">
        <v>329</v>
      </c>
      <c r="C13" s="25" t="s">
        <v>330</v>
      </c>
    </row>
    <row r="14" spans="1:3">
      <c r="A14" s="26" t="s">
        <v>331</v>
      </c>
      <c r="B14" s="26" t="s">
        <v>198</v>
      </c>
      <c r="C14" s="26" t="s">
        <v>332</v>
      </c>
    </row>
    <row r="16" spans="1:3">
      <c r="A16" t="s">
        <v>271</v>
      </c>
    </row>
    <row r="18" spans="1:3">
      <c r="A18" s="25" t="s">
        <v>331</v>
      </c>
      <c r="B18" s="25" t="s">
        <v>198</v>
      </c>
      <c r="C18" s="25" t="s">
        <v>332</v>
      </c>
    </row>
    <row r="19" spans="1:3">
      <c r="A19" s="27">
        <v>46143</v>
      </c>
      <c r="B19" s="26" t="s">
        <v>80</v>
      </c>
      <c r="C19" s="26">
        <v>5.22</v>
      </c>
    </row>
    <row r="20" spans="1:3">
      <c r="A20" s="27">
        <v>46144</v>
      </c>
      <c r="B20" s="26" t="s">
        <v>80</v>
      </c>
      <c r="C20" s="26">
        <v>5.31</v>
      </c>
    </row>
    <row r="23" spans="1:3" ht="23.25">
      <c r="A23" s="28" t="s">
        <v>333</v>
      </c>
    </row>
    <row r="25" spans="1:3">
      <c r="A25" t="s">
        <v>334</v>
      </c>
    </row>
    <row r="26" spans="1:3">
      <c r="A26" s="29"/>
    </row>
    <row r="27" spans="1:3">
      <c r="A27" s="29" t="s">
        <v>335</v>
      </c>
    </row>
    <row r="28" spans="1:3">
      <c r="A28" s="29" t="s">
        <v>336</v>
      </c>
    </row>
    <row r="29" spans="1:3">
      <c r="A29" s="29" t="s">
        <v>337</v>
      </c>
    </row>
    <row r="33" spans="1:4" ht="31.9">
      <c r="A33" s="23" t="s">
        <v>338</v>
      </c>
    </row>
    <row r="35" spans="1:4">
      <c r="A35" t="s">
        <v>339</v>
      </c>
    </row>
    <row r="37" spans="1:4" ht="28.5">
      <c r="A37" s="25" t="s">
        <v>198</v>
      </c>
      <c r="B37" s="25" t="s">
        <v>340</v>
      </c>
      <c r="C37" s="25" t="s">
        <v>341</v>
      </c>
      <c r="D37" s="25" t="s">
        <v>342</v>
      </c>
    </row>
    <row r="39" spans="1:4">
      <c r="A39" t="s">
        <v>343</v>
      </c>
    </row>
    <row r="40" spans="1:4">
      <c r="A40" s="29"/>
    </row>
    <row r="41" spans="1:4">
      <c r="A41" s="29" t="s">
        <v>344</v>
      </c>
    </row>
    <row r="42" spans="1:4">
      <c r="A42" s="29" t="s">
        <v>345</v>
      </c>
    </row>
    <row r="46" spans="1:4" ht="31.9">
      <c r="A46" s="23" t="s">
        <v>346</v>
      </c>
    </row>
    <row r="48" spans="1:4">
      <c r="A48" t="s">
        <v>347</v>
      </c>
    </row>
    <row r="50" spans="1:1">
      <c r="A50" t="s">
        <v>348</v>
      </c>
    </row>
    <row r="52" spans="1:1">
      <c r="A52" t="s">
        <v>349</v>
      </c>
    </row>
    <row r="54" spans="1:1">
      <c r="A54" t="s">
        <v>350</v>
      </c>
    </row>
    <row r="56" spans="1:1">
      <c r="A56" t="s">
        <v>351</v>
      </c>
    </row>
    <row r="60" spans="1:1" ht="23.25">
      <c r="A60" s="28" t="s">
        <v>352</v>
      </c>
    </row>
    <row r="62" spans="1:1">
      <c r="A62" t="s">
        <v>353</v>
      </c>
    </row>
    <row r="63" spans="1:1">
      <c r="A63" s="22"/>
    </row>
    <row r="64" spans="1:1">
      <c r="A64" s="24" t="s">
        <v>354</v>
      </c>
    </row>
    <row r="66" spans="1:1">
      <c r="A66" t="s">
        <v>355</v>
      </c>
    </row>
    <row r="67" spans="1:1">
      <c r="A67" s="22"/>
    </row>
    <row r="68" spans="1:1">
      <c r="A68" s="24" t="e">
        <f>AVERAGE(C2:C11)</f>
        <v>#DIV/0!</v>
      </c>
    </row>
    <row r="72" spans="1:1" ht="23.25">
      <c r="A72" s="28" t="s">
        <v>333</v>
      </c>
    </row>
    <row r="74" spans="1:1">
      <c r="A74" t="s">
        <v>356</v>
      </c>
    </row>
    <row r="75" spans="1:1">
      <c r="A75" s="29"/>
    </row>
    <row r="76" spans="1:1">
      <c r="A76" s="29" t="s">
        <v>357</v>
      </c>
    </row>
    <row r="77" spans="1:1">
      <c r="A77" s="29" t="s">
        <v>358</v>
      </c>
    </row>
    <row r="78" spans="1:1">
      <c r="A78" s="29" t="s">
        <v>359</v>
      </c>
    </row>
    <row r="80" spans="1:1">
      <c r="A80" t="s">
        <v>360</v>
      </c>
    </row>
    <row r="84" spans="1:2" ht="31.9">
      <c r="A84" s="23" t="s">
        <v>361</v>
      </c>
    </row>
    <row r="86" spans="1:2">
      <c r="A86" t="s">
        <v>362</v>
      </c>
    </row>
    <row r="88" spans="1:2">
      <c r="A88" t="s">
        <v>327</v>
      </c>
    </row>
    <row r="90" spans="1:2">
      <c r="A90" t="s">
        <v>363</v>
      </c>
    </row>
    <row r="94" spans="1:2" ht="23.25">
      <c r="A94" s="28" t="s">
        <v>172</v>
      </c>
    </row>
    <row r="96" spans="1:2">
      <c r="A96" s="25" t="s">
        <v>364</v>
      </c>
      <c r="B96" s="25" t="s">
        <v>124</v>
      </c>
    </row>
    <row r="97" spans="1:2" ht="57">
      <c r="A97" s="26" t="s">
        <v>365</v>
      </c>
      <c r="B97" s="26" t="s">
        <v>366</v>
      </c>
    </row>
    <row r="98" spans="1:2" ht="28.5">
      <c r="A98" s="26" t="s">
        <v>367</v>
      </c>
      <c r="B98" s="26" t="s">
        <v>368</v>
      </c>
    </row>
    <row r="99" spans="1:2" ht="28.5">
      <c r="A99" s="26" t="s">
        <v>369</v>
      </c>
      <c r="B99" s="26" t="s">
        <v>370</v>
      </c>
    </row>
    <row r="100" spans="1:2" ht="28.5">
      <c r="A100" s="26" t="s">
        <v>371</v>
      </c>
      <c r="B100" s="26" t="s">
        <v>372</v>
      </c>
    </row>
    <row r="103" spans="1:2" ht="31.9">
      <c r="A103" s="23" t="s">
        <v>373</v>
      </c>
    </row>
    <row r="105" spans="1:2">
      <c r="A105" t="s">
        <v>271</v>
      </c>
    </row>
    <row r="106" spans="1:2">
      <c r="A106" s="22"/>
    </row>
    <row r="107" spans="1:2">
      <c r="A107" s="24" t="e" cm="1">
        <f t="array" ref="A107">IF(CurrentPrice&gt;MA50,"Bullish","Bearish")</f>
        <v>#NAME?</v>
      </c>
    </row>
    <row r="109" spans="1:2">
      <c r="A109" t="s">
        <v>374</v>
      </c>
    </row>
    <row r="113" spans="1:1" ht="31.9">
      <c r="A113" s="23" t="s">
        <v>375</v>
      </c>
    </row>
    <row r="115" spans="1:1">
      <c r="A115" t="s">
        <v>376</v>
      </c>
    </row>
    <row r="117" spans="1:1">
      <c r="A117" t="s">
        <v>377</v>
      </c>
    </row>
    <row r="121" spans="1:1" ht="23.25">
      <c r="A121" s="28" t="s">
        <v>98</v>
      </c>
    </row>
    <row r="122" spans="1:1">
      <c r="A122" s="22"/>
    </row>
    <row r="123" spans="1:1">
      <c r="A123" s="24">
        <f>C3-C2</f>
        <v>0</v>
      </c>
    </row>
    <row r="127" spans="1:1" ht="23.25">
      <c r="A127" s="28" t="s">
        <v>378</v>
      </c>
    </row>
    <row r="128" spans="1:1">
      <c r="A128" s="22"/>
    </row>
    <row r="129" spans="1:1">
      <c r="A129" s="24">
        <f>MAX(D3,0)</f>
        <v>0</v>
      </c>
    </row>
    <row r="133" spans="1:1" ht="23.25">
      <c r="A133" s="28" t="s">
        <v>379</v>
      </c>
    </row>
    <row r="134" spans="1:1">
      <c r="A134" s="22"/>
    </row>
    <row r="135" spans="1:1">
      <c r="A135" s="24">
        <f>ABS(MIN(D3,0))</f>
        <v>0</v>
      </c>
    </row>
    <row r="139" spans="1:1" ht="31.9">
      <c r="A139" s="23" t="s">
        <v>380</v>
      </c>
    </row>
    <row r="141" spans="1:1">
      <c r="A141" t="s">
        <v>381</v>
      </c>
    </row>
    <row r="143" spans="1:1">
      <c r="A143" t="s">
        <v>382</v>
      </c>
    </row>
    <row r="147" spans="1:1" ht="23.25">
      <c r="A147" s="28" t="s">
        <v>383</v>
      </c>
    </row>
    <row r="149" spans="1:1" ht="17.649999999999999">
      <c r="A149" s="30" t="s">
        <v>384</v>
      </c>
    </row>
    <row r="150" spans="1:1">
      <c r="A150" s="22"/>
    </row>
    <row r="151" spans="1:1">
      <c r="A151" s="24" t="e">
        <f>AVERAGE(E2:E15)</f>
        <v>#DIV/0!</v>
      </c>
    </row>
    <row r="153" spans="1:1" ht="17.649999999999999">
      <c r="A153" s="30" t="s">
        <v>385</v>
      </c>
    </row>
    <row r="154" spans="1:1">
      <c r="A154" s="22"/>
    </row>
    <row r="155" spans="1:1">
      <c r="A155" s="24" t="e">
        <f>AVERAGE(F2:F15)</f>
        <v>#DIV/0!</v>
      </c>
    </row>
    <row r="157" spans="1:1" ht="17.649999999999999">
      <c r="A157" s="30" t="s">
        <v>386</v>
      </c>
    </row>
    <row r="158" spans="1:1">
      <c r="A158" s="22"/>
    </row>
    <row r="159" spans="1:1">
      <c r="A159" s="24" t="e" cm="1">
        <f t="array" ref="A159">AvgGain/AvgLoss</f>
        <v>#NAME?</v>
      </c>
    </row>
    <row r="161" spans="1:1" ht="17.649999999999999">
      <c r="A161" s="30" t="s">
        <v>119</v>
      </c>
    </row>
    <row r="162" spans="1:1">
      <c r="A162" s="22"/>
    </row>
    <row r="163" spans="1:1">
      <c r="A163" s="24" t="e" cm="1">
        <f t="array" ref="A163">100-(100/(1+RS))</f>
        <v>#NAME?</v>
      </c>
    </row>
    <row r="167" spans="1:1" ht="31.9">
      <c r="A167" s="23" t="s">
        <v>387</v>
      </c>
    </row>
    <row r="168" spans="1:1">
      <c r="A168" s="22"/>
    </row>
    <row r="169" spans="1:1">
      <c r="A169" s="24" t="e" cm="1">
        <f t="array" ref="A169">IF(RSI&lt;30,"Oversold",IF(RSI&gt;70,"Overbought","Neutral"))</f>
        <v>#NAME?</v>
      </c>
    </row>
    <row r="173" spans="1:1" ht="31.9">
      <c r="A173" s="23" t="s">
        <v>388</v>
      </c>
    </row>
    <row r="175" spans="1:1">
      <c r="A175" t="s">
        <v>381</v>
      </c>
    </row>
    <row r="177" spans="1:1">
      <c r="A177" t="s">
        <v>389</v>
      </c>
    </row>
    <row r="179" spans="1:1">
      <c r="A179" t="s">
        <v>390</v>
      </c>
    </row>
    <row r="183" spans="1:1" ht="23.25">
      <c r="A183" s="28" t="s">
        <v>383</v>
      </c>
    </row>
    <row r="185" spans="1:1" ht="17.649999999999999">
      <c r="A185" s="30" t="s">
        <v>391</v>
      </c>
    </row>
    <row r="186" spans="1:1">
      <c r="A186" s="22"/>
    </row>
    <row r="187" spans="1:1">
      <c r="A187" s="24" t="e">
        <f>AVERAGE(last20)</f>
        <v>#NAME?</v>
      </c>
    </row>
    <row r="189" spans="1:1" ht="17.649999999999999">
      <c r="A189" s="30" t="s">
        <v>392</v>
      </c>
    </row>
    <row r="190" spans="1:1">
      <c r="A190" s="22"/>
    </row>
    <row r="191" spans="1:1">
      <c r="A191" s="24" t="e">
        <f>_xlfn.STDEV.P(last20)</f>
        <v>#NAME?</v>
      </c>
    </row>
    <row r="193" spans="1:1" ht="17.649999999999999">
      <c r="A193" s="30" t="s">
        <v>393</v>
      </c>
    </row>
    <row r="194" spans="1:1">
      <c r="A194" s="22"/>
    </row>
    <row r="195" spans="1:1">
      <c r="A195" s="24" t="e" cm="1">
        <f t="array" ref="A195">MA20+(2*StdDev)</f>
        <v>#NAME?</v>
      </c>
    </row>
    <row r="197" spans="1:1" ht="17.649999999999999">
      <c r="A197" s="30" t="s">
        <v>394</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2026-06-04T19:32:15Z</dcterms:modified>
</cp:coreProperties>
</file>