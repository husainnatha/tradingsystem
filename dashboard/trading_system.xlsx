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husainnatha\tradingsystem\dashboard\"/>
    </mc:Choice>
  </mc:AlternateContent>
  <xr:revisionPtr revIDLastSave="0" documentId="13_ncr:1_{AB655EB0-977F-4A2B-8587-2544B1B380F1}" xr6:coauthVersionLast="47" xr6:coauthVersionMax="47" xr10:uidLastSave="{00000000-0000-0000-0000-000000000000}"/>
  <bookViews>
    <workbookView xWindow="-98" yWindow="-98" windowWidth="21795" windowHeight="12975" firstSheet="1" activeTab="5" xr2:uid="{00000000-000D-0000-FFFF-FFFF00000000}"/>
  </bookViews>
  <sheets>
    <sheet name="CONTRIBUTIONS" sheetId="11" r:id="rId1"/>
    <sheet name="CASH_FLOW" sheetId="10" r:id="rId2"/>
    <sheet name="INPUT_TRANSACTIONS" sheetId="1" r:id="rId3"/>
    <sheet name="PORTFOLIO_HISTORY" sheetId="12" r:id="rId4"/>
    <sheet name="watchlist" sheetId="2" r:id="rId5"/>
    <sheet name="holdings" sheetId="6" r:id="rId6"/>
    <sheet name="Config" sheetId="8" r:id="rId7"/>
    <sheet name="market_data" sheetId="3" r:id="rId8"/>
    <sheet name="dd" sheetId="4" r:id="rId9"/>
    <sheet name="Notes" sheetId="5" r:id="rId10"/>
    <sheet name="metrics" sheetId="7" r:id="rId11"/>
    <sheet name="decision_engineering" sheetId="9"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5" i="2" l="1" a="1"/>
  <c r="C55" i="2" s="1"/>
  <c r="D55" i="2" a="1"/>
  <c r="D55" i="2" s="1"/>
  <c r="E55" i="2" a="1"/>
  <c r="E55" i="2" s="1"/>
  <c r="F55" i="2" a="1"/>
  <c r="F55" i="2" s="1"/>
  <c r="G55" i="2" a="1"/>
  <c r="G55" i="2" s="1"/>
  <c r="H55" i="2" a="1"/>
  <c r="H55" i="2" s="1"/>
  <c r="I55" i="2" a="1"/>
  <c r="I55" i="2" s="1"/>
  <c r="J55" i="2" a="1"/>
  <c r="J55" i="2" s="1"/>
  <c r="K55" i="2" a="1"/>
  <c r="K55" i="2" s="1"/>
  <c r="L55" i="2" a="1"/>
  <c r="L55" i="2" s="1"/>
  <c r="M55" i="2" a="1"/>
  <c r="M55" i="2" s="1"/>
  <c r="N55" i="2" a="1"/>
  <c r="N55" i="2" s="1"/>
  <c r="O55" i="2" a="1"/>
  <c r="O55" i="2" s="1"/>
  <c r="P55" i="2" a="1"/>
  <c r="P55" i="2" s="1"/>
  <c r="Q55" i="2" a="1"/>
  <c r="Q55" i="2" s="1"/>
  <c r="R55" i="2" a="1"/>
  <c r="R55" i="2" s="1"/>
  <c r="S55" i="2" a="1"/>
  <c r="S55" i="2" s="1"/>
  <c r="T55" i="2" a="1"/>
  <c r="T55" i="2" s="1"/>
  <c r="U55" i="2" a="1"/>
  <c r="U55" i="2" s="1"/>
  <c r="V55" i="2" a="1"/>
  <c r="V55" i="2" s="1"/>
  <c r="C64" i="2" a="1"/>
  <c r="C64" i="2" s="1"/>
  <c r="D64" i="2" a="1"/>
  <c r="D64" i="2" s="1"/>
  <c r="E64" i="2" a="1"/>
  <c r="E64" i="2" s="1"/>
  <c r="F64" i="2" a="1"/>
  <c r="F64" i="2" s="1"/>
  <c r="G64" i="2" a="1"/>
  <c r="G64" i="2" s="1"/>
  <c r="H64" i="2" a="1"/>
  <c r="H64" i="2" s="1"/>
  <c r="I64" i="2" a="1"/>
  <c r="I64" i="2" s="1"/>
  <c r="J64" i="2" a="1"/>
  <c r="J64" i="2" s="1"/>
  <c r="K64" i="2" a="1"/>
  <c r="K64" i="2" s="1"/>
  <c r="L64" i="2" a="1"/>
  <c r="L64" i="2" s="1"/>
  <c r="M64" i="2" a="1"/>
  <c r="M64" i="2" s="1"/>
  <c r="N64" i="2" a="1"/>
  <c r="N64" i="2" s="1"/>
  <c r="O64" i="2" a="1"/>
  <c r="O64" i="2" s="1"/>
  <c r="P64" i="2" a="1"/>
  <c r="P64" i="2" s="1"/>
  <c r="Q64" i="2" a="1"/>
  <c r="Q64" i="2" s="1"/>
  <c r="R64" i="2" a="1"/>
  <c r="R64" i="2" s="1"/>
  <c r="S64" i="2" a="1"/>
  <c r="S64" i="2" s="1"/>
  <c r="T64" i="2" a="1"/>
  <c r="T64" i="2" s="1"/>
  <c r="U64" i="2" a="1"/>
  <c r="U64" i="2" s="1"/>
  <c r="V64" i="2" a="1"/>
  <c r="V64" i="2" s="1"/>
  <c r="C73" i="2" a="1"/>
  <c r="C73" i="2" s="1"/>
  <c r="D73" i="2" a="1"/>
  <c r="D73" i="2" s="1"/>
  <c r="E73" i="2" a="1"/>
  <c r="E73" i="2" s="1"/>
  <c r="F73" i="2" a="1"/>
  <c r="F73" i="2" s="1"/>
  <c r="G73" i="2" a="1"/>
  <c r="G73" i="2" s="1"/>
  <c r="H73" i="2" a="1"/>
  <c r="H73" i="2" s="1"/>
  <c r="I73" i="2" a="1"/>
  <c r="I73" i="2" s="1"/>
  <c r="J73" i="2" a="1"/>
  <c r="J73" i="2" s="1"/>
  <c r="K73" i="2" a="1"/>
  <c r="K73" i="2" s="1"/>
  <c r="L73" i="2" a="1"/>
  <c r="L73" i="2" s="1"/>
  <c r="M73" i="2" a="1"/>
  <c r="M73" i="2" s="1"/>
  <c r="N73" i="2" a="1"/>
  <c r="N73" i="2" s="1"/>
  <c r="O73" i="2" a="1"/>
  <c r="O73" i="2" s="1"/>
  <c r="P73" i="2" a="1"/>
  <c r="P73" i="2" s="1"/>
  <c r="Q73" i="2" a="1"/>
  <c r="Q73" i="2" s="1"/>
  <c r="R73" i="2" a="1"/>
  <c r="R73" i="2" s="1"/>
  <c r="S73" i="2" a="1"/>
  <c r="S73" i="2" s="1"/>
  <c r="T73" i="2" a="1"/>
  <c r="T73" i="2" s="1"/>
  <c r="U73" i="2" a="1"/>
  <c r="U73" i="2" s="1"/>
  <c r="V73" i="2" a="1"/>
  <c r="V73" i="2" s="1"/>
  <c r="C29" i="2" a="1"/>
  <c r="C29" i="2" s="1"/>
  <c r="D29" i="2" a="1"/>
  <c r="D29" i="2" s="1"/>
  <c r="E29" i="2" a="1"/>
  <c r="E29" i="2" s="1"/>
  <c r="F29" i="2" a="1"/>
  <c r="F29" i="2" s="1"/>
  <c r="G29" i="2" a="1"/>
  <c r="G29" i="2" s="1"/>
  <c r="H29" i="2" a="1"/>
  <c r="H29" i="2" s="1"/>
  <c r="I29" i="2" a="1"/>
  <c r="I29" i="2" s="1"/>
  <c r="J29" i="2" a="1"/>
  <c r="J29" i="2" s="1"/>
  <c r="K29" i="2" a="1"/>
  <c r="K29" i="2" s="1"/>
  <c r="L29" i="2" a="1"/>
  <c r="L29" i="2" s="1"/>
  <c r="M29" i="2" a="1"/>
  <c r="M29" i="2" s="1"/>
  <c r="N29" i="2" a="1"/>
  <c r="N29" i="2" s="1"/>
  <c r="O29" i="2" a="1"/>
  <c r="O29" i="2" s="1"/>
  <c r="P29" i="2" a="1"/>
  <c r="P29" i="2" s="1"/>
  <c r="Q29" i="2" a="1"/>
  <c r="Q29" i="2" s="1"/>
  <c r="R29" i="2" a="1"/>
  <c r="R29" i="2" s="1"/>
  <c r="S29" i="2" a="1"/>
  <c r="S29" i="2" s="1"/>
  <c r="T29" i="2" a="1"/>
  <c r="T29" i="2" s="1"/>
  <c r="U29" i="2" a="1"/>
  <c r="U29" i="2" s="1"/>
  <c r="V29" i="2" a="1"/>
  <c r="V29" i="2" s="1"/>
  <c r="C18" i="2" a="1"/>
  <c r="C18" i="2" s="1"/>
  <c r="D18" i="2" a="1"/>
  <c r="D18" i="2" s="1"/>
  <c r="E18" i="2" a="1"/>
  <c r="E18" i="2" s="1"/>
  <c r="F18" i="2" a="1"/>
  <c r="F18" i="2" s="1"/>
  <c r="G18" i="2" a="1"/>
  <c r="G18" i="2" s="1"/>
  <c r="H18" i="2" a="1"/>
  <c r="H18" i="2" s="1"/>
  <c r="I18" i="2" a="1"/>
  <c r="I18" i="2" s="1"/>
  <c r="J18" i="2" a="1"/>
  <c r="J18" i="2" s="1"/>
  <c r="K18" i="2" a="1"/>
  <c r="K18" i="2" s="1"/>
  <c r="L18" i="2" a="1"/>
  <c r="L18" i="2" s="1"/>
  <c r="M18" i="2" a="1"/>
  <c r="M18" i="2" s="1"/>
  <c r="N18" i="2" a="1"/>
  <c r="N18" i="2" s="1"/>
  <c r="O18" i="2" a="1"/>
  <c r="O18" i="2" s="1"/>
  <c r="P18" i="2" a="1"/>
  <c r="P18" i="2" s="1"/>
  <c r="Q18" i="2" a="1"/>
  <c r="Q18" i="2" s="1"/>
  <c r="R18" i="2" a="1"/>
  <c r="R18" i="2" s="1"/>
  <c r="S18" i="2" a="1"/>
  <c r="S18" i="2" s="1"/>
  <c r="T18" i="2" a="1"/>
  <c r="T18" i="2" s="1"/>
  <c r="U18" i="2" a="1"/>
  <c r="U18" i="2" s="1"/>
  <c r="V18" i="2" a="1"/>
  <c r="V18" i="2" s="1"/>
  <c r="C26" i="2" a="1"/>
  <c r="C26" i="2" s="1"/>
  <c r="D26" i="2" a="1"/>
  <c r="D26" i="2" s="1"/>
  <c r="E26" i="2" a="1"/>
  <c r="E26" i="2" s="1"/>
  <c r="F26" i="2" a="1"/>
  <c r="F26" i="2" s="1"/>
  <c r="G26" i="2" a="1"/>
  <c r="G26" i="2" s="1"/>
  <c r="H26" i="2" a="1"/>
  <c r="H26" i="2" s="1"/>
  <c r="I26" i="2" a="1"/>
  <c r="I26" i="2" s="1"/>
  <c r="J26" i="2" a="1"/>
  <c r="J26" i="2" s="1"/>
  <c r="K26" i="2" a="1"/>
  <c r="K26" i="2" s="1"/>
  <c r="L26" i="2" a="1"/>
  <c r="L26" i="2" s="1"/>
  <c r="M26" i="2" a="1"/>
  <c r="M26" i="2" s="1"/>
  <c r="N26" i="2" a="1"/>
  <c r="N26" i="2" s="1"/>
  <c r="O26" i="2" a="1"/>
  <c r="O26" i="2" s="1"/>
  <c r="P26" i="2" a="1"/>
  <c r="P26" i="2" s="1"/>
  <c r="Q26" i="2" a="1"/>
  <c r="Q26" i="2" s="1"/>
  <c r="R26" i="2" a="1"/>
  <c r="R26" i="2" s="1"/>
  <c r="S26" i="2" a="1"/>
  <c r="S26" i="2" s="1"/>
  <c r="T26" i="2" a="1"/>
  <c r="T26" i="2" s="1"/>
  <c r="U26" i="2" a="1"/>
  <c r="U26" i="2" s="1"/>
  <c r="V26" i="2" a="1"/>
  <c r="V26" i="2" s="1"/>
  <c r="C47" i="2" a="1"/>
  <c r="C47" i="2" s="1"/>
  <c r="D47" i="2" a="1"/>
  <c r="D47" i="2" s="1"/>
  <c r="E47" i="2" a="1"/>
  <c r="E47" i="2" s="1"/>
  <c r="F47" i="2" a="1"/>
  <c r="F47" i="2" s="1"/>
  <c r="G47" i="2" a="1"/>
  <c r="G47" i="2" s="1"/>
  <c r="H47" i="2" a="1"/>
  <c r="H47" i="2" s="1"/>
  <c r="I47" i="2" a="1"/>
  <c r="I47" i="2" s="1"/>
  <c r="J47" i="2" a="1"/>
  <c r="J47" i="2" s="1"/>
  <c r="K47" i="2" a="1"/>
  <c r="K47" i="2" s="1"/>
  <c r="L47" i="2" a="1"/>
  <c r="L47" i="2" s="1"/>
  <c r="M47" i="2" a="1"/>
  <c r="M47" i="2" s="1"/>
  <c r="N47" i="2" a="1"/>
  <c r="N47" i="2" s="1"/>
  <c r="O47" i="2" a="1"/>
  <c r="O47" i="2" s="1"/>
  <c r="P47" i="2" a="1"/>
  <c r="P47" i="2" s="1"/>
  <c r="Q47" i="2" a="1"/>
  <c r="Q47" i="2" s="1"/>
  <c r="R47" i="2" a="1"/>
  <c r="R47" i="2" s="1"/>
  <c r="S47" i="2" a="1"/>
  <c r="S47" i="2" s="1"/>
  <c r="T47" i="2" a="1"/>
  <c r="T47" i="2" s="1"/>
  <c r="U47" i="2" a="1"/>
  <c r="U47" i="2" s="1"/>
  <c r="V47" i="2" a="1"/>
  <c r="V47" i="2" s="1"/>
  <c r="K2" i="6" a="1"/>
  <c r="K2" i="6" s="1"/>
  <c r="K3" i="6" a="1"/>
  <c r="K3" i="6" s="1"/>
  <c r="K4" i="6" a="1"/>
  <c r="K4" i="6" s="1"/>
  <c r="K5" i="6" a="1"/>
  <c r="K5" i="6" s="1"/>
  <c r="K6" i="6" a="1"/>
  <c r="K6" i="6" s="1"/>
  <c r="K7" i="6" a="1"/>
  <c r="K7" i="6" s="1"/>
  <c r="K8" i="6" a="1"/>
  <c r="K8" i="6" s="1"/>
  <c r="K9" i="6" a="1"/>
  <c r="K9" i="6" s="1"/>
  <c r="K10" i="6" a="1"/>
  <c r="K10" i="6" s="1"/>
  <c r="B12" i="10"/>
  <c r="H85" i="2" a="1"/>
  <c r="H85" i="2" s="1"/>
  <c r="H13" i="2" a="1"/>
  <c r="H13" i="2" s="1"/>
  <c r="H42" i="2" a="1"/>
  <c r="H42" i="2" s="1"/>
  <c r="C13" i="10"/>
  <c r="C12" i="10"/>
  <c r="C9" i="10"/>
  <c r="D9" i="10"/>
  <c r="D7" i="10" s="1"/>
  <c r="H4" i="10"/>
  <c r="H7" i="10" s="1"/>
  <c r="C60" i="2" a="1"/>
  <c r="C60" i="2" s="1"/>
  <c r="D60" i="2" a="1"/>
  <c r="D60" i="2" s="1"/>
  <c r="E60" i="2" a="1"/>
  <c r="E60" i="2" s="1"/>
  <c r="F60" i="2" a="1"/>
  <c r="F60" i="2" s="1"/>
  <c r="G60" i="2" a="1"/>
  <c r="G60" i="2" s="1"/>
  <c r="H60" i="2" a="1"/>
  <c r="H60" i="2" s="1"/>
  <c r="I60" i="2" a="1"/>
  <c r="I60" i="2" s="1"/>
  <c r="J60" i="2" a="1"/>
  <c r="J60" i="2" s="1"/>
  <c r="K60" i="2" a="1"/>
  <c r="K60" i="2" s="1"/>
  <c r="L60" i="2" a="1"/>
  <c r="L60" i="2" s="1"/>
  <c r="M60" i="2" a="1"/>
  <c r="M60" i="2" s="1"/>
  <c r="N60" i="2" a="1"/>
  <c r="N60" i="2" s="1"/>
  <c r="O60" i="2" a="1"/>
  <c r="O60" i="2" s="1"/>
  <c r="P60" i="2" a="1"/>
  <c r="P60" i="2" s="1"/>
  <c r="Q60" i="2" a="1"/>
  <c r="Q60" i="2" s="1"/>
  <c r="R60" i="2" a="1"/>
  <c r="R60" i="2" s="1"/>
  <c r="S60" i="2" a="1"/>
  <c r="S60" i="2" s="1"/>
  <c r="T60" i="2" a="1"/>
  <c r="T60" i="2" s="1"/>
  <c r="U60" i="2" a="1"/>
  <c r="U60" i="2" s="1"/>
  <c r="V60" i="2" a="1"/>
  <c r="V60" i="2" s="1"/>
  <c r="C41" i="2" a="1"/>
  <c r="C41" i="2" s="1"/>
  <c r="D41" i="2" a="1"/>
  <c r="D41" i="2" s="1"/>
  <c r="E41" i="2" a="1"/>
  <c r="E41" i="2" s="1"/>
  <c r="F41" i="2" a="1"/>
  <c r="F41" i="2" s="1"/>
  <c r="G41" i="2" a="1"/>
  <c r="G41" i="2" s="1"/>
  <c r="H41" i="2" a="1"/>
  <c r="H41" i="2" s="1"/>
  <c r="I41" i="2" a="1"/>
  <c r="I41" i="2" s="1"/>
  <c r="J41" i="2" a="1"/>
  <c r="J41" i="2" s="1"/>
  <c r="K41" i="2" a="1"/>
  <c r="K41" i="2" s="1"/>
  <c r="L41" i="2" a="1"/>
  <c r="L41" i="2" s="1"/>
  <c r="M41" i="2" a="1"/>
  <c r="M41" i="2" s="1"/>
  <c r="N41" i="2" a="1"/>
  <c r="N41" i="2" s="1"/>
  <c r="O41" i="2" a="1"/>
  <c r="O41" i="2" s="1"/>
  <c r="P41" i="2" a="1"/>
  <c r="P41" i="2" s="1"/>
  <c r="Q41" i="2" a="1"/>
  <c r="Q41" i="2" s="1"/>
  <c r="R41" i="2" a="1"/>
  <c r="R41" i="2" s="1"/>
  <c r="S41" i="2" a="1"/>
  <c r="S41" i="2" s="1"/>
  <c r="T41" i="2" a="1"/>
  <c r="T41" i="2" s="1"/>
  <c r="U41" i="2" a="1"/>
  <c r="U41" i="2" s="1"/>
  <c r="V41" i="2" a="1"/>
  <c r="V41" i="2" s="1"/>
  <c r="C52" i="2" a="1"/>
  <c r="C52" i="2" s="1"/>
  <c r="D52" i="2" a="1"/>
  <c r="D52" i="2" s="1"/>
  <c r="E52" i="2" a="1"/>
  <c r="E52" i="2" s="1"/>
  <c r="F52" i="2" a="1"/>
  <c r="F52" i="2" s="1"/>
  <c r="G52" i="2" a="1"/>
  <c r="G52" i="2" s="1"/>
  <c r="H52" i="2" a="1"/>
  <c r="H52" i="2" s="1"/>
  <c r="I52" i="2" a="1"/>
  <c r="I52" i="2" s="1"/>
  <c r="J52" i="2" a="1"/>
  <c r="J52" i="2" s="1"/>
  <c r="K52" i="2" a="1"/>
  <c r="K52" i="2" s="1"/>
  <c r="L52" i="2" a="1"/>
  <c r="L52" i="2" s="1"/>
  <c r="M52" i="2" a="1"/>
  <c r="M52" i="2" s="1"/>
  <c r="N52" i="2" a="1"/>
  <c r="N52" i="2" s="1"/>
  <c r="O52" i="2" a="1"/>
  <c r="O52" i="2" s="1"/>
  <c r="P52" i="2" a="1"/>
  <c r="P52" i="2" s="1"/>
  <c r="Q52" i="2" a="1"/>
  <c r="Q52" i="2" s="1"/>
  <c r="R52" i="2" a="1"/>
  <c r="R52" i="2" s="1"/>
  <c r="S52" i="2" a="1"/>
  <c r="S52" i="2" s="1"/>
  <c r="T52" i="2" a="1"/>
  <c r="T52" i="2" s="1"/>
  <c r="U52" i="2" a="1"/>
  <c r="U52" i="2" s="1"/>
  <c r="V52" i="2" a="1"/>
  <c r="V52" i="2" s="1"/>
  <c r="C56" i="2" a="1"/>
  <c r="C56" i="2" s="1"/>
  <c r="D56" i="2" a="1"/>
  <c r="D56" i="2" s="1"/>
  <c r="E56" i="2" a="1"/>
  <c r="E56" i="2" s="1"/>
  <c r="F56" i="2" a="1"/>
  <c r="F56" i="2" s="1"/>
  <c r="G56" i="2" a="1"/>
  <c r="G56" i="2" s="1"/>
  <c r="H56" i="2" a="1"/>
  <c r="H56" i="2" s="1"/>
  <c r="I56" i="2" a="1"/>
  <c r="I56" i="2" s="1"/>
  <c r="J56" i="2" a="1"/>
  <c r="J56" i="2" s="1"/>
  <c r="K56" i="2" a="1"/>
  <c r="K56" i="2" s="1"/>
  <c r="L56" i="2" a="1"/>
  <c r="L56" i="2" s="1"/>
  <c r="M56" i="2" a="1"/>
  <c r="M56" i="2" s="1"/>
  <c r="N56" i="2" a="1"/>
  <c r="N56" i="2" s="1"/>
  <c r="O56" i="2" a="1"/>
  <c r="O56" i="2" s="1"/>
  <c r="P56" i="2" a="1"/>
  <c r="P56" i="2" s="1"/>
  <c r="Q56" i="2" a="1"/>
  <c r="Q56" i="2" s="1"/>
  <c r="R56" i="2" a="1"/>
  <c r="R56" i="2" s="1"/>
  <c r="S56" i="2" a="1"/>
  <c r="S56" i="2" s="1"/>
  <c r="T56" i="2" a="1"/>
  <c r="T56" i="2" s="1"/>
  <c r="U56" i="2" a="1"/>
  <c r="U56" i="2" s="1"/>
  <c r="V56" i="2" a="1"/>
  <c r="V56" i="2" s="1"/>
  <c r="C22" i="2" a="1"/>
  <c r="C22" i="2" s="1"/>
  <c r="D22" i="2" a="1"/>
  <c r="D22" i="2" s="1"/>
  <c r="E22" i="2" a="1"/>
  <c r="E22" i="2" s="1"/>
  <c r="F22" i="2" a="1"/>
  <c r="F22" i="2" s="1"/>
  <c r="G22" i="2" a="1"/>
  <c r="G22" i="2" s="1"/>
  <c r="H22" i="2" a="1"/>
  <c r="H22" i="2" s="1"/>
  <c r="I22" i="2" a="1"/>
  <c r="I22" i="2" s="1"/>
  <c r="J22" i="2" a="1"/>
  <c r="J22" i="2" s="1"/>
  <c r="K22" i="2" a="1"/>
  <c r="K22" i="2" s="1"/>
  <c r="L22" i="2" a="1"/>
  <c r="L22" i="2" s="1"/>
  <c r="M22" i="2" a="1"/>
  <c r="M22" i="2" s="1"/>
  <c r="N22" i="2" a="1"/>
  <c r="N22" i="2" s="1"/>
  <c r="O22" i="2" a="1"/>
  <c r="O22" i="2" s="1"/>
  <c r="P22" i="2" a="1"/>
  <c r="P22" i="2" s="1"/>
  <c r="Q22" i="2" a="1"/>
  <c r="Q22" i="2" s="1"/>
  <c r="R22" i="2" a="1"/>
  <c r="R22" i="2" s="1"/>
  <c r="S22" i="2" a="1"/>
  <c r="S22" i="2" s="1"/>
  <c r="T22" i="2" a="1"/>
  <c r="T22" i="2" s="1"/>
  <c r="U22" i="2" a="1"/>
  <c r="U22" i="2" s="1"/>
  <c r="V22" i="2" a="1"/>
  <c r="V22" i="2" s="1"/>
  <c r="C67" i="2" a="1"/>
  <c r="C67" i="2" s="1"/>
  <c r="D67" i="2" a="1"/>
  <c r="D67" i="2" s="1"/>
  <c r="E67" i="2" a="1"/>
  <c r="E67" i="2" s="1"/>
  <c r="F67" i="2" a="1"/>
  <c r="F67" i="2" s="1"/>
  <c r="G67" i="2" a="1"/>
  <c r="G67" i="2" s="1"/>
  <c r="H67" i="2" a="1"/>
  <c r="H67" i="2" s="1"/>
  <c r="I67" i="2" a="1"/>
  <c r="I67" i="2" s="1"/>
  <c r="J67" i="2" a="1"/>
  <c r="J67" i="2" s="1"/>
  <c r="K67" i="2" a="1"/>
  <c r="K67" i="2" s="1"/>
  <c r="L67" i="2" a="1"/>
  <c r="L67" i="2" s="1"/>
  <c r="M67" i="2" a="1"/>
  <c r="M67" i="2" s="1"/>
  <c r="N67" i="2" a="1"/>
  <c r="N67" i="2" s="1"/>
  <c r="O67" i="2" a="1"/>
  <c r="O67" i="2" s="1"/>
  <c r="P67" i="2" a="1"/>
  <c r="P67" i="2" s="1"/>
  <c r="Q67" i="2" a="1"/>
  <c r="Q67" i="2" s="1"/>
  <c r="R67" i="2" a="1"/>
  <c r="R67" i="2" s="1"/>
  <c r="S67" i="2" a="1"/>
  <c r="S67" i="2" s="1"/>
  <c r="T67" i="2" a="1"/>
  <c r="T67" i="2" s="1"/>
  <c r="U67" i="2" a="1"/>
  <c r="U67" i="2" s="1"/>
  <c r="V67" i="2" a="1"/>
  <c r="V67" i="2" s="1"/>
  <c r="C1" i="8" a="1"/>
  <c r="C1" i="8" s="1"/>
  <c r="A68" i="7"/>
  <c r="A107" i="7" a="1"/>
  <c r="A107" i="7" s="1"/>
  <c r="A123" i="7"/>
  <c r="A129" i="7"/>
  <c r="A135" i="7"/>
  <c r="A151" i="7"/>
  <c r="A155" i="7"/>
  <c r="A159" i="7" a="1"/>
  <c r="A159" i="7" s="1"/>
  <c r="A163" i="7" a="1"/>
  <c r="A163" i="7"/>
  <c r="A169" i="7" a="1"/>
  <c r="A169" i="7" s="1"/>
  <c r="A187" i="7"/>
  <c r="A191" i="7"/>
  <c r="A195" i="7" a="1"/>
  <c r="A195" i="7" s="1"/>
  <c r="A199" i="7" a="1"/>
  <c r="A199" i="7"/>
  <c r="H10" i="6"/>
  <c r="I10" i="6"/>
  <c r="H9" i="6"/>
  <c r="I9" i="6"/>
  <c r="H8" i="6"/>
  <c r="I8" i="6"/>
  <c r="H7" i="6"/>
  <c r="I7" i="6"/>
  <c r="H6" i="6"/>
  <c r="I6" i="6"/>
  <c r="H5" i="6"/>
  <c r="I5" i="6"/>
  <c r="H4" i="6"/>
  <c r="I4" i="6"/>
  <c r="H3" i="6"/>
  <c r="I3" i="6"/>
  <c r="H2" i="6"/>
  <c r="I2" i="6"/>
  <c r="C72" i="2" a="1"/>
  <c r="C72" i="2" s="1"/>
  <c r="D72" i="2" a="1"/>
  <c r="D72" i="2" s="1"/>
  <c r="E72" i="2" a="1"/>
  <c r="E72" i="2" s="1"/>
  <c r="F72" i="2" a="1"/>
  <c r="F72" i="2" s="1"/>
  <c r="G72" i="2" a="1"/>
  <c r="G72" i="2" s="1"/>
  <c r="H72" i="2" a="1"/>
  <c r="H72" i="2" s="1"/>
  <c r="I72" i="2" a="1"/>
  <c r="I72" i="2" s="1"/>
  <c r="J72" i="2" a="1"/>
  <c r="J72" i="2" s="1"/>
  <c r="K72" i="2" a="1"/>
  <c r="K72" i="2" s="1"/>
  <c r="L72" i="2" a="1"/>
  <c r="L72" i="2" s="1"/>
  <c r="M72" i="2" a="1"/>
  <c r="M72" i="2" s="1"/>
  <c r="N72" i="2" a="1"/>
  <c r="N72" i="2" s="1"/>
  <c r="O72" i="2" a="1"/>
  <c r="O72" i="2" s="1"/>
  <c r="P72" i="2" a="1"/>
  <c r="P72" i="2" s="1"/>
  <c r="Q72" i="2" a="1"/>
  <c r="Q72" i="2" s="1"/>
  <c r="R72" i="2" a="1"/>
  <c r="R72" i="2" s="1"/>
  <c r="S72" i="2" a="1"/>
  <c r="S72" i="2" s="1"/>
  <c r="T72" i="2" a="1"/>
  <c r="T72" i="2" s="1"/>
  <c r="U72" i="2" a="1"/>
  <c r="U72" i="2" s="1"/>
  <c r="V72" i="2" a="1"/>
  <c r="V72" i="2" s="1"/>
  <c r="C71" i="2" a="1"/>
  <c r="C71" i="2" s="1"/>
  <c r="D71" i="2" a="1"/>
  <c r="D71" i="2" s="1"/>
  <c r="E71" i="2" a="1"/>
  <c r="E71" i="2" s="1"/>
  <c r="F71" i="2" a="1"/>
  <c r="F71" i="2" s="1"/>
  <c r="G71" i="2" a="1"/>
  <c r="G71" i="2" s="1"/>
  <c r="H71" i="2" a="1"/>
  <c r="H71" i="2" s="1"/>
  <c r="I71" i="2" a="1"/>
  <c r="I71" i="2" s="1"/>
  <c r="J71" i="2" a="1"/>
  <c r="J71" i="2" s="1"/>
  <c r="K71" i="2" a="1"/>
  <c r="K71" i="2" s="1"/>
  <c r="L71" i="2" a="1"/>
  <c r="L71" i="2" s="1"/>
  <c r="M71" i="2" a="1"/>
  <c r="M71" i="2" s="1"/>
  <c r="N71" i="2" a="1"/>
  <c r="N71" i="2" s="1"/>
  <c r="O71" i="2" a="1"/>
  <c r="O71" i="2" s="1"/>
  <c r="P71" i="2" a="1"/>
  <c r="P71" i="2" s="1"/>
  <c r="Q71" i="2" a="1"/>
  <c r="Q71" i="2" s="1"/>
  <c r="R71" i="2" a="1"/>
  <c r="R71" i="2" s="1"/>
  <c r="S71" i="2" a="1"/>
  <c r="S71" i="2" s="1"/>
  <c r="T71" i="2" a="1"/>
  <c r="T71" i="2" s="1"/>
  <c r="U71" i="2" a="1"/>
  <c r="U71" i="2" s="1"/>
  <c r="V71" i="2" a="1"/>
  <c r="V71" i="2" s="1"/>
  <c r="C30" i="2" a="1"/>
  <c r="C30" i="2" s="1"/>
  <c r="D30" i="2" a="1"/>
  <c r="D30" i="2" s="1"/>
  <c r="E30" i="2" a="1"/>
  <c r="E30" i="2" s="1"/>
  <c r="F30" i="2" a="1"/>
  <c r="F30" i="2" s="1"/>
  <c r="G30" i="2" a="1"/>
  <c r="G30" i="2" s="1"/>
  <c r="H30" i="2" a="1"/>
  <c r="H30" i="2" s="1"/>
  <c r="I30" i="2" a="1"/>
  <c r="I30" i="2" s="1"/>
  <c r="J30" i="2" a="1"/>
  <c r="J30" i="2" s="1"/>
  <c r="K30" i="2" a="1"/>
  <c r="K30" i="2" s="1"/>
  <c r="L30" i="2" a="1"/>
  <c r="L30" i="2" s="1"/>
  <c r="M30" i="2" a="1"/>
  <c r="M30" i="2" s="1"/>
  <c r="N30" i="2" a="1"/>
  <c r="N30" i="2" s="1"/>
  <c r="O30" i="2" a="1"/>
  <c r="O30" i="2" s="1"/>
  <c r="P30" i="2" a="1"/>
  <c r="P30" i="2" s="1"/>
  <c r="Q30" i="2" a="1"/>
  <c r="Q30" i="2" s="1"/>
  <c r="R30" i="2" a="1"/>
  <c r="R30" i="2" s="1"/>
  <c r="S30" i="2" a="1"/>
  <c r="S30" i="2" s="1"/>
  <c r="T30" i="2" a="1"/>
  <c r="T30" i="2" s="1"/>
  <c r="U30" i="2" a="1"/>
  <c r="U30" i="2" s="1"/>
  <c r="V30" i="2" a="1"/>
  <c r="V30" i="2" s="1"/>
  <c r="C92" i="2" a="1"/>
  <c r="C92" i="2" s="1"/>
  <c r="D92" i="2" a="1"/>
  <c r="D92" i="2" s="1"/>
  <c r="E92" i="2" a="1"/>
  <c r="E92" i="2" s="1"/>
  <c r="F92" i="2" a="1"/>
  <c r="F92" i="2" s="1"/>
  <c r="G92" i="2" a="1"/>
  <c r="G92" i="2" s="1"/>
  <c r="H92" i="2" a="1"/>
  <c r="H92" i="2" s="1"/>
  <c r="I92" i="2" a="1"/>
  <c r="I92" i="2" s="1"/>
  <c r="J92" i="2" a="1"/>
  <c r="J92" i="2" s="1"/>
  <c r="K92" i="2" a="1"/>
  <c r="K92" i="2" s="1"/>
  <c r="L92" i="2" a="1"/>
  <c r="L92" i="2" s="1"/>
  <c r="M92" i="2" a="1"/>
  <c r="M92" i="2" s="1"/>
  <c r="N92" i="2" a="1"/>
  <c r="N92" i="2" s="1"/>
  <c r="O92" i="2" a="1"/>
  <c r="O92" i="2" s="1"/>
  <c r="P92" i="2" a="1"/>
  <c r="P92" i="2" s="1"/>
  <c r="Q92" i="2" a="1"/>
  <c r="Q92" i="2" s="1"/>
  <c r="R92" i="2" a="1"/>
  <c r="R92" i="2" s="1"/>
  <c r="S92" i="2" a="1"/>
  <c r="S92" i="2" s="1"/>
  <c r="T92" i="2" a="1"/>
  <c r="T92" i="2" s="1"/>
  <c r="U92" i="2" a="1"/>
  <c r="U92" i="2" s="1"/>
  <c r="V92" i="2" a="1"/>
  <c r="V92" i="2" s="1"/>
  <c r="C94" i="2" a="1"/>
  <c r="C94" i="2" s="1"/>
  <c r="D94" i="2" a="1"/>
  <c r="D94" i="2" s="1"/>
  <c r="E94" i="2" a="1"/>
  <c r="E94" i="2" s="1"/>
  <c r="F94" i="2" a="1"/>
  <c r="F94" i="2" s="1"/>
  <c r="G94" i="2" a="1"/>
  <c r="G94" i="2" s="1"/>
  <c r="H94" i="2" a="1"/>
  <c r="H94" i="2" s="1"/>
  <c r="I94" i="2" a="1"/>
  <c r="I94" i="2" s="1"/>
  <c r="J94" i="2" a="1"/>
  <c r="J94" i="2" s="1"/>
  <c r="K94" i="2" a="1"/>
  <c r="K94" i="2" s="1"/>
  <c r="L94" i="2" a="1"/>
  <c r="L94" i="2" s="1"/>
  <c r="M94" i="2" a="1"/>
  <c r="M94" i="2" s="1"/>
  <c r="N94" i="2" a="1"/>
  <c r="N94" i="2" s="1"/>
  <c r="O94" i="2" a="1"/>
  <c r="O94" i="2" s="1"/>
  <c r="P94" i="2" a="1"/>
  <c r="P94" i="2" s="1"/>
  <c r="Q94" i="2" a="1"/>
  <c r="Q94" i="2" s="1"/>
  <c r="R94" i="2" a="1"/>
  <c r="R94" i="2" s="1"/>
  <c r="S94" i="2" a="1"/>
  <c r="S94" i="2" s="1"/>
  <c r="T94" i="2" a="1"/>
  <c r="T94" i="2" s="1"/>
  <c r="U94" i="2" a="1"/>
  <c r="U94" i="2" s="1"/>
  <c r="V94" i="2" a="1"/>
  <c r="V94" i="2" s="1"/>
  <c r="C62" i="2" a="1"/>
  <c r="C62" i="2" s="1"/>
  <c r="D62" i="2" a="1"/>
  <c r="D62" i="2" s="1"/>
  <c r="E62" i="2" a="1"/>
  <c r="E62" i="2" s="1"/>
  <c r="F62" i="2" a="1"/>
  <c r="F62" i="2" s="1"/>
  <c r="G62" i="2" a="1"/>
  <c r="G62" i="2" s="1"/>
  <c r="H62" i="2" a="1"/>
  <c r="H62" i="2" s="1"/>
  <c r="I62" i="2" a="1"/>
  <c r="I62" i="2" s="1"/>
  <c r="J62" i="2" a="1"/>
  <c r="J62" i="2" s="1"/>
  <c r="K62" i="2" a="1"/>
  <c r="K62" i="2" s="1"/>
  <c r="L62" i="2" a="1"/>
  <c r="L62" i="2" s="1"/>
  <c r="M62" i="2" a="1"/>
  <c r="M62" i="2" s="1"/>
  <c r="N62" i="2" a="1"/>
  <c r="N62" i="2" s="1"/>
  <c r="O62" i="2" a="1"/>
  <c r="O62" i="2" s="1"/>
  <c r="P62" i="2" a="1"/>
  <c r="P62" i="2" s="1"/>
  <c r="Q62" i="2" a="1"/>
  <c r="Q62" i="2" s="1"/>
  <c r="R62" i="2" a="1"/>
  <c r="R62" i="2" s="1"/>
  <c r="S62" i="2" a="1"/>
  <c r="S62" i="2" s="1"/>
  <c r="T62" i="2" a="1"/>
  <c r="T62" i="2" s="1"/>
  <c r="U62" i="2" a="1"/>
  <c r="U62" i="2" s="1"/>
  <c r="V62" i="2" a="1"/>
  <c r="V62" i="2" s="1"/>
  <c r="C89" i="2" a="1"/>
  <c r="C89" i="2" s="1"/>
  <c r="D89" i="2" a="1"/>
  <c r="D89" i="2" s="1"/>
  <c r="E89" i="2" a="1"/>
  <c r="E89" i="2" s="1"/>
  <c r="F89" i="2" a="1"/>
  <c r="F89" i="2" s="1"/>
  <c r="G89" i="2" a="1"/>
  <c r="G89" i="2" s="1"/>
  <c r="H89" i="2" a="1"/>
  <c r="H89" i="2" s="1"/>
  <c r="I89" i="2" a="1"/>
  <c r="I89" i="2" s="1"/>
  <c r="J89" i="2" a="1"/>
  <c r="J89" i="2" s="1"/>
  <c r="K89" i="2" a="1"/>
  <c r="K89" i="2" s="1"/>
  <c r="L89" i="2" a="1"/>
  <c r="L89" i="2" s="1"/>
  <c r="M89" i="2" a="1"/>
  <c r="M89" i="2" s="1"/>
  <c r="N89" i="2" a="1"/>
  <c r="N89" i="2" s="1"/>
  <c r="O89" i="2" a="1"/>
  <c r="O89" i="2" s="1"/>
  <c r="P89" i="2" a="1"/>
  <c r="P89" i="2" s="1"/>
  <c r="Q89" i="2" a="1"/>
  <c r="Q89" i="2" s="1"/>
  <c r="R89" i="2" a="1"/>
  <c r="R89" i="2" s="1"/>
  <c r="S89" i="2" a="1"/>
  <c r="S89" i="2" s="1"/>
  <c r="T89" i="2" a="1"/>
  <c r="T89" i="2" s="1"/>
  <c r="U89" i="2" a="1"/>
  <c r="U89" i="2" s="1"/>
  <c r="V89" i="2" a="1"/>
  <c r="V89" i="2" s="1"/>
  <c r="C82" i="2" a="1"/>
  <c r="C82" i="2" s="1"/>
  <c r="D82" i="2" a="1"/>
  <c r="D82" i="2" s="1"/>
  <c r="E82" i="2" a="1"/>
  <c r="E82" i="2" s="1"/>
  <c r="F82" i="2" a="1"/>
  <c r="F82" i="2" s="1"/>
  <c r="G82" i="2" a="1"/>
  <c r="G82" i="2" s="1"/>
  <c r="H82" i="2" a="1"/>
  <c r="H82" i="2" s="1"/>
  <c r="I82" i="2" a="1"/>
  <c r="I82" i="2" s="1"/>
  <c r="J82" i="2" a="1"/>
  <c r="J82" i="2" s="1"/>
  <c r="K82" i="2" a="1"/>
  <c r="K82" i="2" s="1"/>
  <c r="L82" i="2" a="1"/>
  <c r="L82" i="2" s="1"/>
  <c r="M82" i="2" a="1"/>
  <c r="M82" i="2" s="1"/>
  <c r="N82" i="2" a="1"/>
  <c r="N82" i="2" s="1"/>
  <c r="O82" i="2" a="1"/>
  <c r="O82" i="2" s="1"/>
  <c r="P82" i="2" a="1"/>
  <c r="P82" i="2" s="1"/>
  <c r="Q82" i="2" a="1"/>
  <c r="Q82" i="2" s="1"/>
  <c r="R82" i="2" a="1"/>
  <c r="R82" i="2" s="1"/>
  <c r="S82" i="2" a="1"/>
  <c r="S82" i="2" s="1"/>
  <c r="T82" i="2" a="1"/>
  <c r="T82" i="2" s="1"/>
  <c r="U82" i="2" a="1"/>
  <c r="U82" i="2" s="1"/>
  <c r="V82" i="2" a="1"/>
  <c r="V82" i="2" s="1"/>
  <c r="C19" i="2" a="1"/>
  <c r="C19" i="2" s="1"/>
  <c r="D19" i="2" a="1"/>
  <c r="D19" i="2" s="1"/>
  <c r="E19" i="2" a="1"/>
  <c r="E19" i="2" s="1"/>
  <c r="F19" i="2" a="1"/>
  <c r="F19" i="2" s="1"/>
  <c r="G19" i="2" a="1"/>
  <c r="G19" i="2" s="1"/>
  <c r="H19" i="2" a="1"/>
  <c r="H19" i="2" s="1"/>
  <c r="I19" i="2" a="1"/>
  <c r="I19" i="2" s="1"/>
  <c r="J19" i="2" a="1"/>
  <c r="J19" i="2" s="1"/>
  <c r="K19" i="2" a="1"/>
  <c r="K19" i="2" s="1"/>
  <c r="L19" i="2" a="1"/>
  <c r="L19" i="2" s="1"/>
  <c r="M19" i="2" a="1"/>
  <c r="M19" i="2" s="1"/>
  <c r="N19" i="2" a="1"/>
  <c r="N19" i="2" s="1"/>
  <c r="O19" i="2" a="1"/>
  <c r="O19" i="2" s="1"/>
  <c r="P19" i="2" a="1"/>
  <c r="P19" i="2" s="1"/>
  <c r="Q19" i="2" a="1"/>
  <c r="Q19" i="2" s="1"/>
  <c r="R19" i="2" a="1"/>
  <c r="R19" i="2" s="1"/>
  <c r="S19" i="2" a="1"/>
  <c r="S19" i="2" s="1"/>
  <c r="T19" i="2" a="1"/>
  <c r="T19" i="2" s="1"/>
  <c r="U19" i="2" a="1"/>
  <c r="U19" i="2" s="1"/>
  <c r="V19" i="2" a="1"/>
  <c r="V19" i="2" s="1"/>
  <c r="C43" i="2" a="1"/>
  <c r="C43" i="2" s="1"/>
  <c r="D43" i="2" a="1"/>
  <c r="D43" i="2" s="1"/>
  <c r="E43" i="2" a="1"/>
  <c r="E43" i="2" s="1"/>
  <c r="F43" i="2" a="1"/>
  <c r="F43" i="2" s="1"/>
  <c r="G43" i="2" a="1"/>
  <c r="G43" i="2" s="1"/>
  <c r="H43" i="2" a="1"/>
  <c r="H43" i="2" s="1"/>
  <c r="I43" i="2" a="1"/>
  <c r="I43" i="2" s="1"/>
  <c r="J43" i="2" a="1"/>
  <c r="J43" i="2" s="1"/>
  <c r="K43" i="2" a="1"/>
  <c r="K43" i="2" s="1"/>
  <c r="L43" i="2" a="1"/>
  <c r="L43" i="2" s="1"/>
  <c r="M43" i="2" a="1"/>
  <c r="M43" i="2" s="1"/>
  <c r="N43" i="2" a="1"/>
  <c r="N43" i="2" s="1"/>
  <c r="O43" i="2" a="1"/>
  <c r="O43" i="2" s="1"/>
  <c r="P43" i="2" a="1"/>
  <c r="P43" i="2" s="1"/>
  <c r="Q43" i="2" a="1"/>
  <c r="Q43" i="2" s="1"/>
  <c r="R43" i="2" a="1"/>
  <c r="R43" i="2" s="1"/>
  <c r="S43" i="2" a="1"/>
  <c r="S43" i="2" s="1"/>
  <c r="T43" i="2" a="1"/>
  <c r="T43" i="2" s="1"/>
  <c r="U43" i="2" a="1"/>
  <c r="U43" i="2" s="1"/>
  <c r="V43" i="2" a="1"/>
  <c r="V43" i="2" s="1"/>
  <c r="C59" i="2" a="1"/>
  <c r="C59" i="2" s="1"/>
  <c r="D59" i="2" a="1"/>
  <c r="D59" i="2" s="1"/>
  <c r="E59" i="2" a="1"/>
  <c r="E59" i="2" s="1"/>
  <c r="F59" i="2" a="1"/>
  <c r="F59" i="2" s="1"/>
  <c r="G59" i="2" a="1"/>
  <c r="G59" i="2" s="1"/>
  <c r="H59" i="2" a="1"/>
  <c r="H59" i="2" s="1"/>
  <c r="I59" i="2" a="1"/>
  <c r="I59" i="2" s="1"/>
  <c r="J59" i="2" a="1"/>
  <c r="J59" i="2" s="1"/>
  <c r="K59" i="2" a="1"/>
  <c r="K59" i="2" s="1"/>
  <c r="L59" i="2" a="1"/>
  <c r="L59" i="2" s="1"/>
  <c r="M59" i="2" a="1"/>
  <c r="M59" i="2" s="1"/>
  <c r="N59" i="2" a="1"/>
  <c r="N59" i="2" s="1"/>
  <c r="O59" i="2" a="1"/>
  <c r="O59" i="2" s="1"/>
  <c r="P59" i="2" a="1"/>
  <c r="P59" i="2" s="1"/>
  <c r="Q59" i="2" a="1"/>
  <c r="Q59" i="2" s="1"/>
  <c r="R59" i="2" a="1"/>
  <c r="R59" i="2" s="1"/>
  <c r="S59" i="2" a="1"/>
  <c r="S59" i="2" s="1"/>
  <c r="T59" i="2" a="1"/>
  <c r="T59" i="2" s="1"/>
  <c r="U59" i="2" a="1"/>
  <c r="U59" i="2" s="1"/>
  <c r="V59" i="2" a="1"/>
  <c r="V59" i="2" s="1"/>
  <c r="O7" i="2" a="1"/>
  <c r="O7" i="2" s="1"/>
  <c r="C42" i="2" a="1"/>
  <c r="C42" i="2" s="1"/>
  <c r="D42" i="2" a="1"/>
  <c r="D42" i="2" s="1"/>
  <c r="E42" i="2" a="1"/>
  <c r="E42" i="2" s="1"/>
  <c r="F42" i="2" a="1"/>
  <c r="F42" i="2" s="1"/>
  <c r="G42" i="2" a="1"/>
  <c r="G42" i="2" s="1"/>
  <c r="I42" i="2" a="1"/>
  <c r="I42" i="2" s="1"/>
  <c r="J42" i="2" a="1"/>
  <c r="J42" i="2" s="1"/>
  <c r="K42" i="2" a="1"/>
  <c r="K42" i="2" s="1"/>
  <c r="L42" i="2" a="1"/>
  <c r="L42" i="2" s="1"/>
  <c r="M42" i="2" a="1"/>
  <c r="M42" i="2" s="1"/>
  <c r="N42" i="2" a="1"/>
  <c r="N42" i="2" s="1"/>
  <c r="O42" i="2" a="1"/>
  <c r="O42" i="2" s="1"/>
  <c r="P42" i="2" a="1"/>
  <c r="P42" i="2" s="1"/>
  <c r="Q42" i="2" a="1"/>
  <c r="Q42" i="2" s="1"/>
  <c r="R42" i="2" a="1"/>
  <c r="R42" i="2" s="1"/>
  <c r="S42" i="2" a="1"/>
  <c r="S42" i="2" s="1"/>
  <c r="T42" i="2" a="1"/>
  <c r="T42" i="2" s="1"/>
  <c r="U42" i="2" a="1"/>
  <c r="U42" i="2" s="1"/>
  <c r="V42" i="2" a="1"/>
  <c r="V42" i="2" s="1"/>
  <c r="C13" i="2" a="1"/>
  <c r="C13" i="2" s="1"/>
  <c r="D13" i="2" a="1"/>
  <c r="D13" i="2" s="1"/>
  <c r="E13" i="2" a="1"/>
  <c r="E13" i="2" s="1"/>
  <c r="F13" i="2" a="1"/>
  <c r="F13" i="2" s="1"/>
  <c r="G13" i="2" a="1"/>
  <c r="G13" i="2" s="1"/>
  <c r="I13" i="2" a="1"/>
  <c r="I13" i="2" s="1"/>
  <c r="J13" i="2" a="1"/>
  <c r="J13" i="2" s="1"/>
  <c r="K13" i="2" a="1"/>
  <c r="K13" i="2" s="1"/>
  <c r="L13" i="2" a="1"/>
  <c r="L13" i="2" s="1"/>
  <c r="M13" i="2" a="1"/>
  <c r="M13" i="2" s="1"/>
  <c r="N13" i="2" a="1"/>
  <c r="N13" i="2" s="1"/>
  <c r="O13" i="2" a="1"/>
  <c r="O13" i="2" s="1"/>
  <c r="P13" i="2" a="1"/>
  <c r="P13" i="2" s="1"/>
  <c r="Q13" i="2" a="1"/>
  <c r="Q13" i="2" s="1"/>
  <c r="R13" i="2" a="1"/>
  <c r="R13" i="2" s="1"/>
  <c r="S13" i="2" a="1"/>
  <c r="S13" i="2" s="1"/>
  <c r="T13" i="2" a="1"/>
  <c r="T13" i="2" s="1"/>
  <c r="U13" i="2" a="1"/>
  <c r="U13" i="2" s="1"/>
  <c r="V13" i="2" a="1"/>
  <c r="V13" i="2" s="1"/>
  <c r="C84" i="2" a="1"/>
  <c r="C84" i="2" s="1"/>
  <c r="D84" i="2" a="1"/>
  <c r="D84" i="2" s="1"/>
  <c r="E84" i="2" a="1"/>
  <c r="E84" i="2" s="1"/>
  <c r="F84" i="2" a="1"/>
  <c r="F84" i="2" s="1"/>
  <c r="G84" i="2" a="1"/>
  <c r="G84" i="2" s="1"/>
  <c r="H84" i="2" a="1"/>
  <c r="H84" i="2" s="1"/>
  <c r="I84" i="2" a="1"/>
  <c r="I84" i="2" s="1"/>
  <c r="J84" i="2" a="1"/>
  <c r="J84" i="2" s="1"/>
  <c r="K84" i="2" a="1"/>
  <c r="K84" i="2" s="1"/>
  <c r="L84" i="2" a="1"/>
  <c r="L84" i="2" s="1"/>
  <c r="M84" i="2" a="1"/>
  <c r="M84" i="2" s="1"/>
  <c r="N84" i="2" a="1"/>
  <c r="N84" i="2" s="1"/>
  <c r="O84" i="2" a="1"/>
  <c r="O84" i="2" s="1"/>
  <c r="P84" i="2" a="1"/>
  <c r="P84" i="2" s="1"/>
  <c r="Q84" i="2" a="1"/>
  <c r="Q84" i="2" s="1"/>
  <c r="R84" i="2" a="1"/>
  <c r="R84" i="2" s="1"/>
  <c r="S84" i="2" a="1"/>
  <c r="S84" i="2" s="1"/>
  <c r="T84" i="2" a="1"/>
  <c r="T84" i="2" s="1"/>
  <c r="U84" i="2" a="1"/>
  <c r="U84" i="2" s="1"/>
  <c r="V84" i="2" a="1"/>
  <c r="V84" i="2" s="1"/>
  <c r="C78" i="2" a="1"/>
  <c r="C78" i="2" s="1"/>
  <c r="D78" i="2" a="1"/>
  <c r="D78" i="2" s="1"/>
  <c r="E78" i="2" a="1"/>
  <c r="E78" i="2" s="1"/>
  <c r="F78" i="2" a="1"/>
  <c r="F78" i="2" s="1"/>
  <c r="G78" i="2" a="1"/>
  <c r="G78" i="2" s="1"/>
  <c r="H78" i="2" a="1"/>
  <c r="H78" i="2" s="1"/>
  <c r="I78" i="2" a="1"/>
  <c r="I78" i="2" s="1"/>
  <c r="J78" i="2" a="1"/>
  <c r="J78" i="2" s="1"/>
  <c r="K78" i="2" a="1"/>
  <c r="K78" i="2" s="1"/>
  <c r="L78" i="2" a="1"/>
  <c r="L78" i="2" s="1"/>
  <c r="M78" i="2" a="1"/>
  <c r="M78" i="2" s="1"/>
  <c r="N78" i="2" a="1"/>
  <c r="N78" i="2" s="1"/>
  <c r="O78" i="2" a="1"/>
  <c r="O78" i="2" s="1"/>
  <c r="P78" i="2" a="1"/>
  <c r="P78" i="2" s="1"/>
  <c r="Q78" i="2" a="1"/>
  <c r="Q78" i="2" s="1"/>
  <c r="R78" i="2" a="1"/>
  <c r="R78" i="2" s="1"/>
  <c r="S78" i="2" a="1"/>
  <c r="S78" i="2" s="1"/>
  <c r="T78" i="2" a="1"/>
  <c r="T78" i="2" s="1"/>
  <c r="U78" i="2" a="1"/>
  <c r="U78" i="2" s="1"/>
  <c r="V78" i="2" a="1"/>
  <c r="V78" i="2" s="1"/>
  <c r="C69" i="2" a="1"/>
  <c r="C69" i="2" s="1"/>
  <c r="D69" i="2" a="1"/>
  <c r="D69" i="2" s="1"/>
  <c r="E69" i="2" a="1"/>
  <c r="E69" i="2" s="1"/>
  <c r="F69" i="2" a="1"/>
  <c r="F69" i="2" s="1"/>
  <c r="G69" i="2" a="1"/>
  <c r="G69" i="2" s="1"/>
  <c r="H69" i="2" a="1"/>
  <c r="H69" i="2" s="1"/>
  <c r="I69" i="2" a="1"/>
  <c r="I69" i="2" s="1"/>
  <c r="J69" i="2" a="1"/>
  <c r="J69" i="2" s="1"/>
  <c r="K69" i="2" a="1"/>
  <c r="K69" i="2" s="1"/>
  <c r="L69" i="2" a="1"/>
  <c r="L69" i="2" s="1"/>
  <c r="M69" i="2" a="1"/>
  <c r="M69" i="2" s="1"/>
  <c r="N69" i="2" a="1"/>
  <c r="N69" i="2" s="1"/>
  <c r="O69" i="2" a="1"/>
  <c r="O69" i="2" s="1"/>
  <c r="P69" i="2" a="1"/>
  <c r="P69" i="2" s="1"/>
  <c r="Q69" i="2" a="1"/>
  <c r="Q69" i="2" s="1"/>
  <c r="R69" i="2" a="1"/>
  <c r="R69" i="2" s="1"/>
  <c r="S69" i="2" a="1"/>
  <c r="S69" i="2" s="1"/>
  <c r="T69" i="2" a="1"/>
  <c r="T69" i="2" s="1"/>
  <c r="U69" i="2" a="1"/>
  <c r="U69" i="2" s="1"/>
  <c r="V69" i="2" a="1"/>
  <c r="V69" i="2" s="1"/>
  <c r="C85" i="2" a="1"/>
  <c r="C85" i="2" s="1"/>
  <c r="D85" i="2" a="1"/>
  <c r="D85" i="2" s="1"/>
  <c r="E85" i="2" a="1"/>
  <c r="E85" i="2" s="1"/>
  <c r="F85" i="2" a="1"/>
  <c r="F85" i="2" s="1"/>
  <c r="G85" i="2" a="1"/>
  <c r="G85" i="2" s="1"/>
  <c r="I85" i="2" a="1"/>
  <c r="I85" i="2" s="1"/>
  <c r="J85" i="2" a="1"/>
  <c r="J85" i="2" s="1"/>
  <c r="K85" i="2" a="1"/>
  <c r="K85" i="2" s="1"/>
  <c r="L85" i="2" a="1"/>
  <c r="L85" i="2" s="1"/>
  <c r="M85" i="2" a="1"/>
  <c r="M85" i="2" s="1"/>
  <c r="N85" i="2" a="1"/>
  <c r="N85" i="2" s="1"/>
  <c r="O85" i="2" a="1"/>
  <c r="O85" i="2" s="1"/>
  <c r="P85" i="2" a="1"/>
  <c r="P85" i="2" s="1"/>
  <c r="Q85" i="2" a="1"/>
  <c r="Q85" i="2" s="1"/>
  <c r="R85" i="2" a="1"/>
  <c r="R85" i="2" s="1"/>
  <c r="S85" i="2" a="1"/>
  <c r="S85" i="2" s="1"/>
  <c r="T85" i="2" a="1"/>
  <c r="T85" i="2" s="1"/>
  <c r="U85" i="2" a="1"/>
  <c r="U85" i="2" s="1"/>
  <c r="V85" i="2" a="1"/>
  <c r="V85" i="2" s="1"/>
  <c r="C79" i="2" a="1"/>
  <c r="C79" i="2" s="1"/>
  <c r="D79" i="2" a="1"/>
  <c r="D79" i="2" s="1"/>
  <c r="E79" i="2" a="1"/>
  <c r="E79" i="2" s="1"/>
  <c r="F79" i="2" a="1"/>
  <c r="F79" i="2" s="1"/>
  <c r="G79" i="2" a="1"/>
  <c r="G79" i="2" s="1"/>
  <c r="H79" i="2" a="1"/>
  <c r="H79" i="2" s="1"/>
  <c r="I79" i="2" a="1"/>
  <c r="I79" i="2" s="1"/>
  <c r="J79" i="2" a="1"/>
  <c r="J79" i="2" s="1"/>
  <c r="K79" i="2" a="1"/>
  <c r="K79" i="2" s="1"/>
  <c r="L79" i="2" a="1"/>
  <c r="L79" i="2" s="1"/>
  <c r="M79" i="2" a="1"/>
  <c r="M79" i="2" s="1"/>
  <c r="N79" i="2" a="1"/>
  <c r="N79" i="2" s="1"/>
  <c r="O79" i="2" a="1"/>
  <c r="O79" i="2" s="1"/>
  <c r="P79" i="2" a="1"/>
  <c r="P79" i="2" s="1"/>
  <c r="Q79" i="2" a="1"/>
  <c r="Q79" i="2" s="1"/>
  <c r="R79" i="2" a="1"/>
  <c r="R79" i="2" s="1"/>
  <c r="S79" i="2" a="1"/>
  <c r="S79" i="2" s="1"/>
  <c r="T79" i="2" a="1"/>
  <c r="T79" i="2" s="1"/>
  <c r="U79" i="2" a="1"/>
  <c r="U79" i="2" s="1"/>
  <c r="V79" i="2" a="1"/>
  <c r="V79" i="2" s="1"/>
  <c r="C20" i="2" a="1"/>
  <c r="C20" i="2" s="1"/>
  <c r="D20" i="2" a="1"/>
  <c r="D20" i="2" s="1"/>
  <c r="E20" i="2" a="1"/>
  <c r="E20" i="2" s="1"/>
  <c r="F20" i="2" a="1"/>
  <c r="F20" i="2" s="1"/>
  <c r="G20" i="2" a="1"/>
  <c r="G20" i="2" s="1"/>
  <c r="H20" i="2" a="1"/>
  <c r="H20" i="2" s="1"/>
  <c r="I20" i="2" a="1"/>
  <c r="I20" i="2" s="1"/>
  <c r="J20" i="2" a="1"/>
  <c r="J20" i="2" s="1"/>
  <c r="K20" i="2" a="1"/>
  <c r="K20" i="2" s="1"/>
  <c r="L20" i="2" a="1"/>
  <c r="L20" i="2" s="1"/>
  <c r="M20" i="2" a="1"/>
  <c r="M20" i="2" s="1"/>
  <c r="N20" i="2" a="1"/>
  <c r="N20" i="2" s="1"/>
  <c r="O20" i="2" a="1"/>
  <c r="O20" i="2" s="1"/>
  <c r="P20" i="2" a="1"/>
  <c r="P20" i="2" s="1"/>
  <c r="Q20" i="2" a="1"/>
  <c r="Q20" i="2" s="1"/>
  <c r="R20" i="2" a="1"/>
  <c r="R20" i="2" s="1"/>
  <c r="S20" i="2" a="1"/>
  <c r="S20" i="2" s="1"/>
  <c r="T20" i="2" a="1"/>
  <c r="T20" i="2" s="1"/>
  <c r="U20" i="2" a="1"/>
  <c r="U20" i="2" s="1"/>
  <c r="V20" i="2" a="1"/>
  <c r="V20" i="2" s="1"/>
  <c r="C32" i="2" a="1"/>
  <c r="C32" i="2" s="1"/>
  <c r="D32" i="2" a="1"/>
  <c r="D32" i="2" s="1"/>
  <c r="E32" i="2" a="1"/>
  <c r="E32" i="2" s="1"/>
  <c r="F32" i="2" a="1"/>
  <c r="F32" i="2" s="1"/>
  <c r="G32" i="2" a="1"/>
  <c r="G32" i="2" s="1"/>
  <c r="H32" i="2" a="1"/>
  <c r="H32" i="2" s="1"/>
  <c r="I32" i="2" a="1"/>
  <c r="I32" i="2" s="1"/>
  <c r="J32" i="2" a="1"/>
  <c r="J32" i="2" s="1"/>
  <c r="K32" i="2" a="1"/>
  <c r="K32" i="2" s="1"/>
  <c r="L32" i="2" a="1"/>
  <c r="L32" i="2" s="1"/>
  <c r="M32" i="2" a="1"/>
  <c r="M32" i="2" s="1"/>
  <c r="N32" i="2" a="1"/>
  <c r="N32" i="2" s="1"/>
  <c r="O32" i="2" a="1"/>
  <c r="O32" i="2" s="1"/>
  <c r="P32" i="2" a="1"/>
  <c r="P32" i="2" s="1"/>
  <c r="Q32" i="2" a="1"/>
  <c r="Q32" i="2" s="1"/>
  <c r="R32" i="2" a="1"/>
  <c r="R32" i="2" s="1"/>
  <c r="S32" i="2" a="1"/>
  <c r="S32" i="2" s="1"/>
  <c r="T32" i="2" a="1"/>
  <c r="T32" i="2" s="1"/>
  <c r="U32" i="2" a="1"/>
  <c r="U32" i="2" s="1"/>
  <c r="V32" i="2" a="1"/>
  <c r="V32" i="2" s="1"/>
  <c r="C93" i="2" a="1"/>
  <c r="C93" i="2" s="1"/>
  <c r="D93" i="2" a="1"/>
  <c r="D93" i="2" s="1"/>
  <c r="E93" i="2" a="1"/>
  <c r="E93" i="2" s="1"/>
  <c r="F93" i="2" a="1"/>
  <c r="F93" i="2" s="1"/>
  <c r="G93" i="2" a="1"/>
  <c r="G93" i="2" s="1"/>
  <c r="H93" i="2" a="1"/>
  <c r="H93" i="2" s="1"/>
  <c r="I93" i="2" a="1"/>
  <c r="I93" i="2" s="1"/>
  <c r="J93" i="2" a="1"/>
  <c r="J93" i="2" s="1"/>
  <c r="K93" i="2" a="1"/>
  <c r="K93" i="2" s="1"/>
  <c r="L93" i="2" a="1"/>
  <c r="L93" i="2" s="1"/>
  <c r="M93" i="2" a="1"/>
  <c r="M93" i="2" s="1"/>
  <c r="N93" i="2" a="1"/>
  <c r="N93" i="2" s="1"/>
  <c r="O93" i="2" a="1"/>
  <c r="O93" i="2" s="1"/>
  <c r="P93" i="2" a="1"/>
  <c r="P93" i="2" s="1"/>
  <c r="Q93" i="2" a="1"/>
  <c r="Q93" i="2" s="1"/>
  <c r="R93" i="2" a="1"/>
  <c r="R93" i="2" s="1"/>
  <c r="S93" i="2" a="1"/>
  <c r="S93" i="2" s="1"/>
  <c r="T93" i="2" a="1"/>
  <c r="T93" i="2" s="1"/>
  <c r="U93" i="2" a="1"/>
  <c r="U93" i="2" s="1"/>
  <c r="V93" i="2" a="1"/>
  <c r="V93" i="2" s="1"/>
  <c r="C70" i="2" a="1"/>
  <c r="C70" i="2" s="1"/>
  <c r="D70" i="2" a="1"/>
  <c r="D70" i="2" s="1"/>
  <c r="E70" i="2" a="1"/>
  <c r="E70" i="2" s="1"/>
  <c r="F70" i="2" a="1"/>
  <c r="F70" i="2" s="1"/>
  <c r="G70" i="2" a="1"/>
  <c r="G70" i="2" s="1"/>
  <c r="H70" i="2" a="1"/>
  <c r="H70" i="2" s="1"/>
  <c r="I70" i="2" a="1"/>
  <c r="I70" i="2" s="1"/>
  <c r="J70" i="2" a="1"/>
  <c r="J70" i="2" s="1"/>
  <c r="K70" i="2" a="1"/>
  <c r="K70" i="2" s="1"/>
  <c r="L70" i="2" a="1"/>
  <c r="L70" i="2" s="1"/>
  <c r="M70" i="2" a="1"/>
  <c r="M70" i="2" s="1"/>
  <c r="N70" i="2" a="1"/>
  <c r="N70" i="2" s="1"/>
  <c r="O70" i="2" a="1"/>
  <c r="O70" i="2" s="1"/>
  <c r="P70" i="2" a="1"/>
  <c r="P70" i="2" s="1"/>
  <c r="Q70" i="2" a="1"/>
  <c r="Q70" i="2" s="1"/>
  <c r="R70" i="2" a="1"/>
  <c r="R70" i="2" s="1"/>
  <c r="S70" i="2" a="1"/>
  <c r="S70" i="2" s="1"/>
  <c r="T70" i="2" a="1"/>
  <c r="T70" i="2" s="1"/>
  <c r="U70" i="2" a="1"/>
  <c r="U70" i="2" s="1"/>
  <c r="V70" i="2" a="1"/>
  <c r="V70" i="2" s="1"/>
  <c r="C87" i="2" a="1"/>
  <c r="C87" i="2" s="1"/>
  <c r="D87" i="2" a="1"/>
  <c r="D87" i="2" s="1"/>
  <c r="E87" i="2" a="1"/>
  <c r="E87" i="2" s="1"/>
  <c r="F87" i="2" a="1"/>
  <c r="F87" i="2" s="1"/>
  <c r="G87" i="2" a="1"/>
  <c r="G87" i="2" s="1"/>
  <c r="H87" i="2" a="1"/>
  <c r="H87" i="2" s="1"/>
  <c r="I87" i="2" a="1"/>
  <c r="I87" i="2" s="1"/>
  <c r="J87" i="2" a="1"/>
  <c r="J87" i="2" s="1"/>
  <c r="K87" i="2" a="1"/>
  <c r="K87" i="2" s="1"/>
  <c r="L87" i="2" a="1"/>
  <c r="L87" i="2" s="1"/>
  <c r="M87" i="2" a="1"/>
  <c r="M87" i="2" s="1"/>
  <c r="N87" i="2" a="1"/>
  <c r="N87" i="2" s="1"/>
  <c r="O87" i="2" a="1"/>
  <c r="O87" i="2" s="1"/>
  <c r="P87" i="2" a="1"/>
  <c r="P87" i="2" s="1"/>
  <c r="Q87" i="2" a="1"/>
  <c r="Q87" i="2" s="1"/>
  <c r="R87" i="2" a="1"/>
  <c r="R87" i="2" s="1"/>
  <c r="S87" i="2" a="1"/>
  <c r="S87" i="2" s="1"/>
  <c r="T87" i="2" a="1"/>
  <c r="T87" i="2" s="1"/>
  <c r="U87" i="2" a="1"/>
  <c r="U87" i="2" s="1"/>
  <c r="V87" i="2" a="1"/>
  <c r="V87" i="2" s="1"/>
  <c r="C34" i="2" a="1"/>
  <c r="C34" i="2" s="1"/>
  <c r="D34" i="2" a="1"/>
  <c r="D34" i="2" s="1"/>
  <c r="E34" i="2" a="1"/>
  <c r="E34" i="2" s="1"/>
  <c r="F34" i="2" a="1"/>
  <c r="F34" i="2" s="1"/>
  <c r="G34" i="2" a="1"/>
  <c r="G34" i="2" s="1"/>
  <c r="H34" i="2" a="1"/>
  <c r="H34" i="2" s="1"/>
  <c r="I34" i="2" a="1"/>
  <c r="I34" i="2" s="1"/>
  <c r="J34" i="2" a="1"/>
  <c r="J34" i="2" s="1"/>
  <c r="K34" i="2" a="1"/>
  <c r="K34" i="2" s="1"/>
  <c r="L34" i="2" a="1"/>
  <c r="L34" i="2" s="1"/>
  <c r="M34" i="2" a="1"/>
  <c r="M34" i="2" s="1"/>
  <c r="N34" i="2" a="1"/>
  <c r="N34" i="2" s="1"/>
  <c r="O34" i="2" a="1"/>
  <c r="O34" i="2" s="1"/>
  <c r="P34" i="2" a="1"/>
  <c r="P34" i="2" s="1"/>
  <c r="Q34" i="2" a="1"/>
  <c r="Q34" i="2" s="1"/>
  <c r="R34" i="2" a="1"/>
  <c r="R34" i="2" s="1"/>
  <c r="S34" i="2" a="1"/>
  <c r="S34" i="2" s="1"/>
  <c r="T34" i="2" a="1"/>
  <c r="T34" i="2" s="1"/>
  <c r="U34" i="2" a="1"/>
  <c r="U34" i="2" s="1"/>
  <c r="V34" i="2" a="1"/>
  <c r="V34" i="2" s="1"/>
  <c r="C95" i="2" a="1"/>
  <c r="C95" i="2" s="1"/>
  <c r="D95" i="2" a="1"/>
  <c r="D95" i="2" s="1"/>
  <c r="E95" i="2" a="1"/>
  <c r="E95" i="2" s="1"/>
  <c r="F95" i="2" a="1"/>
  <c r="F95" i="2" s="1"/>
  <c r="G95" i="2" a="1"/>
  <c r="G95" i="2" s="1"/>
  <c r="H95" i="2" a="1"/>
  <c r="H95" i="2" s="1"/>
  <c r="I95" i="2" a="1"/>
  <c r="I95" i="2" s="1"/>
  <c r="J95" i="2" a="1"/>
  <c r="J95" i="2" s="1"/>
  <c r="K95" i="2" a="1"/>
  <c r="K95" i="2" s="1"/>
  <c r="L95" i="2" a="1"/>
  <c r="L95" i="2" s="1"/>
  <c r="M95" i="2" a="1"/>
  <c r="M95" i="2" s="1"/>
  <c r="N95" i="2" a="1"/>
  <c r="N95" i="2" s="1"/>
  <c r="O95" i="2" a="1"/>
  <c r="O95" i="2" s="1"/>
  <c r="P95" i="2" a="1"/>
  <c r="P95" i="2" s="1"/>
  <c r="Q95" i="2" a="1"/>
  <c r="Q95" i="2" s="1"/>
  <c r="R95" i="2" a="1"/>
  <c r="R95" i="2" s="1"/>
  <c r="S95" i="2" a="1"/>
  <c r="S95" i="2" s="1"/>
  <c r="T95" i="2" a="1"/>
  <c r="T95" i="2" s="1"/>
  <c r="U95" i="2" a="1"/>
  <c r="U95" i="2" s="1"/>
  <c r="V95" i="2" a="1"/>
  <c r="V95" i="2" s="1"/>
  <c r="C23" i="2" a="1"/>
  <c r="C23" i="2" s="1"/>
  <c r="D23" i="2" a="1"/>
  <c r="D23" i="2" s="1"/>
  <c r="E23" i="2" a="1"/>
  <c r="E23" i="2" s="1"/>
  <c r="F23" i="2" a="1"/>
  <c r="F23" i="2" s="1"/>
  <c r="G23" i="2" a="1"/>
  <c r="G23" i="2" s="1"/>
  <c r="H23" i="2" a="1"/>
  <c r="H23" i="2" s="1"/>
  <c r="I23" i="2" a="1"/>
  <c r="I23" i="2" s="1"/>
  <c r="J23" i="2" a="1"/>
  <c r="J23" i="2" s="1"/>
  <c r="K23" i="2" a="1"/>
  <c r="K23" i="2" s="1"/>
  <c r="L23" i="2" a="1"/>
  <c r="L23" i="2" s="1"/>
  <c r="M23" i="2" a="1"/>
  <c r="M23" i="2" s="1"/>
  <c r="N23" i="2" a="1"/>
  <c r="N23" i="2" s="1"/>
  <c r="O23" i="2" a="1"/>
  <c r="O23" i="2" s="1"/>
  <c r="P23" i="2" a="1"/>
  <c r="P23" i="2" s="1"/>
  <c r="Q23" i="2" a="1"/>
  <c r="Q23" i="2" s="1"/>
  <c r="R23" i="2" a="1"/>
  <c r="R23" i="2" s="1"/>
  <c r="S23" i="2" a="1"/>
  <c r="S23" i="2" s="1"/>
  <c r="T23" i="2" a="1"/>
  <c r="T23" i="2" s="1"/>
  <c r="U23" i="2" a="1"/>
  <c r="U23" i="2" s="1"/>
  <c r="V23" i="2" a="1"/>
  <c r="V23" i="2" s="1"/>
  <c r="C28" i="2" a="1"/>
  <c r="C28" i="2" s="1"/>
  <c r="D28" i="2" a="1"/>
  <c r="D28" i="2" s="1"/>
  <c r="E28" i="2" a="1"/>
  <c r="E28" i="2" s="1"/>
  <c r="F28" i="2" a="1"/>
  <c r="F28" i="2" s="1"/>
  <c r="G28" i="2" a="1"/>
  <c r="G28" i="2" s="1"/>
  <c r="H28" i="2" a="1"/>
  <c r="H28" i="2" s="1"/>
  <c r="I28" i="2" a="1"/>
  <c r="I28" i="2" s="1"/>
  <c r="J28" i="2" a="1"/>
  <c r="J28" i="2" s="1"/>
  <c r="K28" i="2" a="1"/>
  <c r="K28" i="2" s="1"/>
  <c r="L28" i="2" a="1"/>
  <c r="L28" i="2" s="1"/>
  <c r="M28" i="2" a="1"/>
  <c r="M28" i="2" s="1"/>
  <c r="N28" i="2" a="1"/>
  <c r="N28" i="2" s="1"/>
  <c r="O28" i="2" a="1"/>
  <c r="O28" i="2" s="1"/>
  <c r="P28" i="2" a="1"/>
  <c r="P28" i="2" s="1"/>
  <c r="Q28" i="2" a="1"/>
  <c r="Q28" i="2" s="1"/>
  <c r="R28" i="2" a="1"/>
  <c r="R28" i="2" s="1"/>
  <c r="S28" i="2" a="1"/>
  <c r="S28" i="2" s="1"/>
  <c r="T28" i="2" a="1"/>
  <c r="T28" i="2" s="1"/>
  <c r="U28" i="2" a="1"/>
  <c r="U28" i="2" s="1"/>
  <c r="V28" i="2" a="1"/>
  <c r="V28" i="2" s="1"/>
  <c r="C25" i="2" a="1"/>
  <c r="C25" i="2" s="1"/>
  <c r="D25" i="2" a="1"/>
  <c r="D25" i="2" s="1"/>
  <c r="E25" i="2" a="1"/>
  <c r="E25" i="2" s="1"/>
  <c r="F25" i="2" a="1"/>
  <c r="F25" i="2" s="1"/>
  <c r="G25" i="2" a="1"/>
  <c r="G25" i="2" s="1"/>
  <c r="H25" i="2" a="1"/>
  <c r="H25" i="2" s="1"/>
  <c r="I25" i="2" a="1"/>
  <c r="I25" i="2" s="1"/>
  <c r="J25" i="2" a="1"/>
  <c r="J25" i="2" s="1"/>
  <c r="K25" i="2" a="1"/>
  <c r="K25" i="2" s="1"/>
  <c r="L25" i="2" a="1"/>
  <c r="L25" i="2" s="1"/>
  <c r="M25" i="2" a="1"/>
  <c r="M25" i="2" s="1"/>
  <c r="N25" i="2" a="1"/>
  <c r="N25" i="2" s="1"/>
  <c r="O25" i="2" a="1"/>
  <c r="O25" i="2" s="1"/>
  <c r="P25" i="2" a="1"/>
  <c r="P25" i="2" s="1"/>
  <c r="Q25" i="2" a="1"/>
  <c r="Q25" i="2" s="1"/>
  <c r="R25" i="2" a="1"/>
  <c r="R25" i="2" s="1"/>
  <c r="S25" i="2" a="1"/>
  <c r="S25" i="2" s="1"/>
  <c r="T25" i="2" a="1"/>
  <c r="T25" i="2" s="1"/>
  <c r="U25" i="2" a="1"/>
  <c r="U25" i="2" s="1"/>
  <c r="V25" i="2" a="1"/>
  <c r="V25" i="2" s="1"/>
  <c r="C54" i="2" a="1"/>
  <c r="C54" i="2" s="1"/>
  <c r="D54" i="2" a="1"/>
  <c r="D54" i="2" s="1"/>
  <c r="E54" i="2" a="1"/>
  <c r="E54" i="2" s="1"/>
  <c r="F54" i="2" a="1"/>
  <c r="F54" i="2" s="1"/>
  <c r="G54" i="2" a="1"/>
  <c r="G54" i="2" s="1"/>
  <c r="H54" i="2" a="1"/>
  <c r="H54" i="2" s="1"/>
  <c r="I54" i="2" a="1"/>
  <c r="I54" i="2" s="1"/>
  <c r="J54" i="2" a="1"/>
  <c r="J54" i="2" s="1"/>
  <c r="K54" i="2" a="1"/>
  <c r="K54" i="2" s="1"/>
  <c r="L54" i="2" a="1"/>
  <c r="L54" i="2" s="1"/>
  <c r="M54" i="2" a="1"/>
  <c r="M54" i="2" s="1"/>
  <c r="N54" i="2" a="1"/>
  <c r="N54" i="2" s="1"/>
  <c r="O54" i="2" a="1"/>
  <c r="O54" i="2" s="1"/>
  <c r="P54" i="2" a="1"/>
  <c r="P54" i="2" s="1"/>
  <c r="Q54" i="2" a="1"/>
  <c r="Q54" i="2" s="1"/>
  <c r="R54" i="2" a="1"/>
  <c r="R54" i="2" s="1"/>
  <c r="S54" i="2" a="1"/>
  <c r="S54" i="2" s="1"/>
  <c r="T54" i="2" a="1"/>
  <c r="T54" i="2" s="1"/>
  <c r="U54" i="2" a="1"/>
  <c r="U54" i="2" s="1"/>
  <c r="V54" i="2" a="1"/>
  <c r="V54" i="2" s="1"/>
  <c r="C48" i="2" a="1"/>
  <c r="C48" i="2" s="1"/>
  <c r="D48" i="2" a="1"/>
  <c r="D48" i="2" s="1"/>
  <c r="E48" i="2" a="1"/>
  <c r="E48" i="2" s="1"/>
  <c r="F48" i="2" a="1"/>
  <c r="F48" i="2" s="1"/>
  <c r="G48" i="2" a="1"/>
  <c r="G48" i="2" s="1"/>
  <c r="H48" i="2" a="1"/>
  <c r="H48" i="2" s="1"/>
  <c r="I48" i="2" a="1"/>
  <c r="I48" i="2" s="1"/>
  <c r="J48" i="2" a="1"/>
  <c r="J48" i="2" s="1"/>
  <c r="K48" i="2" a="1"/>
  <c r="K48" i="2" s="1"/>
  <c r="L48" i="2" a="1"/>
  <c r="L48" i="2" s="1"/>
  <c r="M48" i="2" a="1"/>
  <c r="M48" i="2" s="1"/>
  <c r="N48" i="2" a="1"/>
  <c r="N48" i="2" s="1"/>
  <c r="O48" i="2" a="1"/>
  <c r="O48" i="2" s="1"/>
  <c r="P48" i="2" a="1"/>
  <c r="P48" i="2" s="1"/>
  <c r="Q48" i="2" a="1"/>
  <c r="Q48" i="2" s="1"/>
  <c r="R48" i="2" a="1"/>
  <c r="R48" i="2" s="1"/>
  <c r="S48" i="2" a="1"/>
  <c r="S48" i="2" s="1"/>
  <c r="T48" i="2" a="1"/>
  <c r="T48" i="2" s="1"/>
  <c r="U48" i="2" a="1"/>
  <c r="U48" i="2" s="1"/>
  <c r="V48" i="2" a="1"/>
  <c r="V48" i="2" s="1"/>
  <c r="C81" i="2" a="1"/>
  <c r="C81" i="2" s="1"/>
  <c r="D81" i="2" a="1"/>
  <c r="D81" i="2" s="1"/>
  <c r="E81" i="2" a="1"/>
  <c r="E81" i="2" s="1"/>
  <c r="F81" i="2" a="1"/>
  <c r="F81" i="2" s="1"/>
  <c r="G81" i="2" a="1"/>
  <c r="G81" i="2" s="1"/>
  <c r="H81" i="2" a="1"/>
  <c r="H81" i="2" s="1"/>
  <c r="I81" i="2" a="1"/>
  <c r="I81" i="2" s="1"/>
  <c r="J81" i="2" a="1"/>
  <c r="J81" i="2" s="1"/>
  <c r="K81" i="2" a="1"/>
  <c r="K81" i="2" s="1"/>
  <c r="L81" i="2" a="1"/>
  <c r="L81" i="2" s="1"/>
  <c r="M81" i="2" a="1"/>
  <c r="M81" i="2" s="1"/>
  <c r="N81" i="2" a="1"/>
  <c r="N81" i="2" s="1"/>
  <c r="O81" i="2" a="1"/>
  <c r="O81" i="2" s="1"/>
  <c r="P81" i="2" a="1"/>
  <c r="P81" i="2" s="1"/>
  <c r="Q81" i="2" a="1"/>
  <c r="Q81" i="2" s="1"/>
  <c r="R81" i="2" a="1"/>
  <c r="R81" i="2" s="1"/>
  <c r="S81" i="2" a="1"/>
  <c r="S81" i="2" s="1"/>
  <c r="T81" i="2" a="1"/>
  <c r="T81" i="2" s="1"/>
  <c r="U81" i="2" a="1"/>
  <c r="U81" i="2" s="1"/>
  <c r="V81" i="2" a="1"/>
  <c r="V81" i="2" s="1"/>
  <c r="V66" i="2" a="1"/>
  <c r="V66" i="2" s="1"/>
  <c r="U66" i="2" a="1"/>
  <c r="U66" i="2" s="1"/>
  <c r="T66" i="2" a="1"/>
  <c r="T66" i="2" s="1"/>
  <c r="S66" i="2" a="1"/>
  <c r="S66" i="2" s="1"/>
  <c r="R66" i="2" a="1"/>
  <c r="R66" i="2" s="1"/>
  <c r="Q66" i="2" a="1"/>
  <c r="Q66" i="2" s="1"/>
  <c r="P66" i="2" a="1"/>
  <c r="P66" i="2" s="1"/>
  <c r="O66" i="2" a="1"/>
  <c r="O66" i="2" s="1"/>
  <c r="N66" i="2" a="1"/>
  <c r="N66" i="2" s="1"/>
  <c r="M66" i="2" a="1"/>
  <c r="M66" i="2" s="1"/>
  <c r="L66" i="2" a="1"/>
  <c r="L66" i="2" s="1"/>
  <c r="K66" i="2" a="1"/>
  <c r="K66" i="2" s="1"/>
  <c r="J66" i="2" a="1"/>
  <c r="J66" i="2" s="1"/>
  <c r="I66" i="2" a="1"/>
  <c r="I66" i="2" s="1"/>
  <c r="H66" i="2" a="1"/>
  <c r="H66" i="2" s="1"/>
  <c r="G66" i="2" a="1"/>
  <c r="G66" i="2" s="1"/>
  <c r="F66" i="2" a="1"/>
  <c r="F66" i="2" s="1"/>
  <c r="E66" i="2" a="1"/>
  <c r="E66" i="2" s="1"/>
  <c r="D66" i="2" a="1"/>
  <c r="D66" i="2" s="1"/>
  <c r="C66" i="2" a="1"/>
  <c r="C66" i="2" s="1"/>
  <c r="V40" i="2" a="1"/>
  <c r="V40" i="2" s="1"/>
  <c r="U40" i="2" a="1"/>
  <c r="U40" i="2" s="1"/>
  <c r="T40" i="2" a="1"/>
  <c r="T40" i="2" s="1"/>
  <c r="S40" i="2" a="1"/>
  <c r="S40" i="2" s="1"/>
  <c r="R40" i="2" a="1"/>
  <c r="R40" i="2" s="1"/>
  <c r="Q40" i="2" a="1"/>
  <c r="Q40" i="2" s="1"/>
  <c r="P40" i="2" a="1"/>
  <c r="P40" i="2" s="1"/>
  <c r="O40" i="2" a="1"/>
  <c r="O40" i="2" s="1"/>
  <c r="N40" i="2" a="1"/>
  <c r="N40" i="2" s="1"/>
  <c r="M40" i="2" a="1"/>
  <c r="M40" i="2" s="1"/>
  <c r="L40" i="2" a="1"/>
  <c r="L40" i="2" s="1"/>
  <c r="K40" i="2" a="1"/>
  <c r="K40" i="2" s="1"/>
  <c r="J40" i="2" a="1"/>
  <c r="J40" i="2" s="1"/>
  <c r="I40" i="2" a="1"/>
  <c r="I40" i="2" s="1"/>
  <c r="H40" i="2" a="1"/>
  <c r="H40" i="2" s="1"/>
  <c r="G40" i="2" a="1"/>
  <c r="G40" i="2" s="1"/>
  <c r="F40" i="2" a="1"/>
  <c r="F40" i="2" s="1"/>
  <c r="E40" i="2" a="1"/>
  <c r="E40" i="2" s="1"/>
  <c r="D40" i="2" a="1"/>
  <c r="D40" i="2" s="1"/>
  <c r="C40" i="2" a="1"/>
  <c r="C40" i="2" s="1"/>
  <c r="V14" i="2" a="1"/>
  <c r="V14" i="2" s="1"/>
  <c r="U14" i="2" a="1"/>
  <c r="U14" i="2" s="1"/>
  <c r="T14" i="2" a="1"/>
  <c r="T14" i="2" s="1"/>
  <c r="S14" i="2" a="1"/>
  <c r="S14" i="2" s="1"/>
  <c r="R14" i="2" a="1"/>
  <c r="R14" i="2" s="1"/>
  <c r="Q14" i="2" a="1"/>
  <c r="Q14" i="2" s="1"/>
  <c r="P14" i="2" a="1"/>
  <c r="P14" i="2" s="1"/>
  <c r="O14" i="2" a="1"/>
  <c r="O14" i="2" s="1"/>
  <c r="N14" i="2" a="1"/>
  <c r="N14" i="2" s="1"/>
  <c r="M14" i="2" a="1"/>
  <c r="M14" i="2" s="1"/>
  <c r="L14" i="2" a="1"/>
  <c r="L14" i="2" s="1"/>
  <c r="K14" i="2" a="1"/>
  <c r="K14" i="2" s="1"/>
  <c r="J14" i="2" a="1"/>
  <c r="J14" i="2" s="1"/>
  <c r="I14" i="2" a="1"/>
  <c r="I14" i="2" s="1"/>
  <c r="H14" i="2" a="1"/>
  <c r="H14" i="2" s="1"/>
  <c r="G14" i="2" a="1"/>
  <c r="G14" i="2" s="1"/>
  <c r="F14" i="2" a="1"/>
  <c r="F14" i="2" s="1"/>
  <c r="E14" i="2" a="1"/>
  <c r="E14" i="2" s="1"/>
  <c r="D14" i="2" a="1"/>
  <c r="D14" i="2" s="1"/>
  <c r="C14" i="2" a="1"/>
  <c r="C14" i="2" s="1"/>
  <c r="V46" i="2" a="1"/>
  <c r="V46" i="2" s="1"/>
  <c r="U46" i="2" a="1"/>
  <c r="U46" i="2" s="1"/>
  <c r="T46" i="2" a="1"/>
  <c r="T46" i="2" s="1"/>
  <c r="S46" i="2" a="1"/>
  <c r="S46" i="2" s="1"/>
  <c r="R46" i="2" a="1"/>
  <c r="R46" i="2" s="1"/>
  <c r="Q46" i="2" a="1"/>
  <c r="Q46" i="2" s="1"/>
  <c r="P46" i="2" a="1"/>
  <c r="P46" i="2" s="1"/>
  <c r="O46" i="2" a="1"/>
  <c r="O46" i="2" s="1"/>
  <c r="N46" i="2" a="1"/>
  <c r="N46" i="2" s="1"/>
  <c r="M46" i="2" a="1"/>
  <c r="M46" i="2" s="1"/>
  <c r="L46" i="2" a="1"/>
  <c r="L46" i="2" s="1"/>
  <c r="K46" i="2" a="1"/>
  <c r="K46" i="2" s="1"/>
  <c r="J46" i="2" a="1"/>
  <c r="J46" i="2" s="1"/>
  <c r="I46" i="2" a="1"/>
  <c r="I46" i="2" s="1"/>
  <c r="H46" i="2" a="1"/>
  <c r="H46" i="2" s="1"/>
  <c r="G46" i="2" a="1"/>
  <c r="G46" i="2" s="1"/>
  <c r="F46" i="2" a="1"/>
  <c r="F46" i="2" s="1"/>
  <c r="E46" i="2" a="1"/>
  <c r="E46" i="2" s="1"/>
  <c r="D46" i="2" a="1"/>
  <c r="D46" i="2" s="1"/>
  <c r="C46" i="2" a="1"/>
  <c r="C46" i="2" s="1"/>
  <c r="V5" i="2" a="1"/>
  <c r="V5" i="2" s="1"/>
  <c r="U5" i="2" a="1"/>
  <c r="U5" i="2" s="1"/>
  <c r="T5" i="2" a="1"/>
  <c r="T5" i="2" s="1"/>
  <c r="S5" i="2" a="1"/>
  <c r="S5" i="2" s="1"/>
  <c r="R5" i="2" a="1"/>
  <c r="R5" i="2" s="1"/>
  <c r="Q5" i="2" a="1"/>
  <c r="Q5" i="2" s="1"/>
  <c r="P5" i="2" a="1"/>
  <c r="P5" i="2" s="1"/>
  <c r="O5" i="2" a="1"/>
  <c r="O5" i="2" s="1"/>
  <c r="N5" i="2" a="1"/>
  <c r="N5" i="2" s="1"/>
  <c r="M5" i="2" a="1"/>
  <c r="M5" i="2" s="1"/>
  <c r="L5" i="2" a="1"/>
  <c r="L5" i="2" s="1"/>
  <c r="K5" i="2" a="1"/>
  <c r="K5" i="2" s="1"/>
  <c r="J5" i="2" a="1"/>
  <c r="J5" i="2" s="1"/>
  <c r="I5" i="2" a="1"/>
  <c r="I5" i="2" s="1"/>
  <c r="H5" i="2" a="1"/>
  <c r="H5" i="2" s="1"/>
  <c r="G5" i="2" a="1"/>
  <c r="G5" i="2" s="1"/>
  <c r="F5" i="2" a="1"/>
  <c r="F5" i="2" s="1"/>
  <c r="E5" i="2" a="1"/>
  <c r="E5" i="2" s="1"/>
  <c r="D5" i="2" a="1"/>
  <c r="D5" i="2" s="1"/>
  <c r="C5" i="2" a="1"/>
  <c r="C5" i="2" s="1"/>
  <c r="V2" i="2" a="1"/>
  <c r="V2" i="2" s="1"/>
  <c r="U2" i="2" a="1"/>
  <c r="U2" i="2" s="1"/>
  <c r="T2" i="2" a="1"/>
  <c r="T2" i="2" s="1"/>
  <c r="S2" i="2" a="1"/>
  <c r="S2" i="2" s="1"/>
  <c r="R2" i="2" a="1"/>
  <c r="R2" i="2" s="1"/>
  <c r="Q2" i="2" a="1"/>
  <c r="Q2" i="2" s="1"/>
  <c r="P2" i="2" a="1"/>
  <c r="P2" i="2" s="1"/>
  <c r="O2" i="2" a="1"/>
  <c r="O2" i="2" s="1"/>
  <c r="N2" i="2" a="1"/>
  <c r="N2" i="2" s="1"/>
  <c r="M2" i="2" a="1"/>
  <c r="M2" i="2" s="1"/>
  <c r="L2" i="2" a="1"/>
  <c r="L2" i="2" s="1"/>
  <c r="K2" i="2" a="1"/>
  <c r="K2" i="2" s="1"/>
  <c r="J2" i="2" a="1"/>
  <c r="J2" i="2" s="1"/>
  <c r="I2" i="2" a="1"/>
  <c r="I2" i="2" s="1"/>
  <c r="H2" i="2" a="1"/>
  <c r="H2" i="2" s="1"/>
  <c r="G2" i="2" a="1"/>
  <c r="G2" i="2" s="1"/>
  <c r="F2" i="2" a="1"/>
  <c r="F2" i="2" s="1"/>
  <c r="E2" i="2" a="1"/>
  <c r="E2" i="2" s="1"/>
  <c r="D2" i="2" a="1"/>
  <c r="D2" i="2" s="1"/>
  <c r="C2" i="2" a="1"/>
  <c r="C2" i="2" s="1"/>
  <c r="V77" i="2" a="1"/>
  <c r="V77" i="2" s="1"/>
  <c r="U77" i="2" a="1"/>
  <c r="U77" i="2" s="1"/>
  <c r="T77" i="2" a="1"/>
  <c r="T77" i="2" s="1"/>
  <c r="S77" i="2" a="1"/>
  <c r="S77" i="2" s="1"/>
  <c r="R77" i="2" a="1"/>
  <c r="R77" i="2" s="1"/>
  <c r="Q77" i="2" a="1"/>
  <c r="Q77" i="2" s="1"/>
  <c r="P77" i="2" a="1"/>
  <c r="P77" i="2" s="1"/>
  <c r="O77" i="2" a="1"/>
  <c r="O77" i="2" s="1"/>
  <c r="N77" i="2" a="1"/>
  <c r="N77" i="2" s="1"/>
  <c r="M77" i="2" a="1"/>
  <c r="M77" i="2" s="1"/>
  <c r="L77" i="2" a="1"/>
  <c r="L77" i="2" s="1"/>
  <c r="K77" i="2" a="1"/>
  <c r="K77" i="2" s="1"/>
  <c r="J77" i="2" a="1"/>
  <c r="J77" i="2" s="1"/>
  <c r="I77" i="2" a="1"/>
  <c r="I77" i="2" s="1"/>
  <c r="H77" i="2" a="1"/>
  <c r="H77" i="2" s="1"/>
  <c r="G77" i="2" a="1"/>
  <c r="G77" i="2" s="1"/>
  <c r="F77" i="2" a="1"/>
  <c r="F77" i="2" s="1"/>
  <c r="E77" i="2" a="1"/>
  <c r="E77" i="2" s="1"/>
  <c r="D77" i="2" a="1"/>
  <c r="D77" i="2" s="1"/>
  <c r="C77" i="2" a="1"/>
  <c r="C77" i="2" s="1"/>
  <c r="V39" i="2" a="1"/>
  <c r="V39" i="2" s="1"/>
  <c r="U39" i="2" a="1"/>
  <c r="U39" i="2" s="1"/>
  <c r="T39" i="2" a="1"/>
  <c r="T39" i="2" s="1"/>
  <c r="S39" i="2" a="1"/>
  <c r="S39" i="2" s="1"/>
  <c r="R39" i="2" a="1"/>
  <c r="R39" i="2" s="1"/>
  <c r="Q39" i="2" a="1"/>
  <c r="Q39" i="2" s="1"/>
  <c r="P39" i="2" a="1"/>
  <c r="P39" i="2" s="1"/>
  <c r="O39" i="2" a="1"/>
  <c r="O39" i="2" s="1"/>
  <c r="N39" i="2" a="1"/>
  <c r="N39" i="2" s="1"/>
  <c r="M39" i="2" a="1"/>
  <c r="M39" i="2" s="1"/>
  <c r="L39" i="2" a="1"/>
  <c r="L39" i="2" s="1"/>
  <c r="K39" i="2" a="1"/>
  <c r="K39" i="2" s="1"/>
  <c r="J39" i="2" a="1"/>
  <c r="J39" i="2" s="1"/>
  <c r="I39" i="2" a="1"/>
  <c r="I39" i="2" s="1"/>
  <c r="H39" i="2" a="1"/>
  <c r="H39" i="2" s="1"/>
  <c r="G39" i="2" a="1"/>
  <c r="G39" i="2" s="1"/>
  <c r="F39" i="2" a="1"/>
  <c r="F39" i="2" s="1"/>
  <c r="E39" i="2" a="1"/>
  <c r="E39" i="2" s="1"/>
  <c r="D39" i="2" a="1"/>
  <c r="D39" i="2" s="1"/>
  <c r="C39" i="2" a="1"/>
  <c r="C39" i="2" s="1"/>
  <c r="V24" i="2" a="1"/>
  <c r="V24" i="2" s="1"/>
  <c r="U24" i="2" a="1"/>
  <c r="U24" i="2" s="1"/>
  <c r="T24" i="2" a="1"/>
  <c r="T24" i="2" s="1"/>
  <c r="S24" i="2" a="1"/>
  <c r="S24" i="2" s="1"/>
  <c r="R24" i="2" a="1"/>
  <c r="R24" i="2" s="1"/>
  <c r="Q24" i="2" a="1"/>
  <c r="Q24" i="2" s="1"/>
  <c r="P24" i="2" a="1"/>
  <c r="P24" i="2" s="1"/>
  <c r="O24" i="2" a="1"/>
  <c r="O24" i="2" s="1"/>
  <c r="N24" i="2" a="1"/>
  <c r="N24" i="2" s="1"/>
  <c r="M24" i="2" a="1"/>
  <c r="M24" i="2" s="1"/>
  <c r="L24" i="2" a="1"/>
  <c r="L24" i="2" s="1"/>
  <c r="K24" i="2" a="1"/>
  <c r="K24" i="2" s="1"/>
  <c r="J24" i="2" a="1"/>
  <c r="J24" i="2" s="1"/>
  <c r="I24" i="2" a="1"/>
  <c r="I24" i="2" s="1"/>
  <c r="H24" i="2" a="1"/>
  <c r="H24" i="2" s="1"/>
  <c r="G24" i="2" a="1"/>
  <c r="G24" i="2" s="1"/>
  <c r="F24" i="2" a="1"/>
  <c r="F24" i="2" s="1"/>
  <c r="E24" i="2" a="1"/>
  <c r="E24" i="2" s="1"/>
  <c r="D24" i="2" a="1"/>
  <c r="D24" i="2" s="1"/>
  <c r="C24" i="2" a="1"/>
  <c r="C24" i="2" s="1"/>
  <c r="V21" i="2" a="1"/>
  <c r="V21" i="2" s="1"/>
  <c r="U21" i="2" a="1"/>
  <c r="U21" i="2" s="1"/>
  <c r="T21" i="2" a="1"/>
  <c r="T21" i="2" s="1"/>
  <c r="S21" i="2" a="1"/>
  <c r="S21" i="2" s="1"/>
  <c r="R21" i="2" a="1"/>
  <c r="R21" i="2" s="1"/>
  <c r="Q21" i="2" a="1"/>
  <c r="Q21" i="2" s="1"/>
  <c r="P21" i="2" a="1"/>
  <c r="P21" i="2" s="1"/>
  <c r="O21" i="2" a="1"/>
  <c r="O21" i="2" s="1"/>
  <c r="N21" i="2" a="1"/>
  <c r="N21" i="2" s="1"/>
  <c r="M21" i="2" a="1"/>
  <c r="M21" i="2" s="1"/>
  <c r="L21" i="2" a="1"/>
  <c r="L21" i="2" s="1"/>
  <c r="K21" i="2" a="1"/>
  <c r="K21" i="2" s="1"/>
  <c r="J21" i="2" a="1"/>
  <c r="J21" i="2" s="1"/>
  <c r="I21" i="2" a="1"/>
  <c r="I21" i="2" s="1"/>
  <c r="H21" i="2" a="1"/>
  <c r="H21" i="2" s="1"/>
  <c r="G21" i="2" a="1"/>
  <c r="G21" i="2" s="1"/>
  <c r="F21" i="2" a="1"/>
  <c r="F21" i="2" s="1"/>
  <c r="E21" i="2" a="1"/>
  <c r="E21" i="2" s="1"/>
  <c r="D21" i="2" a="1"/>
  <c r="D21" i="2" s="1"/>
  <c r="C21" i="2" a="1"/>
  <c r="C21" i="2" s="1"/>
  <c r="V17" i="2" a="1"/>
  <c r="V17" i="2" s="1"/>
  <c r="U17" i="2" a="1"/>
  <c r="U17" i="2" s="1"/>
  <c r="T17" i="2" a="1"/>
  <c r="T17" i="2" s="1"/>
  <c r="S17" i="2" a="1"/>
  <c r="S17" i="2" s="1"/>
  <c r="R17" i="2" a="1"/>
  <c r="R17" i="2" s="1"/>
  <c r="Q17" i="2" a="1"/>
  <c r="Q17" i="2" s="1"/>
  <c r="P17" i="2" a="1"/>
  <c r="P17" i="2" s="1"/>
  <c r="O17" i="2" a="1"/>
  <c r="O17" i="2" s="1"/>
  <c r="N17" i="2" a="1"/>
  <c r="N17" i="2" s="1"/>
  <c r="M17" i="2" a="1"/>
  <c r="M17" i="2" s="1"/>
  <c r="L17" i="2" a="1"/>
  <c r="L17" i="2" s="1"/>
  <c r="K17" i="2" a="1"/>
  <c r="K17" i="2" s="1"/>
  <c r="J17" i="2" a="1"/>
  <c r="J17" i="2" s="1"/>
  <c r="I17" i="2" a="1"/>
  <c r="I17" i="2" s="1"/>
  <c r="H17" i="2" a="1"/>
  <c r="H17" i="2" s="1"/>
  <c r="G17" i="2" a="1"/>
  <c r="G17" i="2" s="1"/>
  <c r="F17" i="2" a="1"/>
  <c r="F17" i="2" s="1"/>
  <c r="E17" i="2" a="1"/>
  <c r="E17" i="2" s="1"/>
  <c r="D17" i="2" a="1"/>
  <c r="D17" i="2" s="1"/>
  <c r="C17" i="2" a="1"/>
  <c r="C17" i="2" s="1"/>
  <c r="V53" i="2" a="1"/>
  <c r="V53" i="2" s="1"/>
  <c r="U53" i="2" a="1"/>
  <c r="U53" i="2" s="1"/>
  <c r="T53" i="2" a="1"/>
  <c r="T53" i="2" s="1"/>
  <c r="S53" i="2" a="1"/>
  <c r="S53" i="2" s="1"/>
  <c r="R53" i="2" a="1"/>
  <c r="R53" i="2" s="1"/>
  <c r="Q53" i="2" a="1"/>
  <c r="Q53" i="2" s="1"/>
  <c r="P53" i="2" a="1"/>
  <c r="P53" i="2" s="1"/>
  <c r="O53" i="2" a="1"/>
  <c r="O53" i="2" s="1"/>
  <c r="N53" i="2" a="1"/>
  <c r="N53" i="2" s="1"/>
  <c r="M53" i="2" a="1"/>
  <c r="M53" i="2" s="1"/>
  <c r="L53" i="2" a="1"/>
  <c r="L53" i="2" s="1"/>
  <c r="K53" i="2" a="1"/>
  <c r="K53" i="2" s="1"/>
  <c r="J53" i="2" a="1"/>
  <c r="J53" i="2" s="1"/>
  <c r="I53" i="2" a="1"/>
  <c r="I53" i="2" s="1"/>
  <c r="H53" i="2" a="1"/>
  <c r="H53" i="2" s="1"/>
  <c r="G53" i="2" a="1"/>
  <c r="G53" i="2" s="1"/>
  <c r="F53" i="2" a="1"/>
  <c r="F53" i="2" s="1"/>
  <c r="E53" i="2" a="1"/>
  <c r="E53" i="2" s="1"/>
  <c r="D53" i="2" a="1"/>
  <c r="D53" i="2" s="1"/>
  <c r="C53" i="2" a="1"/>
  <c r="C53" i="2" s="1"/>
  <c r="V15" i="2" a="1"/>
  <c r="V15" i="2" s="1"/>
  <c r="U15" i="2" a="1"/>
  <c r="U15" i="2" s="1"/>
  <c r="T15" i="2" a="1"/>
  <c r="T15" i="2" s="1"/>
  <c r="S15" i="2" a="1"/>
  <c r="S15" i="2" s="1"/>
  <c r="R15" i="2" a="1"/>
  <c r="R15" i="2" s="1"/>
  <c r="Q15" i="2" a="1"/>
  <c r="Q15" i="2" s="1"/>
  <c r="P15" i="2" a="1"/>
  <c r="P15" i="2" s="1"/>
  <c r="O15" i="2" a="1"/>
  <c r="O15" i="2" s="1"/>
  <c r="N15" i="2" a="1"/>
  <c r="N15" i="2" s="1"/>
  <c r="M15" i="2" a="1"/>
  <c r="M15" i="2" s="1"/>
  <c r="L15" i="2" a="1"/>
  <c r="L15" i="2" s="1"/>
  <c r="K15" i="2" a="1"/>
  <c r="K15" i="2" s="1"/>
  <c r="J15" i="2" a="1"/>
  <c r="J15" i="2" s="1"/>
  <c r="I15" i="2" a="1"/>
  <c r="I15" i="2" s="1"/>
  <c r="H15" i="2" a="1"/>
  <c r="H15" i="2" s="1"/>
  <c r="G15" i="2" a="1"/>
  <c r="G15" i="2" s="1"/>
  <c r="F15" i="2" a="1"/>
  <c r="F15" i="2" s="1"/>
  <c r="E15" i="2" a="1"/>
  <c r="E15" i="2" s="1"/>
  <c r="D15" i="2" a="1"/>
  <c r="D15" i="2" s="1"/>
  <c r="C15" i="2" a="1"/>
  <c r="C15" i="2" s="1"/>
  <c r="V90" i="2" a="1"/>
  <c r="V90" i="2" s="1"/>
  <c r="U90" i="2" a="1"/>
  <c r="U90" i="2" s="1"/>
  <c r="T90" i="2" a="1"/>
  <c r="T90" i="2" s="1"/>
  <c r="S90" i="2" a="1"/>
  <c r="S90" i="2" s="1"/>
  <c r="R90" i="2" a="1"/>
  <c r="R90" i="2" s="1"/>
  <c r="Q90" i="2" a="1"/>
  <c r="Q90" i="2" s="1"/>
  <c r="P90" i="2" a="1"/>
  <c r="P90" i="2" s="1"/>
  <c r="O90" i="2" a="1"/>
  <c r="O90" i="2" s="1"/>
  <c r="N90" i="2" a="1"/>
  <c r="N90" i="2" s="1"/>
  <c r="M90" i="2" a="1"/>
  <c r="M90" i="2" s="1"/>
  <c r="L90" i="2" a="1"/>
  <c r="L90" i="2" s="1"/>
  <c r="K90" i="2" a="1"/>
  <c r="K90" i="2" s="1"/>
  <c r="J90" i="2" a="1"/>
  <c r="J90" i="2" s="1"/>
  <c r="I90" i="2" a="1"/>
  <c r="I90" i="2" s="1"/>
  <c r="H90" i="2" a="1"/>
  <c r="H90" i="2" s="1"/>
  <c r="G90" i="2" a="1"/>
  <c r="G90" i="2" s="1"/>
  <c r="F90" i="2" a="1"/>
  <c r="F90" i="2" s="1"/>
  <c r="E90" i="2" a="1"/>
  <c r="E90" i="2" s="1"/>
  <c r="D90" i="2" a="1"/>
  <c r="D90" i="2" s="1"/>
  <c r="C90" i="2" a="1"/>
  <c r="C90" i="2" s="1"/>
  <c r="V9" i="2" a="1"/>
  <c r="V9" i="2" s="1"/>
  <c r="U9" i="2" a="1"/>
  <c r="U9" i="2" s="1"/>
  <c r="T9" i="2" a="1"/>
  <c r="T9" i="2" s="1"/>
  <c r="S9" i="2" a="1"/>
  <c r="S9" i="2" s="1"/>
  <c r="R9" i="2" a="1"/>
  <c r="R9" i="2" s="1"/>
  <c r="Q9" i="2" a="1"/>
  <c r="Q9" i="2" s="1"/>
  <c r="P9" i="2" a="1"/>
  <c r="P9" i="2" s="1"/>
  <c r="O9" i="2" a="1"/>
  <c r="O9" i="2" s="1"/>
  <c r="N9" i="2" a="1"/>
  <c r="N9" i="2" s="1"/>
  <c r="M9" i="2" a="1"/>
  <c r="M9" i="2" s="1"/>
  <c r="L9" i="2" a="1"/>
  <c r="L9" i="2" s="1"/>
  <c r="K9" i="2" a="1"/>
  <c r="K9" i="2" s="1"/>
  <c r="J9" i="2" a="1"/>
  <c r="J9" i="2" s="1"/>
  <c r="I9" i="2" a="1"/>
  <c r="I9" i="2" s="1"/>
  <c r="H9" i="2" a="1"/>
  <c r="H9" i="2" s="1"/>
  <c r="G9" i="2" a="1"/>
  <c r="G9" i="2" s="1"/>
  <c r="F9" i="2" a="1"/>
  <c r="F9" i="2" s="1"/>
  <c r="E9" i="2" a="1"/>
  <c r="E9" i="2" s="1"/>
  <c r="D9" i="2" a="1"/>
  <c r="D9" i="2" s="1"/>
  <c r="C9" i="2" a="1"/>
  <c r="C9" i="2" s="1"/>
  <c r="V45" i="2" a="1"/>
  <c r="V45" i="2" s="1"/>
  <c r="U45" i="2" a="1"/>
  <c r="U45" i="2" s="1"/>
  <c r="T45" i="2" a="1"/>
  <c r="T45" i="2" s="1"/>
  <c r="S45" i="2" a="1"/>
  <c r="S45" i="2" s="1"/>
  <c r="R45" i="2" a="1"/>
  <c r="R45" i="2" s="1"/>
  <c r="Q45" i="2" a="1"/>
  <c r="Q45" i="2" s="1"/>
  <c r="P45" i="2" a="1"/>
  <c r="P45" i="2" s="1"/>
  <c r="O45" i="2" a="1"/>
  <c r="O45" i="2" s="1"/>
  <c r="N45" i="2" a="1"/>
  <c r="N45" i="2" s="1"/>
  <c r="M45" i="2" a="1"/>
  <c r="M45" i="2" s="1"/>
  <c r="L45" i="2" a="1"/>
  <c r="L45" i="2" s="1"/>
  <c r="K45" i="2" a="1"/>
  <c r="K45" i="2" s="1"/>
  <c r="J45" i="2" a="1"/>
  <c r="J45" i="2" s="1"/>
  <c r="I45" i="2" a="1"/>
  <c r="I45" i="2" s="1"/>
  <c r="H45" i="2" a="1"/>
  <c r="H45" i="2" s="1"/>
  <c r="G45" i="2" a="1"/>
  <c r="G45" i="2" s="1"/>
  <c r="F45" i="2" a="1"/>
  <c r="F45" i="2" s="1"/>
  <c r="E45" i="2" a="1"/>
  <c r="E45" i="2" s="1"/>
  <c r="D45" i="2" a="1"/>
  <c r="D45" i="2" s="1"/>
  <c r="C45" i="2" a="1"/>
  <c r="C45" i="2" s="1"/>
  <c r="V36" i="2" a="1"/>
  <c r="V36" i="2" s="1"/>
  <c r="U36" i="2" a="1"/>
  <c r="U36" i="2" s="1"/>
  <c r="T36" i="2" a="1"/>
  <c r="T36" i="2" s="1"/>
  <c r="S36" i="2" a="1"/>
  <c r="S36" i="2" s="1"/>
  <c r="R36" i="2" a="1"/>
  <c r="R36" i="2" s="1"/>
  <c r="Q36" i="2" a="1"/>
  <c r="Q36" i="2" s="1"/>
  <c r="P36" i="2" a="1"/>
  <c r="P36" i="2" s="1"/>
  <c r="O36" i="2" a="1"/>
  <c r="O36" i="2" s="1"/>
  <c r="N36" i="2" a="1"/>
  <c r="N36" i="2" s="1"/>
  <c r="M36" i="2" a="1"/>
  <c r="M36" i="2" s="1"/>
  <c r="L36" i="2" a="1"/>
  <c r="L36" i="2" s="1"/>
  <c r="K36" i="2" a="1"/>
  <c r="K36" i="2" s="1"/>
  <c r="J36" i="2" a="1"/>
  <c r="J36" i="2" s="1"/>
  <c r="I36" i="2" a="1"/>
  <c r="I36" i="2" s="1"/>
  <c r="H36" i="2" a="1"/>
  <c r="H36" i="2" s="1"/>
  <c r="G36" i="2" a="1"/>
  <c r="G36" i="2" s="1"/>
  <c r="F36" i="2" a="1"/>
  <c r="F36" i="2" s="1"/>
  <c r="E36" i="2" a="1"/>
  <c r="E36" i="2" s="1"/>
  <c r="D36" i="2" a="1"/>
  <c r="D36" i="2" s="1"/>
  <c r="C36" i="2" a="1"/>
  <c r="C36" i="2" s="1"/>
  <c r="V58" i="2" a="1"/>
  <c r="V58" i="2" s="1"/>
  <c r="U58" i="2" a="1"/>
  <c r="U58" i="2" s="1"/>
  <c r="T58" i="2" a="1"/>
  <c r="T58" i="2" s="1"/>
  <c r="S58" i="2" a="1"/>
  <c r="S58" i="2" s="1"/>
  <c r="R58" i="2" a="1"/>
  <c r="R58" i="2" s="1"/>
  <c r="Q58" i="2" a="1"/>
  <c r="Q58" i="2" s="1"/>
  <c r="P58" i="2" a="1"/>
  <c r="P58" i="2" s="1"/>
  <c r="O58" i="2" a="1"/>
  <c r="O58" i="2" s="1"/>
  <c r="N58" i="2" a="1"/>
  <c r="N58" i="2" s="1"/>
  <c r="M58" i="2" a="1"/>
  <c r="M58" i="2" s="1"/>
  <c r="L58" i="2" a="1"/>
  <c r="L58" i="2" s="1"/>
  <c r="K58" i="2" a="1"/>
  <c r="K58" i="2" s="1"/>
  <c r="J58" i="2" a="1"/>
  <c r="J58" i="2" s="1"/>
  <c r="I58" i="2" a="1"/>
  <c r="I58" i="2" s="1"/>
  <c r="H58" i="2" a="1"/>
  <c r="H58" i="2" s="1"/>
  <c r="G58" i="2" a="1"/>
  <c r="G58" i="2" s="1"/>
  <c r="F58" i="2" a="1"/>
  <c r="F58" i="2" s="1"/>
  <c r="E58" i="2" a="1"/>
  <c r="E58" i="2" s="1"/>
  <c r="D58" i="2" a="1"/>
  <c r="D58" i="2" s="1"/>
  <c r="C58" i="2" a="1"/>
  <c r="C58" i="2" s="1"/>
  <c r="V65" i="2" a="1"/>
  <c r="V65" i="2" s="1"/>
  <c r="U65" i="2" a="1"/>
  <c r="U65" i="2" s="1"/>
  <c r="T65" i="2" a="1"/>
  <c r="T65" i="2" s="1"/>
  <c r="S65" i="2" a="1"/>
  <c r="S65" i="2" s="1"/>
  <c r="R65" i="2" a="1"/>
  <c r="R65" i="2" s="1"/>
  <c r="Q65" i="2" a="1"/>
  <c r="Q65" i="2" s="1"/>
  <c r="P65" i="2" a="1"/>
  <c r="P65" i="2" s="1"/>
  <c r="O65" i="2" a="1"/>
  <c r="O65" i="2" s="1"/>
  <c r="N65" i="2" a="1"/>
  <c r="N65" i="2" s="1"/>
  <c r="M65" i="2" a="1"/>
  <c r="M65" i="2" s="1"/>
  <c r="L65" i="2" a="1"/>
  <c r="L65" i="2" s="1"/>
  <c r="K65" i="2" a="1"/>
  <c r="K65" i="2" s="1"/>
  <c r="J65" i="2" a="1"/>
  <c r="J65" i="2" s="1"/>
  <c r="I65" i="2" a="1"/>
  <c r="I65" i="2" s="1"/>
  <c r="H65" i="2" a="1"/>
  <c r="H65" i="2" s="1"/>
  <c r="G65" i="2" a="1"/>
  <c r="G65" i="2" s="1"/>
  <c r="F65" i="2" a="1"/>
  <c r="F65" i="2" s="1"/>
  <c r="E65" i="2" a="1"/>
  <c r="E65" i="2" s="1"/>
  <c r="D65" i="2" a="1"/>
  <c r="D65" i="2" s="1"/>
  <c r="C65" i="2" a="1"/>
  <c r="C65" i="2" s="1"/>
  <c r="V11" i="2" a="1"/>
  <c r="V11" i="2" s="1"/>
  <c r="U11" i="2" a="1"/>
  <c r="U11" i="2" s="1"/>
  <c r="T11" i="2" a="1"/>
  <c r="T11" i="2" s="1"/>
  <c r="S11" i="2" a="1"/>
  <c r="S11" i="2" s="1"/>
  <c r="R11" i="2" a="1"/>
  <c r="R11" i="2" s="1"/>
  <c r="Q11" i="2" a="1"/>
  <c r="Q11" i="2" s="1"/>
  <c r="P11" i="2" a="1"/>
  <c r="P11" i="2" s="1"/>
  <c r="O11" i="2" a="1"/>
  <c r="O11" i="2" s="1"/>
  <c r="N11" i="2" a="1"/>
  <c r="N11" i="2" s="1"/>
  <c r="M11" i="2" a="1"/>
  <c r="M11" i="2" s="1"/>
  <c r="L11" i="2" a="1"/>
  <c r="L11" i="2" s="1"/>
  <c r="K11" i="2" a="1"/>
  <c r="K11" i="2" s="1"/>
  <c r="J11" i="2" a="1"/>
  <c r="J11" i="2" s="1"/>
  <c r="I11" i="2" a="1"/>
  <c r="I11" i="2" s="1"/>
  <c r="H11" i="2" a="1"/>
  <c r="H11" i="2" s="1"/>
  <c r="G11" i="2" a="1"/>
  <c r="G11" i="2" s="1"/>
  <c r="F11" i="2" a="1"/>
  <c r="F11" i="2" s="1"/>
  <c r="E11" i="2" a="1"/>
  <c r="E11" i="2" s="1"/>
  <c r="D11" i="2" a="1"/>
  <c r="D11" i="2" s="1"/>
  <c r="C11" i="2" a="1"/>
  <c r="C11" i="2" s="1"/>
  <c r="V6" i="2" a="1"/>
  <c r="V6" i="2" s="1"/>
  <c r="U6" i="2" a="1"/>
  <c r="U6" i="2" s="1"/>
  <c r="T6" i="2" a="1"/>
  <c r="T6" i="2" s="1"/>
  <c r="S6" i="2" a="1"/>
  <c r="S6" i="2" s="1"/>
  <c r="R6" i="2" a="1"/>
  <c r="R6" i="2" s="1"/>
  <c r="Q6" i="2" a="1"/>
  <c r="Q6" i="2" s="1"/>
  <c r="P6" i="2" a="1"/>
  <c r="P6" i="2" s="1"/>
  <c r="O6" i="2" a="1"/>
  <c r="O6" i="2" s="1"/>
  <c r="N6" i="2" a="1"/>
  <c r="N6" i="2" s="1"/>
  <c r="M6" i="2" a="1"/>
  <c r="M6" i="2" s="1"/>
  <c r="L6" i="2" a="1"/>
  <c r="L6" i="2" s="1"/>
  <c r="K6" i="2" a="1"/>
  <c r="K6" i="2" s="1"/>
  <c r="J6" i="2" a="1"/>
  <c r="J6" i="2" s="1"/>
  <c r="I6" i="2" a="1"/>
  <c r="I6" i="2" s="1"/>
  <c r="H6" i="2" a="1"/>
  <c r="H6" i="2" s="1"/>
  <c r="G6" i="2" a="1"/>
  <c r="G6" i="2" s="1"/>
  <c r="F6" i="2" a="1"/>
  <c r="F6" i="2" s="1"/>
  <c r="E6" i="2" a="1"/>
  <c r="E6" i="2" s="1"/>
  <c r="D6" i="2" a="1"/>
  <c r="D6" i="2" s="1"/>
  <c r="C6" i="2" a="1"/>
  <c r="C6" i="2" s="1"/>
  <c r="V76" i="2" a="1"/>
  <c r="V76" i="2" s="1"/>
  <c r="U76" i="2" a="1"/>
  <c r="U76" i="2" s="1"/>
  <c r="T76" i="2" a="1"/>
  <c r="T76" i="2" s="1"/>
  <c r="S76" i="2" a="1"/>
  <c r="S76" i="2" s="1"/>
  <c r="R76" i="2" a="1"/>
  <c r="R76" i="2" s="1"/>
  <c r="Q76" i="2" a="1"/>
  <c r="Q76" i="2" s="1"/>
  <c r="P76" i="2" a="1"/>
  <c r="P76" i="2" s="1"/>
  <c r="O76" i="2" a="1"/>
  <c r="O76" i="2" s="1"/>
  <c r="N76" i="2" a="1"/>
  <c r="N76" i="2" s="1"/>
  <c r="M76" i="2" a="1"/>
  <c r="M76" i="2" s="1"/>
  <c r="L76" i="2" a="1"/>
  <c r="L76" i="2" s="1"/>
  <c r="K76" i="2" a="1"/>
  <c r="K76" i="2" s="1"/>
  <c r="J76" i="2" a="1"/>
  <c r="J76" i="2" s="1"/>
  <c r="I76" i="2" a="1"/>
  <c r="I76" i="2" s="1"/>
  <c r="H76" i="2" a="1"/>
  <c r="H76" i="2" s="1"/>
  <c r="G76" i="2" a="1"/>
  <c r="G76" i="2" s="1"/>
  <c r="F76" i="2" a="1"/>
  <c r="F76" i="2" s="1"/>
  <c r="E76" i="2" a="1"/>
  <c r="E76" i="2" s="1"/>
  <c r="D76" i="2" a="1"/>
  <c r="D76" i="2" s="1"/>
  <c r="C76" i="2" a="1"/>
  <c r="C76" i="2" s="1"/>
  <c r="V16" i="2" a="1"/>
  <c r="V16" i="2" s="1"/>
  <c r="U16" i="2" a="1"/>
  <c r="U16" i="2" s="1"/>
  <c r="T16" i="2" a="1"/>
  <c r="T16" i="2" s="1"/>
  <c r="S16" i="2" a="1"/>
  <c r="S16" i="2" s="1"/>
  <c r="R16" i="2" a="1"/>
  <c r="R16" i="2" s="1"/>
  <c r="Q16" i="2" a="1"/>
  <c r="Q16" i="2" s="1"/>
  <c r="P16" i="2" a="1"/>
  <c r="P16" i="2" s="1"/>
  <c r="O16" i="2" a="1"/>
  <c r="O16" i="2" s="1"/>
  <c r="N16" i="2" a="1"/>
  <c r="N16" i="2" s="1"/>
  <c r="M16" i="2" a="1"/>
  <c r="M16" i="2" s="1"/>
  <c r="L16" i="2" a="1"/>
  <c r="L16" i="2" s="1"/>
  <c r="K16" i="2" a="1"/>
  <c r="K16" i="2" s="1"/>
  <c r="J16" i="2" a="1"/>
  <c r="J16" i="2" s="1"/>
  <c r="I16" i="2" a="1"/>
  <c r="I16" i="2" s="1"/>
  <c r="H16" i="2" a="1"/>
  <c r="H16" i="2" s="1"/>
  <c r="G16" i="2" a="1"/>
  <c r="G16" i="2" s="1"/>
  <c r="F16" i="2" a="1"/>
  <c r="F16" i="2" s="1"/>
  <c r="E16" i="2" a="1"/>
  <c r="E16" i="2" s="1"/>
  <c r="D16" i="2" a="1"/>
  <c r="D16" i="2" s="1"/>
  <c r="C16" i="2" a="1"/>
  <c r="C16" i="2" s="1"/>
  <c r="V88" i="2" a="1"/>
  <c r="V88" i="2" s="1"/>
  <c r="U88" i="2" a="1"/>
  <c r="U88" i="2" s="1"/>
  <c r="T88" i="2" a="1"/>
  <c r="T88" i="2" s="1"/>
  <c r="S88" i="2" a="1"/>
  <c r="S88" i="2" s="1"/>
  <c r="R88" i="2" a="1"/>
  <c r="R88" i="2" s="1"/>
  <c r="Q88" i="2" a="1"/>
  <c r="Q88" i="2" s="1"/>
  <c r="P88" i="2" a="1"/>
  <c r="P88" i="2" s="1"/>
  <c r="O88" i="2" a="1"/>
  <c r="O88" i="2" s="1"/>
  <c r="N88" i="2" a="1"/>
  <c r="N88" i="2" s="1"/>
  <c r="M88" i="2" a="1"/>
  <c r="M88" i="2" s="1"/>
  <c r="L88" i="2" a="1"/>
  <c r="L88" i="2" s="1"/>
  <c r="K88" i="2" a="1"/>
  <c r="K88" i="2" s="1"/>
  <c r="J88" i="2" a="1"/>
  <c r="J88" i="2" s="1"/>
  <c r="I88" i="2" a="1"/>
  <c r="I88" i="2" s="1"/>
  <c r="H88" i="2" a="1"/>
  <c r="H88" i="2" s="1"/>
  <c r="G88" i="2" a="1"/>
  <c r="G88" i="2" s="1"/>
  <c r="F88" i="2" a="1"/>
  <c r="F88" i="2" s="1"/>
  <c r="E88" i="2" a="1"/>
  <c r="E88" i="2" s="1"/>
  <c r="D88" i="2" a="1"/>
  <c r="D88" i="2" s="1"/>
  <c r="C88" i="2" a="1"/>
  <c r="C88" i="2" s="1"/>
  <c r="V91" i="2" a="1"/>
  <c r="V91" i="2" s="1"/>
  <c r="U91" i="2" a="1"/>
  <c r="U91" i="2" s="1"/>
  <c r="T91" i="2" a="1"/>
  <c r="T91" i="2" s="1"/>
  <c r="S91" i="2" a="1"/>
  <c r="S91" i="2" s="1"/>
  <c r="R91" i="2" a="1"/>
  <c r="R91" i="2" s="1"/>
  <c r="Q91" i="2" a="1"/>
  <c r="Q91" i="2" s="1"/>
  <c r="P91" i="2" a="1"/>
  <c r="P91" i="2" s="1"/>
  <c r="O91" i="2" a="1"/>
  <c r="O91" i="2" s="1"/>
  <c r="N91" i="2" a="1"/>
  <c r="N91" i="2" s="1"/>
  <c r="M91" i="2" a="1"/>
  <c r="M91" i="2" s="1"/>
  <c r="L91" i="2" a="1"/>
  <c r="L91" i="2" s="1"/>
  <c r="K91" i="2" a="1"/>
  <c r="K91" i="2" s="1"/>
  <c r="J91" i="2" a="1"/>
  <c r="J91" i="2" s="1"/>
  <c r="I91" i="2" a="1"/>
  <c r="I91" i="2" s="1"/>
  <c r="H91" i="2" a="1"/>
  <c r="H91" i="2" s="1"/>
  <c r="G91" i="2" a="1"/>
  <c r="G91" i="2" s="1"/>
  <c r="F91" i="2" a="1"/>
  <c r="F91" i="2" s="1"/>
  <c r="E91" i="2" a="1"/>
  <c r="E91" i="2" s="1"/>
  <c r="D91" i="2" a="1"/>
  <c r="D91" i="2" s="1"/>
  <c r="C91" i="2" a="1"/>
  <c r="C91" i="2" s="1"/>
  <c r="V31" i="2" a="1"/>
  <c r="V31" i="2" s="1"/>
  <c r="U31" i="2" a="1"/>
  <c r="U31" i="2" s="1"/>
  <c r="T31" i="2" a="1"/>
  <c r="T31" i="2" s="1"/>
  <c r="S31" i="2" a="1"/>
  <c r="S31" i="2" s="1"/>
  <c r="R31" i="2" a="1"/>
  <c r="R31" i="2" s="1"/>
  <c r="Q31" i="2" a="1"/>
  <c r="Q31" i="2" s="1"/>
  <c r="P31" i="2" a="1"/>
  <c r="P31" i="2" s="1"/>
  <c r="O31" i="2" a="1"/>
  <c r="O31" i="2" s="1"/>
  <c r="N31" i="2" a="1"/>
  <c r="N31" i="2" s="1"/>
  <c r="M31" i="2" a="1"/>
  <c r="M31" i="2" s="1"/>
  <c r="L31" i="2" a="1"/>
  <c r="L31" i="2" s="1"/>
  <c r="K31" i="2" a="1"/>
  <c r="K31" i="2" s="1"/>
  <c r="J31" i="2" a="1"/>
  <c r="J31" i="2" s="1"/>
  <c r="I31" i="2" a="1"/>
  <c r="I31" i="2" s="1"/>
  <c r="H31" i="2" a="1"/>
  <c r="H31" i="2" s="1"/>
  <c r="G31" i="2" a="1"/>
  <c r="G31" i="2" s="1"/>
  <c r="F31" i="2" a="1"/>
  <c r="F31" i="2" s="1"/>
  <c r="E31" i="2" a="1"/>
  <c r="E31" i="2" s="1"/>
  <c r="D31" i="2" a="1"/>
  <c r="D31" i="2" s="1"/>
  <c r="C31" i="2" a="1"/>
  <c r="C31" i="2" s="1"/>
  <c r="V50" i="2" a="1"/>
  <c r="V50" i="2" s="1"/>
  <c r="U50" i="2" a="1"/>
  <c r="U50" i="2" s="1"/>
  <c r="T50" i="2" a="1"/>
  <c r="T50" i="2" s="1"/>
  <c r="S50" i="2" a="1"/>
  <c r="S50" i="2" s="1"/>
  <c r="R50" i="2" a="1"/>
  <c r="R50" i="2" s="1"/>
  <c r="Q50" i="2" a="1"/>
  <c r="Q50" i="2" s="1"/>
  <c r="P50" i="2" a="1"/>
  <c r="P50" i="2" s="1"/>
  <c r="O50" i="2" a="1"/>
  <c r="O50" i="2" s="1"/>
  <c r="N50" i="2" a="1"/>
  <c r="N50" i="2" s="1"/>
  <c r="M50" i="2" a="1"/>
  <c r="M50" i="2" s="1"/>
  <c r="L50" i="2" a="1"/>
  <c r="L50" i="2" s="1"/>
  <c r="K50" i="2" a="1"/>
  <c r="K50" i="2" s="1"/>
  <c r="J50" i="2" a="1"/>
  <c r="J50" i="2" s="1"/>
  <c r="I50" i="2" a="1"/>
  <c r="I50" i="2" s="1"/>
  <c r="H50" i="2" a="1"/>
  <c r="H50" i="2" s="1"/>
  <c r="G50" i="2" a="1"/>
  <c r="G50" i="2" s="1"/>
  <c r="F50" i="2" a="1"/>
  <c r="F50" i="2" s="1"/>
  <c r="E50" i="2" a="1"/>
  <c r="E50" i="2" s="1"/>
  <c r="D50" i="2" a="1"/>
  <c r="D50" i="2" s="1"/>
  <c r="C50" i="2" a="1"/>
  <c r="C50" i="2" s="1"/>
  <c r="V10" i="2" a="1"/>
  <c r="V10" i="2" s="1"/>
  <c r="U10" i="2" a="1"/>
  <c r="U10" i="2" s="1"/>
  <c r="T10" i="2" a="1"/>
  <c r="T10" i="2" s="1"/>
  <c r="S10" i="2" a="1"/>
  <c r="S10" i="2" s="1"/>
  <c r="R10" i="2" a="1"/>
  <c r="R10" i="2" s="1"/>
  <c r="Q10" i="2" a="1"/>
  <c r="Q10" i="2" s="1"/>
  <c r="P10" i="2" a="1"/>
  <c r="P10" i="2" s="1"/>
  <c r="O10" i="2" a="1"/>
  <c r="O10" i="2" s="1"/>
  <c r="N10" i="2" a="1"/>
  <c r="N10" i="2" s="1"/>
  <c r="M10" i="2" a="1"/>
  <c r="M10" i="2" s="1"/>
  <c r="L10" i="2" a="1"/>
  <c r="L10" i="2" s="1"/>
  <c r="K10" i="2" a="1"/>
  <c r="K10" i="2" s="1"/>
  <c r="J10" i="2" a="1"/>
  <c r="J10" i="2" s="1"/>
  <c r="I10" i="2" a="1"/>
  <c r="I10" i="2" s="1"/>
  <c r="H10" i="2" a="1"/>
  <c r="H10" i="2" s="1"/>
  <c r="G10" i="2" a="1"/>
  <c r="G10" i="2" s="1"/>
  <c r="F10" i="2" a="1"/>
  <c r="F10" i="2" s="1"/>
  <c r="E10" i="2" a="1"/>
  <c r="E10" i="2" s="1"/>
  <c r="D10" i="2" a="1"/>
  <c r="D10" i="2" s="1"/>
  <c r="C10" i="2" a="1"/>
  <c r="C10" i="2" s="1"/>
  <c r="V35" i="2" a="1"/>
  <c r="V35" i="2" s="1"/>
  <c r="U35" i="2" a="1"/>
  <c r="U35" i="2" s="1"/>
  <c r="T35" i="2" a="1"/>
  <c r="T35" i="2" s="1"/>
  <c r="S35" i="2" a="1"/>
  <c r="S35" i="2" s="1"/>
  <c r="R35" i="2" a="1"/>
  <c r="R35" i="2" s="1"/>
  <c r="Q35" i="2" a="1"/>
  <c r="Q35" i="2" s="1"/>
  <c r="P35" i="2" a="1"/>
  <c r="P35" i="2" s="1"/>
  <c r="O35" i="2" a="1"/>
  <c r="O35" i="2" s="1"/>
  <c r="N35" i="2" a="1"/>
  <c r="N35" i="2" s="1"/>
  <c r="M35" i="2" a="1"/>
  <c r="M35" i="2" s="1"/>
  <c r="L35" i="2" a="1"/>
  <c r="L35" i="2" s="1"/>
  <c r="K35" i="2" a="1"/>
  <c r="K35" i="2" s="1"/>
  <c r="J35" i="2" a="1"/>
  <c r="J35" i="2" s="1"/>
  <c r="I35" i="2" a="1"/>
  <c r="I35" i="2" s="1"/>
  <c r="H35" i="2" a="1"/>
  <c r="H35" i="2" s="1"/>
  <c r="G35" i="2" a="1"/>
  <c r="G35" i="2" s="1"/>
  <c r="F35" i="2" a="1"/>
  <c r="F35" i="2" s="1"/>
  <c r="E35" i="2" a="1"/>
  <c r="E35" i="2" s="1"/>
  <c r="D35" i="2" a="1"/>
  <c r="D35" i="2" s="1"/>
  <c r="C35" i="2" a="1"/>
  <c r="C35" i="2" s="1"/>
  <c r="V61" i="2" a="1"/>
  <c r="V61" i="2" s="1"/>
  <c r="U61" i="2" a="1"/>
  <c r="U61" i="2" s="1"/>
  <c r="T61" i="2" a="1"/>
  <c r="T61" i="2" s="1"/>
  <c r="S61" i="2" a="1"/>
  <c r="S61" i="2" s="1"/>
  <c r="R61" i="2" a="1"/>
  <c r="R61" i="2" s="1"/>
  <c r="Q61" i="2" a="1"/>
  <c r="Q61" i="2" s="1"/>
  <c r="P61" i="2" a="1"/>
  <c r="P61" i="2" s="1"/>
  <c r="O61" i="2" a="1"/>
  <c r="O61" i="2" s="1"/>
  <c r="N61" i="2" a="1"/>
  <c r="N61" i="2" s="1"/>
  <c r="M61" i="2" a="1"/>
  <c r="M61" i="2" s="1"/>
  <c r="L61" i="2" a="1"/>
  <c r="L61" i="2" s="1"/>
  <c r="K61" i="2" a="1"/>
  <c r="K61" i="2" s="1"/>
  <c r="J61" i="2" a="1"/>
  <c r="J61" i="2" s="1"/>
  <c r="I61" i="2" a="1"/>
  <c r="I61" i="2" s="1"/>
  <c r="H61" i="2" a="1"/>
  <c r="H61" i="2" s="1"/>
  <c r="G61" i="2" a="1"/>
  <c r="G61" i="2" s="1"/>
  <c r="F61" i="2" a="1"/>
  <c r="F61" i="2" s="1"/>
  <c r="E61" i="2" a="1"/>
  <c r="E61" i="2" s="1"/>
  <c r="D61" i="2" a="1"/>
  <c r="D61" i="2" s="1"/>
  <c r="C61" i="2" a="1"/>
  <c r="C61" i="2" s="1"/>
  <c r="V83" i="2" a="1"/>
  <c r="V83" i="2" s="1"/>
  <c r="U83" i="2" a="1"/>
  <c r="U83" i="2" s="1"/>
  <c r="T83" i="2" a="1"/>
  <c r="T83" i="2" s="1"/>
  <c r="S83" i="2" a="1"/>
  <c r="S83" i="2" s="1"/>
  <c r="R83" i="2" a="1"/>
  <c r="R83" i="2" s="1"/>
  <c r="Q83" i="2" a="1"/>
  <c r="Q83" i="2" s="1"/>
  <c r="P83" i="2" a="1"/>
  <c r="P83" i="2" s="1"/>
  <c r="O83" i="2" a="1"/>
  <c r="O83" i="2" s="1"/>
  <c r="N83" i="2" a="1"/>
  <c r="N83" i="2" s="1"/>
  <c r="M83" i="2" a="1"/>
  <c r="M83" i="2" s="1"/>
  <c r="L83" i="2" a="1"/>
  <c r="L83" i="2" s="1"/>
  <c r="K83" i="2" a="1"/>
  <c r="K83" i="2" s="1"/>
  <c r="J83" i="2" a="1"/>
  <c r="J83" i="2" s="1"/>
  <c r="I83" i="2" a="1"/>
  <c r="I83" i="2" s="1"/>
  <c r="H83" i="2" a="1"/>
  <c r="H83" i="2" s="1"/>
  <c r="G83" i="2" a="1"/>
  <c r="G83" i="2" s="1"/>
  <c r="F83" i="2" a="1"/>
  <c r="F83" i="2" s="1"/>
  <c r="E83" i="2" a="1"/>
  <c r="E83" i="2" s="1"/>
  <c r="D83" i="2" a="1"/>
  <c r="D83" i="2" s="1"/>
  <c r="C83" i="2" a="1"/>
  <c r="C83" i="2" s="1"/>
  <c r="V49" i="2" a="1"/>
  <c r="V49" i="2" s="1"/>
  <c r="U49" i="2" a="1"/>
  <c r="U49" i="2" s="1"/>
  <c r="T49" i="2" a="1"/>
  <c r="T49" i="2" s="1"/>
  <c r="S49" i="2" a="1"/>
  <c r="S49" i="2" s="1"/>
  <c r="R49" i="2" a="1"/>
  <c r="R49" i="2" s="1"/>
  <c r="Q49" i="2" a="1"/>
  <c r="Q49" i="2" s="1"/>
  <c r="P49" i="2" a="1"/>
  <c r="P49" i="2" s="1"/>
  <c r="O49" i="2" a="1"/>
  <c r="O49" i="2" s="1"/>
  <c r="N49" i="2" a="1"/>
  <c r="N49" i="2" s="1"/>
  <c r="M49" i="2" a="1"/>
  <c r="M49" i="2" s="1"/>
  <c r="L49" i="2" a="1"/>
  <c r="L49" i="2" s="1"/>
  <c r="K49" i="2" a="1"/>
  <c r="K49" i="2" s="1"/>
  <c r="J49" i="2" a="1"/>
  <c r="J49" i="2" s="1"/>
  <c r="I49" i="2" a="1"/>
  <c r="I49" i="2" s="1"/>
  <c r="H49" i="2" a="1"/>
  <c r="H49" i="2" s="1"/>
  <c r="G49" i="2" a="1"/>
  <c r="G49" i="2" s="1"/>
  <c r="F49" i="2" a="1"/>
  <c r="F49" i="2" s="1"/>
  <c r="E49" i="2" a="1"/>
  <c r="E49" i="2" s="1"/>
  <c r="D49" i="2" a="1"/>
  <c r="D49" i="2" s="1"/>
  <c r="C49" i="2" a="1"/>
  <c r="C49" i="2" s="1"/>
  <c r="V8" i="2" a="1"/>
  <c r="V8" i="2" s="1"/>
  <c r="U8" i="2" a="1"/>
  <c r="U8" i="2" s="1"/>
  <c r="T8" i="2" a="1"/>
  <c r="T8" i="2" s="1"/>
  <c r="S8" i="2" a="1"/>
  <c r="S8" i="2" s="1"/>
  <c r="R8" i="2" a="1"/>
  <c r="R8" i="2" s="1"/>
  <c r="Q8" i="2" a="1"/>
  <c r="Q8" i="2" s="1"/>
  <c r="P8" i="2" a="1"/>
  <c r="P8" i="2" s="1"/>
  <c r="O8" i="2" a="1"/>
  <c r="O8" i="2" s="1"/>
  <c r="N8" i="2" a="1"/>
  <c r="N8" i="2" s="1"/>
  <c r="M8" i="2" a="1"/>
  <c r="M8" i="2" s="1"/>
  <c r="L8" i="2" a="1"/>
  <c r="L8" i="2" s="1"/>
  <c r="K8" i="2" a="1"/>
  <c r="K8" i="2" s="1"/>
  <c r="J8" i="2" a="1"/>
  <c r="J8" i="2" s="1"/>
  <c r="I8" i="2" a="1"/>
  <c r="I8" i="2" s="1"/>
  <c r="H8" i="2" a="1"/>
  <c r="H8" i="2" s="1"/>
  <c r="G8" i="2" a="1"/>
  <c r="G8" i="2" s="1"/>
  <c r="F8" i="2" a="1"/>
  <c r="F8" i="2" s="1"/>
  <c r="E8" i="2" a="1"/>
  <c r="E8" i="2" s="1"/>
  <c r="D8" i="2" a="1"/>
  <c r="D8" i="2" s="1"/>
  <c r="C8" i="2" a="1"/>
  <c r="C8" i="2" s="1"/>
  <c r="V44" i="2" a="1"/>
  <c r="V44" i="2" s="1"/>
  <c r="U44" i="2" a="1"/>
  <c r="U44" i="2" s="1"/>
  <c r="T44" i="2" a="1"/>
  <c r="T44" i="2" s="1"/>
  <c r="S44" i="2" a="1"/>
  <c r="S44" i="2" s="1"/>
  <c r="R44" i="2" a="1"/>
  <c r="R44" i="2" s="1"/>
  <c r="Q44" i="2" a="1"/>
  <c r="Q44" i="2" s="1"/>
  <c r="P44" i="2" a="1"/>
  <c r="P44" i="2" s="1"/>
  <c r="O44" i="2" a="1"/>
  <c r="O44" i="2" s="1"/>
  <c r="N44" i="2" a="1"/>
  <c r="N44" i="2" s="1"/>
  <c r="M44" i="2" a="1"/>
  <c r="M44" i="2" s="1"/>
  <c r="L44" i="2" a="1"/>
  <c r="L44" i="2" s="1"/>
  <c r="K44" i="2" a="1"/>
  <c r="K44" i="2" s="1"/>
  <c r="J44" i="2" a="1"/>
  <c r="J44" i="2" s="1"/>
  <c r="I44" i="2" a="1"/>
  <c r="I44" i="2" s="1"/>
  <c r="H44" i="2" a="1"/>
  <c r="H44" i="2" s="1"/>
  <c r="G44" i="2" a="1"/>
  <c r="G44" i="2" s="1"/>
  <c r="F44" i="2" a="1"/>
  <c r="F44" i="2" s="1"/>
  <c r="E44" i="2" a="1"/>
  <c r="E44" i="2" s="1"/>
  <c r="D44" i="2" a="1"/>
  <c r="D44" i="2" s="1"/>
  <c r="C44" i="2" a="1"/>
  <c r="C44" i="2" s="1"/>
  <c r="V3" i="2" a="1"/>
  <c r="V3" i="2" s="1"/>
  <c r="U3" i="2" a="1"/>
  <c r="U3" i="2" s="1"/>
  <c r="T3" i="2" a="1"/>
  <c r="T3" i="2" s="1"/>
  <c r="S3" i="2" a="1"/>
  <c r="S3" i="2" s="1"/>
  <c r="R3" i="2" a="1"/>
  <c r="R3" i="2" s="1"/>
  <c r="Q3" i="2" a="1"/>
  <c r="Q3" i="2" s="1"/>
  <c r="P3" i="2" a="1"/>
  <c r="P3" i="2" s="1"/>
  <c r="O3" i="2" a="1"/>
  <c r="O3" i="2" s="1"/>
  <c r="N3" i="2" a="1"/>
  <c r="N3" i="2" s="1"/>
  <c r="M3" i="2" a="1"/>
  <c r="M3" i="2" s="1"/>
  <c r="L3" i="2" a="1"/>
  <c r="L3" i="2" s="1"/>
  <c r="K3" i="2" a="1"/>
  <c r="K3" i="2" s="1"/>
  <c r="J3" i="2" a="1"/>
  <c r="J3" i="2" s="1"/>
  <c r="I3" i="2" a="1"/>
  <c r="I3" i="2" s="1"/>
  <c r="H3" i="2" a="1"/>
  <c r="H3" i="2" s="1"/>
  <c r="G3" i="2" a="1"/>
  <c r="G3" i="2" s="1"/>
  <c r="F3" i="2" a="1"/>
  <c r="F3" i="2" s="1"/>
  <c r="E3" i="2" a="1"/>
  <c r="E3" i="2" s="1"/>
  <c r="D3" i="2" a="1"/>
  <c r="D3" i="2" s="1"/>
  <c r="C3" i="2" a="1"/>
  <c r="C3" i="2" s="1"/>
  <c r="V37" i="2" a="1"/>
  <c r="V37" i="2" s="1"/>
  <c r="U37" i="2" a="1"/>
  <c r="U37" i="2" s="1"/>
  <c r="T37" i="2" a="1"/>
  <c r="T37" i="2" s="1"/>
  <c r="S37" i="2" a="1"/>
  <c r="S37" i="2" s="1"/>
  <c r="R37" i="2" a="1"/>
  <c r="R37" i="2" s="1"/>
  <c r="Q37" i="2" a="1"/>
  <c r="Q37" i="2" s="1"/>
  <c r="P37" i="2" a="1"/>
  <c r="P37" i="2" s="1"/>
  <c r="O37" i="2" a="1"/>
  <c r="O37" i="2" s="1"/>
  <c r="N37" i="2" a="1"/>
  <c r="N37" i="2" s="1"/>
  <c r="M37" i="2" a="1"/>
  <c r="M37" i="2" s="1"/>
  <c r="L37" i="2" a="1"/>
  <c r="L37" i="2" s="1"/>
  <c r="K37" i="2" a="1"/>
  <c r="K37" i="2" s="1"/>
  <c r="J37" i="2" a="1"/>
  <c r="J37" i="2" s="1"/>
  <c r="I37" i="2" a="1"/>
  <c r="I37" i="2" s="1"/>
  <c r="H37" i="2" a="1"/>
  <c r="H37" i="2" s="1"/>
  <c r="G37" i="2" a="1"/>
  <c r="G37" i="2" s="1"/>
  <c r="F37" i="2" a="1"/>
  <c r="F37" i="2" s="1"/>
  <c r="E37" i="2" a="1"/>
  <c r="E37" i="2" s="1"/>
  <c r="D37" i="2" a="1"/>
  <c r="D37" i="2" s="1"/>
  <c r="C37" i="2" a="1"/>
  <c r="C37" i="2" s="1"/>
  <c r="V75" i="2" a="1"/>
  <c r="V75" i="2" s="1"/>
  <c r="U75" i="2" a="1"/>
  <c r="U75" i="2" s="1"/>
  <c r="T75" i="2" a="1"/>
  <c r="T75" i="2" s="1"/>
  <c r="S75" i="2" a="1"/>
  <c r="S75" i="2" s="1"/>
  <c r="R75" i="2" a="1"/>
  <c r="R75" i="2" s="1"/>
  <c r="Q75" i="2" a="1"/>
  <c r="Q75" i="2" s="1"/>
  <c r="P75" i="2" a="1"/>
  <c r="P75" i="2" s="1"/>
  <c r="O75" i="2" a="1"/>
  <c r="O75" i="2" s="1"/>
  <c r="N75" i="2" a="1"/>
  <c r="N75" i="2" s="1"/>
  <c r="M75" i="2" a="1"/>
  <c r="M75" i="2" s="1"/>
  <c r="L75" i="2" a="1"/>
  <c r="L75" i="2" s="1"/>
  <c r="K75" i="2" a="1"/>
  <c r="K75" i="2" s="1"/>
  <c r="J75" i="2" a="1"/>
  <c r="J75" i="2" s="1"/>
  <c r="I75" i="2" a="1"/>
  <c r="I75" i="2" s="1"/>
  <c r="H75" i="2" a="1"/>
  <c r="H75" i="2" s="1"/>
  <c r="G75" i="2" a="1"/>
  <c r="G75" i="2" s="1"/>
  <c r="F75" i="2" a="1"/>
  <c r="F75" i="2" s="1"/>
  <c r="E75" i="2" a="1"/>
  <c r="E75" i="2" s="1"/>
  <c r="D75" i="2" a="1"/>
  <c r="D75" i="2" s="1"/>
  <c r="C75" i="2" a="1"/>
  <c r="C75" i="2" s="1"/>
  <c r="V74" i="2" a="1"/>
  <c r="V74" i="2" s="1"/>
  <c r="U74" i="2" a="1"/>
  <c r="U74" i="2" s="1"/>
  <c r="T74" i="2" a="1"/>
  <c r="T74" i="2" s="1"/>
  <c r="S74" i="2" a="1"/>
  <c r="S74" i="2" s="1"/>
  <c r="R74" i="2" a="1"/>
  <c r="R74" i="2" s="1"/>
  <c r="Q74" i="2" a="1"/>
  <c r="Q74" i="2" s="1"/>
  <c r="P74" i="2" a="1"/>
  <c r="P74" i="2" s="1"/>
  <c r="O74" i="2" a="1"/>
  <c r="O74" i="2" s="1"/>
  <c r="N74" i="2" a="1"/>
  <c r="N74" i="2" s="1"/>
  <c r="M74" i="2" a="1"/>
  <c r="M74" i="2" s="1"/>
  <c r="L74" i="2" a="1"/>
  <c r="L74" i="2" s="1"/>
  <c r="K74" i="2" a="1"/>
  <c r="K74" i="2" s="1"/>
  <c r="J74" i="2" a="1"/>
  <c r="J74" i="2" s="1"/>
  <c r="I74" i="2" a="1"/>
  <c r="I74" i="2" s="1"/>
  <c r="H74" i="2" a="1"/>
  <c r="H74" i="2" s="1"/>
  <c r="G74" i="2" a="1"/>
  <c r="G74" i="2" s="1"/>
  <c r="F74" i="2" a="1"/>
  <c r="F74" i="2" s="1"/>
  <c r="E74" i="2" a="1"/>
  <c r="E74" i="2" s="1"/>
  <c r="D74" i="2" a="1"/>
  <c r="D74" i="2" s="1"/>
  <c r="C74" i="2" a="1"/>
  <c r="C74" i="2" s="1"/>
  <c r="V80" i="2" a="1"/>
  <c r="V80" i="2" s="1"/>
  <c r="U80" i="2" a="1"/>
  <c r="U80" i="2" s="1"/>
  <c r="T80" i="2" a="1"/>
  <c r="T80" i="2" s="1"/>
  <c r="S80" i="2" a="1"/>
  <c r="S80" i="2" s="1"/>
  <c r="R80" i="2" a="1"/>
  <c r="R80" i="2" s="1"/>
  <c r="Q80" i="2" a="1"/>
  <c r="Q80" i="2" s="1"/>
  <c r="P80" i="2" a="1"/>
  <c r="P80" i="2" s="1"/>
  <c r="O80" i="2" a="1"/>
  <c r="O80" i="2" s="1"/>
  <c r="N80" i="2" a="1"/>
  <c r="N80" i="2" s="1"/>
  <c r="M80" i="2" a="1"/>
  <c r="M80" i="2" s="1"/>
  <c r="L80" i="2" a="1"/>
  <c r="L80" i="2" s="1"/>
  <c r="K80" i="2" a="1"/>
  <c r="K80" i="2" s="1"/>
  <c r="J80" i="2" a="1"/>
  <c r="J80" i="2" s="1"/>
  <c r="I80" i="2" a="1"/>
  <c r="I80" i="2" s="1"/>
  <c r="H80" i="2" a="1"/>
  <c r="H80" i="2" s="1"/>
  <c r="G80" i="2" a="1"/>
  <c r="G80" i="2" s="1"/>
  <c r="F80" i="2" a="1"/>
  <c r="F80" i="2" s="1"/>
  <c r="E80" i="2" a="1"/>
  <c r="E80" i="2" s="1"/>
  <c r="D80" i="2" a="1"/>
  <c r="D80" i="2" s="1"/>
  <c r="C80" i="2" a="1"/>
  <c r="C80" i="2" s="1"/>
  <c r="V7" i="2" a="1"/>
  <c r="V7" i="2" s="1"/>
  <c r="U7" i="2" a="1"/>
  <c r="U7" i="2" s="1"/>
  <c r="T7" i="2" a="1"/>
  <c r="T7" i="2" s="1"/>
  <c r="S7" i="2" a="1"/>
  <c r="S7" i="2" s="1"/>
  <c r="R7" i="2" a="1"/>
  <c r="R7" i="2" s="1"/>
  <c r="Q7" i="2" a="1"/>
  <c r="Q7" i="2" s="1"/>
  <c r="P7" i="2" a="1"/>
  <c r="P7" i="2" s="1"/>
  <c r="N7" i="2" a="1"/>
  <c r="N7" i="2" s="1"/>
  <c r="M7" i="2" a="1"/>
  <c r="M7" i="2" s="1"/>
  <c r="L7" i="2" a="1"/>
  <c r="L7" i="2" s="1"/>
  <c r="K7" i="2" a="1"/>
  <c r="K7" i="2" s="1"/>
  <c r="J7" i="2" a="1"/>
  <c r="J7" i="2" s="1"/>
  <c r="I7" i="2" a="1"/>
  <c r="I7" i="2" s="1"/>
  <c r="H7" i="2" a="1"/>
  <c r="H7" i="2" s="1"/>
  <c r="G7" i="2" a="1"/>
  <c r="G7" i="2" s="1"/>
  <c r="F7" i="2" a="1"/>
  <c r="F7" i="2" s="1"/>
  <c r="E7" i="2" a="1"/>
  <c r="E7" i="2" s="1"/>
  <c r="D7" i="2" a="1"/>
  <c r="D7" i="2" s="1"/>
  <c r="C7" i="2" a="1"/>
  <c r="C7" i="2" s="1"/>
  <c r="V27" i="2" a="1"/>
  <c r="V27" i="2" s="1"/>
  <c r="U27" i="2" a="1"/>
  <c r="U27" i="2" s="1"/>
  <c r="T27" i="2" a="1"/>
  <c r="T27" i="2" s="1"/>
  <c r="S27" i="2" a="1"/>
  <c r="S27" i="2" s="1"/>
  <c r="R27" i="2" a="1"/>
  <c r="R27" i="2" s="1"/>
  <c r="Q27" i="2" a="1"/>
  <c r="Q27" i="2" s="1"/>
  <c r="P27" i="2" a="1"/>
  <c r="P27" i="2" s="1"/>
  <c r="O27" i="2" a="1"/>
  <c r="O27" i="2" s="1"/>
  <c r="N27" i="2" a="1"/>
  <c r="N27" i="2" s="1"/>
  <c r="M27" i="2" a="1"/>
  <c r="M27" i="2" s="1"/>
  <c r="L27" i="2" a="1"/>
  <c r="L27" i="2" s="1"/>
  <c r="K27" i="2" a="1"/>
  <c r="K27" i="2" s="1"/>
  <c r="J27" i="2" a="1"/>
  <c r="J27" i="2" s="1"/>
  <c r="I27" i="2" a="1"/>
  <c r="I27" i="2" s="1"/>
  <c r="H27" i="2" a="1"/>
  <c r="H27" i="2" s="1"/>
  <c r="G27" i="2" a="1"/>
  <c r="G27" i="2" s="1"/>
  <c r="F27" i="2" a="1"/>
  <c r="F27" i="2" s="1"/>
  <c r="E27" i="2" a="1"/>
  <c r="E27" i="2" s="1"/>
  <c r="D27" i="2" a="1"/>
  <c r="D27" i="2" s="1"/>
  <c r="C27" i="2" a="1"/>
  <c r="C27" i="2" s="1"/>
  <c r="V12" i="2" a="1"/>
  <c r="V12" i="2" s="1"/>
  <c r="U12" i="2" a="1"/>
  <c r="U12" i="2" s="1"/>
  <c r="T12" i="2" a="1"/>
  <c r="T12" i="2" s="1"/>
  <c r="S12" i="2" a="1"/>
  <c r="S12" i="2" s="1"/>
  <c r="R12" i="2" a="1"/>
  <c r="R12" i="2" s="1"/>
  <c r="Q12" i="2" a="1"/>
  <c r="Q12" i="2" s="1"/>
  <c r="P12" i="2" a="1"/>
  <c r="P12" i="2" s="1"/>
  <c r="O12" i="2" a="1"/>
  <c r="O12" i="2" s="1"/>
  <c r="N12" i="2" a="1"/>
  <c r="N12" i="2" s="1"/>
  <c r="M12" i="2" a="1"/>
  <c r="M12" i="2" s="1"/>
  <c r="L12" i="2" a="1"/>
  <c r="L12" i="2" s="1"/>
  <c r="K12" i="2" a="1"/>
  <c r="K12" i="2" s="1"/>
  <c r="J12" i="2" a="1"/>
  <c r="J12" i="2" s="1"/>
  <c r="I12" i="2" a="1"/>
  <c r="I12" i="2" s="1"/>
  <c r="H12" i="2" a="1"/>
  <c r="H12" i="2" s="1"/>
  <c r="G12" i="2" a="1"/>
  <c r="G12" i="2" s="1"/>
  <c r="F12" i="2" a="1"/>
  <c r="F12" i="2" s="1"/>
  <c r="E12" i="2" a="1"/>
  <c r="E12" i="2" s="1"/>
  <c r="D12" i="2" a="1"/>
  <c r="D12" i="2" s="1"/>
  <c r="C12" i="2" a="1"/>
  <c r="C12" i="2" s="1"/>
  <c r="V51" i="2" a="1"/>
  <c r="V51" i="2" s="1"/>
  <c r="U51" i="2" a="1"/>
  <c r="U51" i="2" s="1"/>
  <c r="T51" i="2" a="1"/>
  <c r="T51" i="2" s="1"/>
  <c r="S51" i="2" a="1"/>
  <c r="S51" i="2" s="1"/>
  <c r="R51" i="2" a="1"/>
  <c r="R51" i="2" s="1"/>
  <c r="Q51" i="2" a="1"/>
  <c r="Q51" i="2" s="1"/>
  <c r="P51" i="2" a="1"/>
  <c r="P51" i="2" s="1"/>
  <c r="O51" i="2" a="1"/>
  <c r="O51" i="2" s="1"/>
  <c r="N51" i="2" a="1"/>
  <c r="N51" i="2" s="1"/>
  <c r="M51" i="2" a="1"/>
  <c r="M51" i="2" s="1"/>
  <c r="L51" i="2" a="1"/>
  <c r="L51" i="2" s="1"/>
  <c r="K51" i="2" a="1"/>
  <c r="K51" i="2" s="1"/>
  <c r="J51" i="2" a="1"/>
  <c r="J51" i="2" s="1"/>
  <c r="I51" i="2" a="1"/>
  <c r="I51" i="2" s="1"/>
  <c r="H51" i="2" a="1"/>
  <c r="H51" i="2" s="1"/>
  <c r="G51" i="2" a="1"/>
  <c r="G51" i="2" s="1"/>
  <c r="F51" i="2" a="1"/>
  <c r="F51" i="2" s="1"/>
  <c r="E51" i="2" a="1"/>
  <c r="E51" i="2" s="1"/>
  <c r="D51" i="2" a="1"/>
  <c r="D51" i="2" s="1"/>
  <c r="C51" i="2" a="1"/>
  <c r="C51" i="2" s="1"/>
  <c r="V86" i="2" a="1"/>
  <c r="V86" i="2" s="1"/>
  <c r="U86" i="2" a="1"/>
  <c r="U86" i="2" s="1"/>
  <c r="T86" i="2" a="1"/>
  <c r="T86" i="2" s="1"/>
  <c r="S86" i="2" a="1"/>
  <c r="S86" i="2" s="1"/>
  <c r="R86" i="2" a="1"/>
  <c r="R86" i="2" s="1"/>
  <c r="Q86" i="2" a="1"/>
  <c r="Q86" i="2" s="1"/>
  <c r="P86" i="2" a="1"/>
  <c r="P86" i="2" s="1"/>
  <c r="O86" i="2" a="1"/>
  <c r="O86" i="2" s="1"/>
  <c r="N86" i="2" a="1"/>
  <c r="N86" i="2" s="1"/>
  <c r="M86" i="2" a="1"/>
  <c r="M86" i="2" s="1"/>
  <c r="L86" i="2" a="1"/>
  <c r="L86" i="2" s="1"/>
  <c r="K86" i="2" a="1"/>
  <c r="K86" i="2" s="1"/>
  <c r="J86" i="2" a="1"/>
  <c r="J86" i="2" s="1"/>
  <c r="I86" i="2" a="1"/>
  <c r="I86" i="2" s="1"/>
  <c r="H86" i="2" a="1"/>
  <c r="H86" i="2" s="1"/>
  <c r="G86" i="2" a="1"/>
  <c r="G86" i="2" s="1"/>
  <c r="F86" i="2" a="1"/>
  <c r="F86" i="2" s="1"/>
  <c r="E86" i="2" a="1"/>
  <c r="E86" i="2" s="1"/>
  <c r="D86" i="2" a="1"/>
  <c r="D86" i="2" s="1"/>
  <c r="C86" i="2" a="1"/>
  <c r="C86" i="2" s="1"/>
  <c r="V68" i="2" a="1"/>
  <c r="V68" i="2" s="1"/>
  <c r="U68" i="2" a="1"/>
  <c r="U68" i="2" s="1"/>
  <c r="T68" i="2" a="1"/>
  <c r="T68" i="2" s="1"/>
  <c r="S68" i="2" a="1"/>
  <c r="S68" i="2" s="1"/>
  <c r="R68" i="2" a="1"/>
  <c r="R68" i="2" s="1"/>
  <c r="Q68" i="2" a="1"/>
  <c r="Q68" i="2" s="1"/>
  <c r="P68" i="2" a="1"/>
  <c r="P68" i="2" s="1"/>
  <c r="O68" i="2" a="1"/>
  <c r="O68" i="2" s="1"/>
  <c r="N68" i="2" a="1"/>
  <c r="N68" i="2" s="1"/>
  <c r="M68" i="2" a="1"/>
  <c r="M68" i="2" s="1"/>
  <c r="L68" i="2" a="1"/>
  <c r="L68" i="2" s="1"/>
  <c r="K68" i="2" a="1"/>
  <c r="K68" i="2" s="1"/>
  <c r="J68" i="2" a="1"/>
  <c r="J68" i="2" s="1"/>
  <c r="I68" i="2" a="1"/>
  <c r="I68" i="2" s="1"/>
  <c r="H68" i="2" a="1"/>
  <c r="H68" i="2" s="1"/>
  <c r="G68" i="2" a="1"/>
  <c r="G68" i="2" s="1"/>
  <c r="F68" i="2" a="1"/>
  <c r="F68" i="2" s="1"/>
  <c r="E68" i="2" a="1"/>
  <c r="E68" i="2" s="1"/>
  <c r="D68" i="2" a="1"/>
  <c r="D68" i="2" s="1"/>
  <c r="C68" i="2" a="1"/>
  <c r="C68" i="2" s="1"/>
  <c r="V4" i="2" a="1"/>
  <c r="V4" i="2" s="1"/>
  <c r="U4" i="2" a="1"/>
  <c r="U4" i="2" s="1"/>
  <c r="T4" i="2" a="1"/>
  <c r="T4" i="2" s="1"/>
  <c r="S4" i="2" a="1"/>
  <c r="S4" i="2" s="1"/>
  <c r="R4" i="2" a="1"/>
  <c r="R4" i="2" s="1"/>
  <c r="Q4" i="2" a="1"/>
  <c r="Q4" i="2" s="1"/>
  <c r="P4" i="2" a="1"/>
  <c r="P4" i="2" s="1"/>
  <c r="O4" i="2" a="1"/>
  <c r="O4" i="2" s="1"/>
  <c r="N4" i="2" a="1"/>
  <c r="N4" i="2" s="1"/>
  <c r="M4" i="2" a="1"/>
  <c r="M4" i="2" s="1"/>
  <c r="L4" i="2" a="1"/>
  <c r="L4" i="2" s="1"/>
  <c r="K4" i="2" a="1"/>
  <c r="K4" i="2" s="1"/>
  <c r="J4" i="2" a="1"/>
  <c r="J4" i="2" s="1"/>
  <c r="I4" i="2" a="1"/>
  <c r="I4" i="2" s="1"/>
  <c r="H4" i="2" a="1"/>
  <c r="H4" i="2" s="1"/>
  <c r="G4" i="2" a="1"/>
  <c r="G4" i="2" s="1"/>
  <c r="F4" i="2" a="1"/>
  <c r="F4" i="2" s="1"/>
  <c r="E4" i="2" a="1"/>
  <c r="E4" i="2" s="1"/>
  <c r="D4" i="2" a="1"/>
  <c r="D4" i="2" s="1"/>
  <c r="C4" i="2" a="1"/>
  <c r="C4" i="2" s="1"/>
  <c r="V33" i="2" a="1"/>
  <c r="V33" i="2" s="1"/>
  <c r="U33" i="2" a="1"/>
  <c r="U33" i="2" s="1"/>
  <c r="T33" i="2" a="1"/>
  <c r="T33" i="2" s="1"/>
  <c r="S33" i="2" a="1"/>
  <c r="S33" i="2" s="1"/>
  <c r="R33" i="2" a="1"/>
  <c r="R33" i="2" s="1"/>
  <c r="Q33" i="2" a="1"/>
  <c r="Q33" i="2" s="1"/>
  <c r="P33" i="2" a="1"/>
  <c r="P33" i="2" s="1"/>
  <c r="O33" i="2" a="1"/>
  <c r="O33" i="2" s="1"/>
  <c r="N33" i="2" a="1"/>
  <c r="N33" i="2" s="1"/>
  <c r="M33" i="2" a="1"/>
  <c r="M33" i="2" s="1"/>
  <c r="L33" i="2" a="1"/>
  <c r="L33" i="2" s="1"/>
  <c r="K33" i="2" a="1"/>
  <c r="K33" i="2" s="1"/>
  <c r="J33" i="2" a="1"/>
  <c r="J33" i="2" s="1"/>
  <c r="I33" i="2" a="1"/>
  <c r="I33" i="2" s="1"/>
  <c r="H33" i="2" a="1"/>
  <c r="H33" i="2" s="1"/>
  <c r="G33" i="2" a="1"/>
  <c r="G33" i="2" s="1"/>
  <c r="F33" i="2" a="1"/>
  <c r="F33" i="2" s="1"/>
  <c r="E33" i="2" a="1"/>
  <c r="E33" i="2" s="1"/>
  <c r="D33" i="2" a="1"/>
  <c r="D33" i="2" s="1"/>
  <c r="C33" i="2" a="1"/>
  <c r="C33" i="2" s="1"/>
  <c r="V57" i="2" a="1"/>
  <c r="V57" i="2" s="1"/>
  <c r="U57" i="2" a="1"/>
  <c r="U57" i="2" s="1"/>
  <c r="T57" i="2" a="1"/>
  <c r="T57" i="2" s="1"/>
  <c r="S57" i="2" a="1"/>
  <c r="S57" i="2" s="1"/>
  <c r="R57" i="2" a="1"/>
  <c r="R57" i="2" s="1"/>
  <c r="Q57" i="2" a="1"/>
  <c r="Q57" i="2" s="1"/>
  <c r="P57" i="2" a="1"/>
  <c r="P57" i="2" s="1"/>
  <c r="O57" i="2" a="1"/>
  <c r="O57" i="2" s="1"/>
  <c r="N57" i="2" a="1"/>
  <c r="N57" i="2" s="1"/>
  <c r="M57" i="2" a="1"/>
  <c r="M57" i="2" s="1"/>
  <c r="L57" i="2" a="1"/>
  <c r="L57" i="2" s="1"/>
  <c r="K57" i="2" a="1"/>
  <c r="K57" i="2" s="1"/>
  <c r="J57" i="2" a="1"/>
  <c r="J57" i="2" s="1"/>
  <c r="I57" i="2" a="1"/>
  <c r="I57" i="2" s="1"/>
  <c r="H57" i="2" a="1"/>
  <c r="H57" i="2" s="1"/>
  <c r="G57" i="2" a="1"/>
  <c r="G57" i="2" s="1"/>
  <c r="F57" i="2" a="1"/>
  <c r="F57" i="2" s="1"/>
  <c r="E57" i="2" a="1"/>
  <c r="E57" i="2" s="1"/>
  <c r="D57" i="2" a="1"/>
  <c r="D57" i="2" s="1"/>
  <c r="C57" i="2" a="1"/>
  <c r="C57" i="2" s="1"/>
  <c r="V38" i="2" a="1"/>
  <c r="V38" i="2" s="1"/>
  <c r="U38" i="2" a="1"/>
  <c r="U38" i="2" s="1"/>
  <c r="T38" i="2" a="1"/>
  <c r="T38" i="2" s="1"/>
  <c r="S38" i="2" a="1"/>
  <c r="S38" i="2" s="1"/>
  <c r="R38" i="2" a="1"/>
  <c r="R38" i="2" s="1"/>
  <c r="Q38" i="2" a="1"/>
  <c r="Q38" i="2" s="1"/>
  <c r="P38" i="2" a="1"/>
  <c r="P38" i="2" s="1"/>
  <c r="O38" i="2" a="1"/>
  <c r="O38" i="2" s="1"/>
  <c r="N38" i="2" a="1"/>
  <c r="N38" i="2" s="1"/>
  <c r="M38" i="2" a="1"/>
  <c r="M38" i="2" s="1"/>
  <c r="L38" i="2" a="1"/>
  <c r="L38" i="2" s="1"/>
  <c r="K38" i="2" a="1"/>
  <c r="K38" i="2" s="1"/>
  <c r="J38" i="2" a="1"/>
  <c r="J38" i="2" s="1"/>
  <c r="I38" i="2" a="1"/>
  <c r="I38" i="2" s="1"/>
  <c r="H38" i="2" a="1"/>
  <c r="H38" i="2" s="1"/>
  <c r="G38" i="2" a="1"/>
  <c r="G38" i="2" s="1"/>
  <c r="F38" i="2" a="1"/>
  <c r="F38" i="2" s="1"/>
  <c r="E38" i="2" a="1"/>
  <c r="E38" i="2" s="1"/>
  <c r="D38" i="2" a="1"/>
  <c r="D38" i="2" s="1"/>
  <c r="C38" i="2" a="1"/>
  <c r="C38" i="2" s="1"/>
  <c r="V63" i="2" a="1"/>
  <c r="V63" i="2" s="1"/>
  <c r="U63" i="2" a="1"/>
  <c r="U63" i="2" s="1"/>
  <c r="T63" i="2" a="1"/>
  <c r="T63" i="2" s="1"/>
  <c r="S63" i="2" a="1"/>
  <c r="S63" i="2" s="1"/>
  <c r="R63" i="2" a="1"/>
  <c r="R63" i="2" s="1"/>
  <c r="Q63" i="2" a="1"/>
  <c r="Q63" i="2" s="1"/>
  <c r="P63" i="2" a="1"/>
  <c r="P63" i="2" s="1"/>
  <c r="O63" i="2" a="1"/>
  <c r="O63" i="2" s="1"/>
  <c r="N63" i="2" a="1"/>
  <c r="N63" i="2" s="1"/>
  <c r="M63" i="2" a="1"/>
  <c r="M63" i="2" s="1"/>
  <c r="L63" i="2" a="1"/>
  <c r="L63" i="2" s="1"/>
  <c r="K63" i="2" a="1"/>
  <c r="K63" i="2" s="1"/>
  <c r="J63" i="2" a="1"/>
  <c r="J63" i="2" s="1"/>
  <c r="I63" i="2" a="1"/>
  <c r="I63" i="2" s="1"/>
  <c r="H63" i="2" a="1"/>
  <c r="H63" i="2" s="1"/>
  <c r="G63" i="2" a="1"/>
  <c r="G63" i="2" s="1"/>
  <c r="F63" i="2" a="1"/>
  <c r="F63" i="2" s="1"/>
  <c r="E63" i="2" a="1"/>
  <c r="E63" i="2" s="1"/>
  <c r="D63" i="2" a="1"/>
  <c r="D63" i="2" s="1"/>
  <c r="C63" i="2" a="1"/>
  <c r="C63" i="2" s="1"/>
  <c r="D13" i="10" l="1"/>
  <c r="E13" i="10" s="1"/>
  <c r="J8" i="6"/>
  <c r="J4" i="6"/>
  <c r="J7" i="6"/>
  <c r="J3" i="6"/>
  <c r="J10" i="6"/>
  <c r="J6" i="6"/>
  <c r="J2" i="6"/>
  <c r="J9" i="6"/>
  <c r="J5" i="6"/>
  <c r="C2" i="6"/>
  <c r="C3" i="6"/>
  <c r="C4" i="6"/>
  <c r="C5" i="6"/>
  <c r="C6" i="6"/>
  <c r="C7" i="6"/>
  <c r="C8" i="6"/>
  <c r="C9" i="6"/>
  <c r="C10" i="6"/>
  <c r="L3" i="6" l="1"/>
  <c r="M3" i="6" s="1"/>
  <c r="N3" i="6" s="1"/>
  <c r="L7" i="6"/>
  <c r="M7" i="6" s="1"/>
  <c r="N7" i="6" s="1"/>
  <c r="L5" i="6"/>
  <c r="M5" i="6" s="1"/>
  <c r="N5" i="6" s="1"/>
  <c r="L8" i="6"/>
  <c r="M8" i="6" s="1"/>
  <c r="N8" i="6" s="1"/>
  <c r="L4" i="6"/>
  <c r="M4" i="6" s="1"/>
  <c r="N4" i="6" s="1"/>
  <c r="L10" i="6"/>
  <c r="M10" i="6" s="1"/>
  <c r="N10" i="6" s="1"/>
  <c r="L6" i="6"/>
  <c r="M6" i="6" s="1"/>
  <c r="N6" i="6" s="1"/>
  <c r="L2" i="6"/>
  <c r="M2" i="6" s="1"/>
  <c r="N2" i="6" s="1"/>
  <c r="L9" i="6"/>
  <c r="M9" i="6" s="1"/>
  <c r="N9" i="6"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1">
    <bk>
      <extLst>
        <ext uri="{3e2802c4-a4d2-4d8b-9148-e3be6c30e623}">
          <xlrd:rvb i="2"/>
        </ext>
      </extLst>
    </bk>
    <bk>
      <extLst>
        <ext uri="{3e2802c4-a4d2-4d8b-9148-e3be6c30e623}">
          <xlrd:rvb i="5"/>
        </ext>
      </extLst>
    </bk>
    <bk>
      <extLst>
        <ext uri="{3e2802c4-a4d2-4d8b-9148-e3be6c30e623}">
          <xlrd:rvb i="12"/>
        </ext>
      </extLst>
    </bk>
    <bk>
      <extLst>
        <ext uri="{3e2802c4-a4d2-4d8b-9148-e3be6c30e623}">
          <xlrd:rvb i="15"/>
        </ext>
      </extLst>
    </bk>
    <bk>
      <extLst>
        <ext uri="{3e2802c4-a4d2-4d8b-9148-e3be6c30e623}">
          <xlrd:rvb i="17"/>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4"/>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3"/>
        </ext>
      </extLst>
    </bk>
    <bk>
      <extLst>
        <ext uri="{3e2802c4-a4d2-4d8b-9148-e3be6c30e623}">
          <xlrd:rvb i="76"/>
        </ext>
      </extLst>
    </bk>
    <bk>
      <extLst>
        <ext uri="{3e2802c4-a4d2-4d8b-9148-e3be6c30e623}">
          <xlrd:rvb i="79"/>
        </ext>
      </extLst>
    </bk>
    <bk>
      <extLst>
        <ext uri="{3e2802c4-a4d2-4d8b-9148-e3be6c30e623}">
          <xlrd:rvb i="82"/>
        </ext>
      </extLst>
    </bk>
    <bk>
      <extLst>
        <ext uri="{3e2802c4-a4d2-4d8b-9148-e3be6c30e623}">
          <xlrd:rvb i="88"/>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8"/>
        </ext>
      </extLst>
    </bk>
    <bk>
      <extLst>
        <ext uri="{3e2802c4-a4d2-4d8b-9148-e3be6c30e623}">
          <xlrd:rvb i="155"/>
        </ext>
      </extLst>
    </bk>
    <bk>
      <extLst>
        <ext uri="{3e2802c4-a4d2-4d8b-9148-e3be6c30e623}">
          <xlrd:rvb i="158"/>
        </ext>
      </extLst>
    </bk>
    <bk>
      <extLst>
        <ext uri="{3e2802c4-a4d2-4d8b-9148-e3be6c30e623}">
          <xlrd:rvb i="161"/>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0"/>
        </ext>
      </extLst>
    </bk>
    <bk>
      <extLst>
        <ext uri="{3e2802c4-a4d2-4d8b-9148-e3be6c30e623}">
          <xlrd:rvb i="181"/>
        </ext>
      </extLst>
    </bk>
    <bk>
      <extLst>
        <ext uri="{3e2802c4-a4d2-4d8b-9148-e3be6c30e623}">
          <xlrd:rvb i="184"/>
        </ext>
      </extLst>
    </bk>
    <bk>
      <extLst>
        <ext uri="{3e2802c4-a4d2-4d8b-9148-e3be6c30e623}">
          <xlrd:rvb i="187"/>
        </ext>
      </extLst>
    </bk>
    <bk>
      <extLst>
        <ext uri="{3e2802c4-a4d2-4d8b-9148-e3be6c30e623}">
          <xlrd:rvb i="190"/>
        </ext>
      </extLst>
    </bk>
    <bk>
      <extLst>
        <ext uri="{3e2802c4-a4d2-4d8b-9148-e3be6c30e623}">
          <xlrd:rvb i="193"/>
        </ext>
      </extLst>
    </bk>
    <bk>
      <extLst>
        <ext uri="{3e2802c4-a4d2-4d8b-9148-e3be6c30e623}">
          <xlrd:rvb i="196"/>
        </ext>
      </extLst>
    </bk>
    <bk>
      <extLst>
        <ext uri="{3e2802c4-a4d2-4d8b-9148-e3be6c30e623}">
          <xlrd:rvb i="202"/>
        </ext>
      </extLst>
    </bk>
    <bk>
      <extLst>
        <ext uri="{3e2802c4-a4d2-4d8b-9148-e3be6c30e623}">
          <xlrd:rvb i="205"/>
        </ext>
      </extLst>
    </bk>
    <bk>
      <extLst>
        <ext uri="{3e2802c4-a4d2-4d8b-9148-e3be6c30e623}">
          <xlrd:rvb i="208"/>
        </ext>
      </extLst>
    </bk>
    <bk>
      <extLst>
        <ext uri="{3e2802c4-a4d2-4d8b-9148-e3be6c30e623}">
          <xlrd:rvb i="211"/>
        </ext>
      </extLst>
    </bk>
    <bk>
      <extLst>
        <ext uri="{3e2802c4-a4d2-4d8b-9148-e3be6c30e623}">
          <xlrd:rvb i="214"/>
        </ext>
      </extLst>
    </bk>
    <bk>
      <extLst>
        <ext uri="{3e2802c4-a4d2-4d8b-9148-e3be6c30e623}">
          <xlrd:rvb i="217"/>
        </ext>
      </extLst>
    </bk>
    <bk>
      <extLst>
        <ext uri="{3e2802c4-a4d2-4d8b-9148-e3be6c30e623}">
          <xlrd:rvb i="223"/>
        </ext>
      </extLst>
    </bk>
    <bk>
      <extLst>
        <ext uri="{3e2802c4-a4d2-4d8b-9148-e3be6c30e623}">
          <xlrd:rvb i="226"/>
        </ext>
      </extLst>
    </bk>
    <bk>
      <extLst>
        <ext uri="{3e2802c4-a4d2-4d8b-9148-e3be6c30e623}">
          <xlrd:rvb i="229"/>
        </ext>
      </extLst>
    </bk>
    <bk>
      <extLst>
        <ext uri="{3e2802c4-a4d2-4d8b-9148-e3be6c30e623}">
          <xlrd:rvb i="232"/>
        </ext>
      </extLst>
    </bk>
    <bk>
      <extLst>
        <ext uri="{3e2802c4-a4d2-4d8b-9148-e3be6c30e623}">
          <xlrd:rvb i="235"/>
        </ext>
      </extLst>
    </bk>
    <bk>
      <extLst>
        <ext uri="{3e2802c4-a4d2-4d8b-9148-e3be6c30e623}">
          <xlrd:rvb i="238"/>
        </ext>
      </extLst>
    </bk>
    <bk>
      <extLst>
        <ext uri="{3e2802c4-a4d2-4d8b-9148-e3be6c30e623}">
          <xlrd:rvb i="241"/>
        </ext>
      </extLst>
    </bk>
    <bk>
      <extLst>
        <ext uri="{3e2802c4-a4d2-4d8b-9148-e3be6c30e623}">
          <xlrd:rvb i="244"/>
        </ext>
      </extLst>
    </bk>
    <bk>
      <extLst>
        <ext uri="{3e2802c4-a4d2-4d8b-9148-e3be6c30e623}">
          <xlrd:rvb i="247"/>
        </ext>
      </extLst>
    </bk>
    <bk>
      <extLst>
        <ext uri="{3e2802c4-a4d2-4d8b-9148-e3be6c30e623}">
          <xlrd:rvb i="250"/>
        </ext>
      </extLst>
    </bk>
    <bk>
      <extLst>
        <ext uri="{3e2802c4-a4d2-4d8b-9148-e3be6c30e623}">
          <xlrd:rvb i="253"/>
        </ext>
      </extLst>
    </bk>
    <bk>
      <extLst>
        <ext uri="{3e2802c4-a4d2-4d8b-9148-e3be6c30e623}">
          <xlrd:rvb i="256"/>
        </ext>
      </extLst>
    </bk>
    <bk>
      <extLst>
        <ext uri="{3e2802c4-a4d2-4d8b-9148-e3be6c30e623}">
          <xlrd:rvb i="259"/>
        </ext>
      </extLst>
    </bk>
    <bk>
      <extLst>
        <ext uri="{3e2802c4-a4d2-4d8b-9148-e3be6c30e623}">
          <xlrd:rvb i="261"/>
        </ext>
      </extLst>
    </bk>
    <bk>
      <extLst>
        <ext uri="{3e2802c4-a4d2-4d8b-9148-e3be6c30e623}">
          <xlrd:rvb i="264"/>
        </ext>
      </extLst>
    </bk>
    <bk>
      <extLst>
        <ext uri="{3e2802c4-a4d2-4d8b-9148-e3be6c30e623}">
          <xlrd:rvb i="267"/>
        </ext>
      </extLst>
    </bk>
    <bk>
      <extLst>
        <ext uri="{3e2802c4-a4d2-4d8b-9148-e3be6c30e623}">
          <xlrd:rvb i="270"/>
        </ext>
      </extLst>
    </bk>
    <bk>
      <extLst>
        <ext uri="{3e2802c4-a4d2-4d8b-9148-e3be6c30e623}">
          <xlrd:rvb i="273"/>
        </ext>
      </extLst>
    </bk>
    <bk>
      <extLst>
        <ext uri="{3e2802c4-a4d2-4d8b-9148-e3be6c30e623}">
          <xlrd:rvb i="276"/>
        </ext>
      </extLst>
    </bk>
    <bk>
      <extLst>
        <ext uri="{3e2802c4-a4d2-4d8b-9148-e3be6c30e623}">
          <xlrd:rvb i="279"/>
        </ext>
      </extLst>
    </bk>
    <bk>
      <extLst>
        <ext uri="{3e2802c4-a4d2-4d8b-9148-e3be6c30e623}">
          <xlrd:rvb i="282"/>
        </ext>
      </extLst>
    </bk>
    <bk>
      <extLst>
        <ext uri="{3e2802c4-a4d2-4d8b-9148-e3be6c30e623}">
          <xlrd:rvb i="284"/>
        </ext>
      </extLst>
    </bk>
    <bk>
      <extLst>
        <ext uri="{3e2802c4-a4d2-4d8b-9148-e3be6c30e623}">
          <xlrd:rvb i="287"/>
        </ext>
      </extLst>
    </bk>
    <bk>
      <extLst>
        <ext uri="{3e2802c4-a4d2-4d8b-9148-e3be6c30e623}">
          <xlrd:rvb i="290"/>
        </ext>
      </extLst>
    </bk>
    <bk>
      <extLst>
        <ext uri="{3e2802c4-a4d2-4d8b-9148-e3be6c30e623}">
          <xlrd:rvb i="293"/>
        </ext>
      </extLst>
    </bk>
    <bk>
      <extLst>
        <ext uri="{3e2802c4-a4d2-4d8b-9148-e3be6c30e623}">
          <xlrd:rvb i="296"/>
        </ext>
      </extLst>
    </bk>
    <bk>
      <extLst>
        <ext uri="{3e2802c4-a4d2-4d8b-9148-e3be6c30e623}">
          <xlrd:rvb i="299"/>
        </ext>
      </extLst>
    </bk>
    <bk>
      <extLst>
        <ext uri="{3e2802c4-a4d2-4d8b-9148-e3be6c30e623}">
          <xlrd:rvb i="302"/>
        </ext>
      </extLst>
    </bk>
    <bk>
      <extLst>
        <ext uri="{3e2802c4-a4d2-4d8b-9148-e3be6c30e623}">
          <xlrd:rvb i="305"/>
        </ext>
      </extLst>
    </bk>
    <bk>
      <extLst>
        <ext uri="{3e2802c4-a4d2-4d8b-9148-e3be6c30e623}">
          <xlrd:rvb i="307"/>
        </ext>
      </extLst>
    </bk>
  </futureMetadata>
  <cellMetadata count="1">
    <bk>
      <rc t="1" v="0"/>
    </bk>
  </cellMetadata>
  <valueMetadata count="10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valueMetadata>
</metadata>
</file>

<file path=xl/sharedStrings.xml><?xml version="1.0" encoding="utf-8"?>
<sst xmlns="http://schemas.openxmlformats.org/spreadsheetml/2006/main" count="1963" uniqueCount="618">
  <si>
    <t>collected_timestamp</t>
  </si>
  <si>
    <t>date</t>
  </si>
  <si>
    <t>source</t>
  </si>
  <si>
    <t>symbol</t>
  </si>
  <si>
    <t>trade_currency</t>
  </si>
  <si>
    <t>stock_price</t>
  </si>
  <si>
    <t>pe_ratio</t>
  </si>
  <si>
    <t>beta</t>
  </si>
  <si>
    <t>market_cap</t>
  </si>
  <si>
    <t>industry</t>
  </si>
  <si>
    <t>YahooFinance</t>
  </si>
  <si>
    <t>PATH</t>
  </si>
  <si>
    <t>USD</t>
  </si>
  <si>
    <t>Software - Infrastructure</t>
  </si>
  <si>
    <t>INOD</t>
  </si>
  <si>
    <t>Information Technology Services</t>
  </si>
  <si>
    <t>NOW</t>
  </si>
  <si>
    <t>Software - Application</t>
  </si>
  <si>
    <t>FIVN</t>
  </si>
  <si>
    <t>ADBE</t>
  </si>
  <si>
    <t>QLYS</t>
  </si>
  <si>
    <t>SWKS</t>
  </si>
  <si>
    <t>Semiconductors</t>
  </si>
  <si>
    <t>MSFT</t>
  </si>
  <si>
    <t>APP</t>
  </si>
  <si>
    <t>Advertising Agencies</t>
  </si>
  <si>
    <t>DDOG</t>
  </si>
  <si>
    <t>ALAB</t>
  </si>
  <si>
    <t>SNDK</t>
  </si>
  <si>
    <t>Computer Hardware</t>
  </si>
  <si>
    <t>SCHW</t>
  </si>
  <si>
    <t>Capital Markets</t>
  </si>
  <si>
    <t>SGE.L</t>
  </si>
  <si>
    <t>GBp</t>
  </si>
  <si>
    <t>IBM</t>
  </si>
  <si>
    <t>AAPL</t>
  </si>
  <si>
    <t>Consumer Electronics</t>
  </si>
  <si>
    <t>KO</t>
  </si>
  <si>
    <t>Beverages - Non-Alcoholic</t>
  </si>
  <si>
    <t>AMBA</t>
  </si>
  <si>
    <t>Semiconductor Equipment &amp; Materials</t>
  </si>
  <si>
    <t>META</t>
  </si>
  <si>
    <t>Internet Content &amp; Information</t>
  </si>
  <si>
    <t>SOUN</t>
  </si>
  <si>
    <t>ORCL</t>
  </si>
  <si>
    <t>GOOG</t>
  </si>
  <si>
    <t>AMZN</t>
  </si>
  <si>
    <t>Internet Retail</t>
  </si>
  <si>
    <t>MRVL</t>
  </si>
  <si>
    <t>ENVX</t>
  </si>
  <si>
    <t>Electrical Equipment &amp; Parts</t>
  </si>
  <si>
    <t>TSM</t>
  </si>
  <si>
    <t>TEM</t>
  </si>
  <si>
    <t>Health Information Services</t>
  </si>
  <si>
    <t>AVGO</t>
  </si>
  <si>
    <t>SKYT</t>
  </si>
  <si>
    <t>AI</t>
  </si>
  <si>
    <t>ANET</t>
  </si>
  <si>
    <t>PLAB</t>
  </si>
  <si>
    <t>NVDA</t>
  </si>
  <si>
    <t>HOOD</t>
  </si>
  <si>
    <t>LPTH</t>
  </si>
  <si>
    <t>Electronic Components</t>
  </si>
  <si>
    <t>AMD</t>
  </si>
  <si>
    <t>TSLA</t>
  </si>
  <si>
    <t>Auto Manufacturers</t>
  </si>
  <si>
    <t>ASML</t>
  </si>
  <si>
    <t>MU</t>
  </si>
  <si>
    <t>BBAI</t>
  </si>
  <si>
    <t>CRDO</t>
  </si>
  <si>
    <t>CRWV</t>
  </si>
  <si>
    <t>INTC</t>
  </si>
  <si>
    <t>SMCI</t>
  </si>
  <si>
    <t>AAOI</t>
  </si>
  <si>
    <t>Communication Equipment</t>
  </si>
  <si>
    <t>AEHR</t>
  </si>
  <si>
    <t>LWLG</t>
  </si>
  <si>
    <t>Specialty Chemicals</t>
  </si>
  <si>
    <t>ARM</t>
  </si>
  <si>
    <t>IONQ</t>
  </si>
  <si>
    <t>POET</t>
  </si>
  <si>
    <t>TEST</t>
  </si>
  <si>
    <t>trade_date</t>
  </si>
  <si>
    <t>account</t>
  </si>
  <si>
    <t>action</t>
  </si>
  <si>
    <t>quantity</t>
  </si>
  <si>
    <t>trade_price</t>
  </si>
  <si>
    <t>fees</t>
  </si>
  <si>
    <t>fx_rate_to_gbp</t>
  </si>
  <si>
    <t>notes</t>
  </si>
  <si>
    <t>BUY</t>
  </si>
  <si>
    <t>GBP</t>
  </si>
  <si>
    <t>IBKR</t>
  </si>
  <si>
    <t>StockName</t>
  </si>
  <si>
    <t>LastTradeTime</t>
  </si>
  <si>
    <t>TradeCurrency</t>
  </si>
  <si>
    <t>StockPrice</t>
  </si>
  <si>
    <t>ChangePercent</t>
  </si>
  <si>
    <t>Change</t>
  </si>
  <si>
    <t>P/E</t>
  </si>
  <si>
    <t>Beta</t>
  </si>
  <si>
    <t>52WkHigh</t>
  </si>
  <si>
    <t>52WkLow</t>
  </si>
  <si>
    <t>DayHigh</t>
  </si>
  <si>
    <t>DayLow</t>
  </si>
  <si>
    <t>Open</t>
  </si>
  <si>
    <t>PreviousClose</t>
  </si>
  <si>
    <t>Volume</t>
  </si>
  <si>
    <t>AverageVolume</t>
  </si>
  <si>
    <t>YearIncorported</t>
  </si>
  <si>
    <t>Employees</t>
  </si>
  <si>
    <t>Industry</t>
  </si>
  <si>
    <t>MarketCap</t>
  </si>
  <si>
    <t>SharesOutstanding</t>
  </si>
  <si>
    <t>50SMA</t>
  </si>
  <si>
    <t>100SMA</t>
  </si>
  <si>
    <t>150SMA</t>
  </si>
  <si>
    <t>200SMA</t>
  </si>
  <si>
    <t>EMA</t>
  </si>
  <si>
    <t>RSI</t>
  </si>
  <si>
    <t>MACD</t>
  </si>
  <si>
    <t>UpperBB</t>
  </si>
  <si>
    <t>LowerBB</t>
  </si>
  <si>
    <t>Field</t>
  </si>
  <si>
    <t>Meaning</t>
  </si>
  <si>
    <t>Example</t>
  </si>
  <si>
    <t>Date trade executed</t>
  </si>
  <si>
    <t>Which broker/account</t>
  </si>
  <si>
    <t>Stock ticker</t>
  </si>
  <si>
    <t>BUY or SELL</t>
  </si>
  <si>
    <t>Number of shares</t>
  </si>
  <si>
    <t>Currency stock trades in</t>
  </si>
  <si>
    <t>Price PER share in trade currency</t>
  </si>
  <si>
    <t>Broker commission in trade currency</t>
  </si>
  <si>
    <t>FX conversion rate at trade time</t>
  </si>
  <si>
    <t>Free text notes</t>
  </si>
  <si>
    <t>Swing trade</t>
  </si>
  <si>
    <t>SNOW</t>
  </si>
  <si>
    <t>MDB</t>
  </si>
  <si>
    <t>NET</t>
  </si>
  <si>
    <t>CSCO</t>
  </si>
  <si>
    <t>DELL</t>
  </si>
  <si>
    <t>CRWD</t>
  </si>
  <si>
    <t>PANW</t>
  </si>
  <si>
    <t>ZS</t>
  </si>
  <si>
    <t>FTNT</t>
  </si>
  <si>
    <t>SYM</t>
  </si>
  <si>
    <t>ROK</t>
  </si>
  <si>
    <t>VRT</t>
  </si>
  <si>
    <t>ETN</t>
  </si>
  <si>
    <t>CEG</t>
  </si>
  <si>
    <t>SMR</t>
  </si>
  <si>
    <t>SPY</t>
  </si>
  <si>
    <t>QQQ</t>
  </si>
  <si>
    <t>SMH</t>
  </si>
  <si>
    <t>SOXX</t>
  </si>
  <si>
    <t>ARKK</t>
  </si>
  <si>
    <t>IWM</t>
  </si>
  <si>
    <t>Curated AI / Tech / Infrastructure Watchlist</t>
  </si>
  <si>
    <t>NOT:</t>
  </si>
  <si>
    <t>random meme stocks</t>
  </si>
  <si>
    <t>over-diversified noise</t>
  </si>
  <si>
    <t>You want:</t>
  </si>
  <si>
    <t>innovation leaders</t>
  </si>
  <si>
    <t>infrastructure providers</t>
  </si>
  <si>
    <t>picks-and-shovels companies</t>
  </si>
  <si>
    <t>market leaders</t>
  </si>
  <si>
    <t>ecosystem exposure</t>
  </si>
  <si>
    <t>That creates MUCH better long-term datasets.</t>
  </si>
  <si>
    <t>STRUCTURE I RECOMMEND</t>
  </si>
  <si>
    <t>Your watchlist should include:</t>
  </si>
  <si>
    <t>Category</t>
  </si>
  <si>
    <t>Purpose</t>
  </si>
  <si>
    <t>AI Compute</t>
  </si>
  <si>
    <t>foundational infrastructure</t>
  </si>
  <si>
    <t>core AI supply chain</t>
  </si>
  <si>
    <t>Hyperscalers</t>
  </si>
  <si>
    <t>AI deployment</t>
  </si>
  <si>
    <t>Networking</t>
  </si>
  <si>
    <t>AI bandwidth</t>
  </si>
  <si>
    <t>Data Platforms</t>
  </si>
  <si>
    <t>enterprise AI</t>
  </si>
  <si>
    <t>Cybersecurity</t>
  </si>
  <si>
    <t>AI-era security</t>
  </si>
  <si>
    <t>Robotics</t>
  </si>
  <si>
    <t>physical AI</t>
  </si>
  <si>
    <t>Quantum</t>
  </si>
  <si>
    <t>optional future layer</t>
  </si>
  <si>
    <t>Energy/Grid</t>
  </si>
  <si>
    <t>AI power demand</t>
  </si>
  <si>
    <t>Market ETFs</t>
  </si>
  <si>
    <t>regime context</t>
  </si>
  <si>
    <t>This creates:</t>
  </si>
  <si>
    <t>contextual market intelligence</t>
  </si>
  <si>
    <t>ML feature richness later</t>
  </si>
  <si>
    <t>VERY important.</t>
  </si>
  <si>
    <t>MY HIGH-CONVICTION WATCHLIST</t>
  </si>
  <si>
    <t>AI COMPUTE / LEADERS</t>
  </si>
  <si>
    <t>Ticker</t>
  </si>
  <si>
    <t>Company</t>
  </si>
  <si>
    <t>NVIDIA</t>
  </si>
  <si>
    <t>Broadcom</t>
  </si>
  <si>
    <t>Taiwan Semiconductor</t>
  </si>
  <si>
    <t>Micron</t>
  </si>
  <si>
    <t>ARM Holdings</t>
  </si>
  <si>
    <t>These are arguably:</t>
  </si>
  <si>
    <t>the AI industrial backbone.</t>
  </si>
  <si>
    <t>AI SOFTWARE / PLATFORMS</t>
  </si>
  <si>
    <t>PLTR</t>
  </si>
  <si>
    <t>Palantir</t>
  </si>
  <si>
    <t>Snowflake</t>
  </si>
  <si>
    <t>C3AI</t>
  </si>
  <si>
    <t>C3.ai</t>
  </si>
  <si>
    <t>MongoDB</t>
  </si>
  <si>
    <t>Datadog</t>
  </si>
  <si>
    <t>Cloudflare</t>
  </si>
  <si>
    <t>These help you observe:</t>
  </si>
  <si>
    <t>enterprise AI adoption</t>
  </si>
  <si>
    <t>data infrastructure evolution</t>
  </si>
  <si>
    <t>HYPERSCALERS</t>
  </si>
  <si>
    <t>Microsoft</t>
  </si>
  <si>
    <t>GOOGL</t>
  </si>
  <si>
    <t>Alphabet</t>
  </si>
  <si>
    <t>Amazon</t>
  </si>
  <si>
    <t>Meta</t>
  </si>
  <si>
    <t>These are:</t>
  </si>
  <si>
    <t>AI deployment engines.</t>
  </si>
  <si>
    <t>NETWORKING / AI INFRASTRUCTURE</t>
  </si>
  <si>
    <t>Arista Networks</t>
  </si>
  <si>
    <t>Cisco</t>
  </si>
  <si>
    <t>Marvell</t>
  </si>
  <si>
    <t>Dell</t>
  </si>
  <si>
    <t>VERY important for:</t>
  </si>
  <si>
    <t>data-center scaling.</t>
  </si>
  <si>
    <t>CYBERSECURITY</t>
  </si>
  <si>
    <t>CrowdStrike</t>
  </si>
  <si>
    <t>Palo Alto Networks</t>
  </si>
  <si>
    <t>Zscaler</t>
  </si>
  <si>
    <t>Fortinet</t>
  </si>
  <si>
    <t>This sector matters enormously long-term.</t>
  </si>
  <si>
    <t>ROBOTICS / AUTOMATION</t>
  </si>
  <si>
    <t>Tesla</t>
  </si>
  <si>
    <t>Symbotic</t>
  </si>
  <si>
    <t>Rockwell Automation</t>
  </si>
  <si>
    <t>Physical AI is likely:</t>
  </si>
  <si>
    <t>massively underestimated.</t>
  </si>
  <si>
    <t>ENERGY / GRID / AI POWER DEMAND</t>
  </si>
  <si>
    <t>VERY important and often ignored.</t>
  </si>
  <si>
    <t>Vertiv</t>
  </si>
  <si>
    <t>Eaton</t>
  </si>
  <si>
    <t>Constellation Energy</t>
  </si>
  <si>
    <t>NuScale Power</t>
  </si>
  <si>
    <t>AI power demand may become:</t>
  </si>
  <si>
    <t>one of the biggest investment themes.</t>
  </si>
  <si>
    <t>MARKET CONTEXT ETFs</t>
  </si>
  <si>
    <t>VERY important for ML later.</t>
  </si>
  <si>
    <t>S&amp;P 500</t>
  </si>
  <si>
    <t>Nasdaq</t>
  </si>
  <si>
    <t>Semiconductor ETF</t>
  </si>
  <si>
    <t>Innovation sentiment</t>
  </si>
  <si>
    <t>Small caps</t>
  </si>
  <si>
    <t>These are EXTREMELY valuable for:</t>
  </si>
  <si>
    <t>regime analysis</t>
  </si>
  <si>
    <t>relative strength</t>
  </si>
  <si>
    <t>ML features</t>
  </si>
  <si>
    <t>VERY IMPORTANT ML OBSERVATION</t>
  </si>
  <si>
    <t>Long-term:</t>
  </si>
  <si>
    <t>your best signals may NOT come from:</t>
  </si>
  <si>
    <t>individual stocks</t>
  </si>
  <si>
    <t>but from:</t>
  </si>
  <si>
    <t>relationships between assets</t>
  </si>
  <si>
    <t>Example:</t>
  </si>
  <si>
    <t>Relationship</t>
  </si>
  <si>
    <t>Insight</t>
  </si>
  <si>
    <t>NVDA vs SMH</t>
  </si>
  <si>
    <t>leadership</t>
  </si>
  <si>
    <t>QQQ vs IWM</t>
  </si>
  <si>
    <t>risk appetite</t>
  </si>
  <si>
    <t>VIX vs SOXX</t>
  </si>
  <si>
    <t>fear vs AI</t>
  </si>
  <si>
    <t>GBPUSD vs FTSE</t>
  </si>
  <si>
    <t>macro</t>
  </si>
  <si>
    <t>Gold vs Nasdaq</t>
  </si>
  <si>
    <t>regime</t>
  </si>
  <si>
    <t>That’s where:</t>
  </si>
  <si>
    <t>real intelligence starts emerging.</t>
  </si>
  <si>
    <t>MY STRONGEST RECOMMENDATION</t>
  </si>
  <si>
    <t>If you want:</t>
  </si>
  <si>
    <t>high-quality datasets</t>
  </si>
  <si>
    <t>meaningful market learning</t>
  </si>
  <si>
    <t>future ML usefulness</t>
  </si>
  <si>
    <t>Then focus on:</t>
  </si>
  <si>
    <t>Priority</t>
  </si>
  <si>
    <t>Area</t>
  </si>
  <si>
    <t>#1</t>
  </si>
  <si>
    <t>#2</t>
  </si>
  <si>
    <t>AI infrastructure</t>
  </si>
  <si>
    <t>#3</t>
  </si>
  <si>
    <t>#4</t>
  </si>
  <si>
    <t>Macro ETFs</t>
  </si>
  <si>
    <t>#5</t>
  </si>
  <si>
    <t>Energy/grid demand</t>
  </si>
  <si>
    <t>ON</t>
  </si>
  <si>
    <t>KLAC</t>
  </si>
  <si>
    <t>CDNS</t>
  </si>
  <si>
    <t>SNPS</t>
  </si>
  <si>
    <t>TER</t>
  </si>
  <si>
    <t>WDAY</t>
  </si>
  <si>
    <t>TWLO</t>
  </si>
  <si>
    <t>DT</t>
  </si>
  <si>
    <t>RXRX</t>
  </si>
  <si>
    <t>S</t>
  </si>
  <si>
    <t>Symbol</t>
  </si>
  <si>
    <t>TotalBought</t>
  </si>
  <si>
    <t>TotalSold</t>
  </si>
  <si>
    <t>NetPosition</t>
  </si>
  <si>
    <t>AvgCost</t>
  </si>
  <si>
    <t>AvgBuyCost</t>
  </si>
  <si>
    <t>FXRate</t>
  </si>
  <si>
    <t>MarketValue</t>
  </si>
  <si>
    <t>P&amp;L</t>
  </si>
  <si>
    <t>P&amp;LPercent</t>
  </si>
  <si>
    <t>IWEB</t>
  </si>
  <si>
    <t>Milestone 10 — Step-by-Step Build Plan</t>
  </si>
  <si>
    <t>Step 10.1 — Build PRICE_HISTORY Sheet</t>
  </si>
  <si>
    <t>Create sheet:</t>
  </si>
  <si>
    <t>PRICE_HISTORY</t>
  </si>
  <si>
    <t>Columns:</t>
  </si>
  <si>
    <t>A</t>
  </si>
  <si>
    <t>B</t>
  </si>
  <si>
    <t>C</t>
  </si>
  <si>
    <t>Date</t>
  </si>
  <si>
    <t>Close</t>
  </si>
  <si>
    <t>Goal</t>
  </si>
  <si>
    <t>This becomes:</t>
  </si>
  <si>
    <t>the source for all indicators</t>
  </si>
  <si>
    <t>reusable for every stock</t>
  </si>
  <si>
    <t>future-proof for Python/ML</t>
  </si>
  <si>
    <t>Step 10.2 — Add Current Price to HOLDINGS</t>
  </si>
  <si>
    <r>
      <t xml:space="preserve">In </t>
    </r>
    <r>
      <rPr>
        <sz val="10"/>
        <color theme="1"/>
        <rFont val="Arial Unicode MS"/>
      </rPr>
      <t>HOLDINGS</t>
    </r>
    <r>
      <rPr>
        <sz val="11"/>
        <color theme="1"/>
        <rFont val="Aptos Narrow"/>
        <family val="2"/>
        <scheme val="minor"/>
      </rPr>
      <t xml:space="preserve"> add:</t>
    </r>
  </si>
  <si>
    <t>Shares</t>
  </si>
  <si>
    <t>Avg Cost</t>
  </si>
  <si>
    <t>Current Price</t>
  </si>
  <si>
    <t>For now you can:</t>
  </si>
  <si>
    <t>enter prices manually</t>
  </si>
  <si>
    <t>or use STOCKHISTORY / STOCKDATA if Excel supports it</t>
  </si>
  <si>
    <t>Step 10.3 — Add MA10</t>
  </si>
  <si>
    <t>Add new column:</t>
  </si>
  <si>
    <t>| MA10 |</t>
  </si>
  <si>
    <t>Formula concept:</t>
  </si>
  <si>
    <t>MA10=last 10 closes10MA_{10}=\frac{\text{last 10 closes}}{10}MA10​=10last 10 closes​</t>
  </si>
  <si>
    <t>MA10=∑i=110Pi10MA_{10}=\frac{\sum_{i=1}^{10}P_i}{10}MA10​=10∑i=110​Pi​​</t>
  </si>
  <si>
    <t>Simple Excel Formula</t>
  </si>
  <si>
    <t>If your last 10 prices are in:</t>
  </si>
  <si>
    <t>C2:C11</t>
  </si>
  <si>
    <t>Then:</t>
  </si>
  <si>
    <t>Verify:</t>
  </si>
  <si>
    <t>formula works</t>
  </si>
  <si>
    <t>updates correctly</t>
  </si>
  <si>
    <t>no errors</t>
  </si>
  <si>
    <t>Only then continue.</t>
  </si>
  <si>
    <t>Step 10.4 — Add MA20 / MA50 / MA200</t>
  </si>
  <si>
    <t>Repeat same pattern.</t>
  </si>
  <si>
    <t>| MA20 | MA50 | MA200 |</t>
  </si>
  <si>
    <t>MA</t>
  </si>
  <si>
    <t>MA10</t>
  </si>
  <si>
    <t>Short-term momentum</t>
  </si>
  <si>
    <t>MA20</t>
  </si>
  <si>
    <t>Swing trend</t>
  </si>
  <si>
    <t>MA50</t>
  </si>
  <si>
    <t>Medium trend</t>
  </si>
  <si>
    <t>MA200</t>
  </si>
  <si>
    <t>Long-term trend</t>
  </si>
  <si>
    <t>Step 10.5 — Add Trend Signal</t>
  </si>
  <si>
    <t>Now the dashboard becomes intelligent.</t>
  </si>
  <si>
    <t>Step 10.6 — Build RSI Helper Columns</t>
  </si>
  <si>
    <r>
      <t xml:space="preserve">In </t>
    </r>
    <r>
      <rPr>
        <sz val="10"/>
        <color theme="1"/>
        <rFont val="Arial Unicode MS"/>
      </rPr>
      <t>PRICE_HISTORY</t>
    </r>
    <r>
      <rPr>
        <sz val="11"/>
        <color theme="1"/>
        <rFont val="Aptos Narrow"/>
        <family val="2"/>
        <scheme val="minor"/>
      </rPr>
      <t xml:space="preserve"> add:</t>
    </r>
  </si>
  <si>
    <t>| Change | Gain | Loss |</t>
  </si>
  <si>
    <t>Gain</t>
  </si>
  <si>
    <t>Loss</t>
  </si>
  <si>
    <t>Step 10.7 — Calculate RSI14</t>
  </si>
  <si>
    <t>Formula:</t>
  </si>
  <si>
    <t>RSI=100−1001+RSRSI=100-\frac{100}{1+RS}RSI=100−1+RS100​</t>
  </si>
  <si>
    <t>Steps</t>
  </si>
  <si>
    <t>Average Gain</t>
  </si>
  <si>
    <t>Average Loss</t>
  </si>
  <si>
    <t>RS</t>
  </si>
  <si>
    <t>Step 10.8 — Add RSI Signal</t>
  </si>
  <si>
    <t>Step 10.9 — Add Bollinger Bands</t>
  </si>
  <si>
    <t>BBupper=MA20+2σBB_{upper}=MA_{20}+2\sigmaBBupper​=MA20​+2σ</t>
  </si>
  <si>
    <t>BBlower=MA20−2σBB_{lower}=MA_{20}-2\sigmaBBlower​=MA20​−2σ</t>
  </si>
  <si>
    <t>Calculate MA20</t>
  </si>
  <si>
    <t>Std Dev</t>
  </si>
  <si>
    <t>Upper</t>
  </si>
  <si>
    <t>Lower</t>
  </si>
  <si>
    <t>USD/GBP</t>
  </si>
  <si>
    <t>I think the BEST next step is:</t>
  </si>
  <si>
    <t>M12 — Disposal Simulation Engine</t>
  </si>
  <si>
    <t>Why THIS Is The Highest Leverage Feature</t>
  </si>
  <si>
    <t>Because now you can answer:</t>
  </si>
  <si>
    <t>Question</t>
  </si>
  <si>
    <t>“If I sell 50 NVDA today…”</t>
  </si>
  <si>
    <t>projected CGT</t>
  </si>
  <si>
    <t>“Which shares should I sell?”</t>
  </si>
  <si>
    <t>tax optimisation</t>
  </si>
  <si>
    <t>“Can I realise gains tax-free?”</t>
  </si>
  <si>
    <t>allowance planning</t>
  </si>
  <si>
    <t>“What disposal minimises CGT?”</t>
  </si>
  <si>
    <t>alpha</t>
  </si>
  <si>
    <t>“How much unrealised gain exists?”</t>
  </si>
  <si>
    <t>exposure</t>
  </si>
  <si>
    <t>decision intelligence</t>
  </si>
  <si>
    <t>Why</t>
  </si>
  <si>
    <t>Do the rankings “feel right”?</t>
  </si>
  <si>
    <t>intuition validation</t>
  </si>
  <si>
    <t>Are low-tax positions ranking highly?</t>
  </si>
  <si>
    <t>tax efficiency</t>
  </si>
  <si>
    <t>Are oversized positions penalised?</t>
  </si>
  <si>
    <t>concentration</t>
  </si>
  <si>
    <t>Are older positions preferred?</t>
  </si>
  <si>
    <t>holding conviction</t>
  </si>
  <si>
    <t>Why The AI Scores Make Sense</t>
  </si>
  <si>
    <t>Factor</t>
  </si>
  <si>
    <t>LWLG Outcome</t>
  </si>
  <si>
    <t>Tax score</t>
  </si>
  <si>
    <t>1.0 (excellent to sell)</t>
  </si>
  <si>
    <t>Risk score</t>
  </si>
  <si>
    <t>low</t>
  </si>
  <si>
    <t>Holding score</t>
  </si>
  <si>
    <t>AI score</t>
  </si>
  <si>
    <t>strong overall sell candidate</t>
  </si>
  <si>
    <t>Your weighting system is behaving rationally.</t>
  </si>
  <si>
    <t>SELL OPTIMISER</t>
  </si>
  <si>
    <t>Indicator</t>
  </si>
  <si>
    <t>VIX</t>
  </si>
  <si>
    <t>market fear</t>
  </si>
  <si>
    <t>US10Y Treasury</t>
  </si>
  <si>
    <t>rates environment</t>
  </si>
  <si>
    <t>DXY</t>
  </si>
  <si>
    <t>dollar strength</t>
  </si>
  <si>
    <t>broad market trend</t>
  </si>
  <si>
    <t>growth/risk sentiment</t>
  </si>
  <si>
    <t>Gold</t>
  </si>
  <si>
    <t>risk-off signal</t>
  </si>
  <si>
    <t>BTC</t>
  </si>
  <si>
    <t>speculative appetite</t>
  </si>
  <si>
    <t>IKBR</t>
  </si>
  <si>
    <t>IREN</t>
  </si>
  <si>
    <t>MSTR</t>
  </si>
  <si>
    <t>NOK</t>
  </si>
  <si>
    <t>ONDS</t>
  </si>
  <si>
    <t>CRM</t>
  </si>
  <si>
    <t>QCOM</t>
  </si>
  <si>
    <t>ASSET_VALUE_GBP</t>
  </si>
  <si>
    <t>Total</t>
  </si>
  <si>
    <t>ASSET_COST_GBP</t>
  </si>
  <si>
    <t>AVAILABLE</t>
  </si>
  <si>
    <t>Portfolio_Value</t>
  </si>
  <si>
    <t>Unreal_Profit/loss</t>
  </si>
  <si>
    <t>Real_Profit/loss</t>
  </si>
  <si>
    <t>?</t>
  </si>
  <si>
    <t>Net_Value</t>
  </si>
  <si>
    <t>-----------------------------------------------------------</t>
  </si>
  <si>
    <r>
      <t xml:space="preserve">1. </t>
    </r>
    <r>
      <rPr>
        <b/>
        <sz val="10"/>
        <color theme="1"/>
        <rFont val="Arial Unicode MS"/>
      </rPr>
      <t>RISK_ON</t>
    </r>
    <r>
      <rPr>
        <b/>
        <sz val="24"/>
        <color theme="1"/>
        <rFont val="Aptos Narrow"/>
        <family val="2"/>
        <scheme val="minor"/>
      </rPr>
      <t xml:space="preserve"> / </t>
    </r>
    <r>
      <rPr>
        <b/>
        <sz val="10"/>
        <color theme="1"/>
        <rFont val="Arial Unicode MS"/>
      </rPr>
      <t>RISK_OFF</t>
    </r>
  </si>
  <si>
    <t>This is:</t>
  </si>
  <si>
    <t>macro market regime</t>
  </si>
  <si>
    <t>Meaning:</t>
  </si>
  <si>
    <t>What kind of environment is the market in?</t>
  </si>
  <si>
    <t>RISK_ON</t>
  </si>
  <si>
    <t>Means markets are generally:</t>
  </si>
  <si>
    <t>optimistic</t>
  </si>
  <si>
    <t>confident</t>
  </si>
  <si>
    <t>seeking growth/risk</t>
  </si>
  <si>
    <t>Typical behaviour:</t>
  </si>
  <si>
    <t>stocks rise</t>
  </si>
  <si>
    <t>tech rises</t>
  </si>
  <si>
    <t>volatility falls</t>
  </si>
  <si>
    <t>cyclicals rise</t>
  </si>
  <si>
    <t>speculative assets perform better</t>
  </si>
  <si>
    <t>Examples:</t>
  </si>
  <si>
    <t>low VIX</t>
  </si>
  <si>
    <t>strong momentum</t>
  </si>
  <si>
    <t>strong economy</t>
  </si>
  <si>
    <t>falling fear</t>
  </si>
  <si>
    <t>RISK_OFF</t>
  </si>
  <si>
    <t>Means markets are:</t>
  </si>
  <si>
    <t>defensive</t>
  </si>
  <si>
    <t>fearful</t>
  </si>
  <si>
    <t>uncertain</t>
  </si>
  <si>
    <t>volatility rises</t>
  </si>
  <si>
    <t>equities weaken</t>
  </si>
  <si>
    <t>defensive assets rise</t>
  </si>
  <si>
    <t>gold often strengthens</t>
  </si>
  <si>
    <t>bonds may rally</t>
  </si>
  <si>
    <t>high VIX</t>
  </si>
  <si>
    <t>recession fears</t>
  </si>
  <si>
    <t>geopolitical stress</t>
  </si>
  <si>
    <t>tightening liquidity</t>
  </si>
  <si>
    <t>In YOUR System</t>
  </si>
  <si>
    <t>Your macro engine probably outputs:</t>
  </si>
  <si>
    <t>{</t>
  </si>
  <si>
    <t xml:space="preserve">    "regime": "RISK_ON"</t>
  </si>
  <si>
    <t>}</t>
  </si>
  <si>
    <t>or:</t>
  </si>
  <si>
    <t xml:space="preserve">    "regime": "RISK_OFF"</t>
  </si>
  <si>
    <t>What It CURRENTLY Does</t>
  </si>
  <si>
    <t>You currently use it mainly here:</t>
  </si>
  <si>
    <t>macro_multiplier</t>
  </si>
  <si>
    <t>macro_multiplier = 1.2</t>
  </si>
  <si>
    <t>increase position sizes</t>
  </si>
  <si>
    <t>more aggressive</t>
  </si>
  <si>
    <t>macro_multiplier = 0.6</t>
  </si>
  <si>
    <t>reduce exposure</t>
  </si>
  <si>
    <t>become defensive</t>
  </si>
  <si>
    <t>So currently:</t>
  </si>
  <si>
    <t>it modifies conviction/sizing.</t>
  </si>
  <si>
    <r>
      <t xml:space="preserve">2. </t>
    </r>
    <r>
      <rPr>
        <b/>
        <sz val="10"/>
        <color theme="1"/>
        <rFont val="Arial Unicode MS"/>
      </rPr>
      <t>ai_score</t>
    </r>
  </si>
  <si>
    <t>This is DIFFERENT.</t>
  </si>
  <si>
    <t>This is your:</t>
  </si>
  <si>
    <t>instrument attractiveness score</t>
  </si>
  <si>
    <t>Think of it as:</t>
  </si>
  <si>
    <t>How technically attractive does this asset currently look?</t>
  </si>
  <si>
    <r>
      <t xml:space="preserve">Your </t>
    </r>
    <r>
      <rPr>
        <b/>
        <sz val="10"/>
        <color theme="1"/>
        <rFont val="Arial Unicode MS"/>
      </rPr>
      <t>ai_score</t>
    </r>
    <r>
      <rPr>
        <b/>
        <sz val="24"/>
        <color theme="1"/>
        <rFont val="Aptos Narrow"/>
        <family val="2"/>
        <scheme val="minor"/>
      </rPr>
      <t xml:space="preserve"> Likely Combines</t>
    </r>
  </si>
  <si>
    <t>Things like:</t>
  </si>
  <si>
    <t>trend</t>
  </si>
  <si>
    <t>MA50 vs MA200</t>
  </si>
  <si>
    <t>momentum</t>
  </si>
  <si>
    <t>maybe volatility</t>
  </si>
  <si>
    <t>maybe diversification</t>
  </si>
  <si>
    <t>If:</t>
  </si>
  <si>
    <t>bullish trend</t>
  </si>
  <si>
    <t>good RSI</t>
  </si>
  <si>
    <t>then:</t>
  </si>
  <si>
    <t>ai_score = 0.73</t>
  </si>
  <si>
    <t>Higher score:</t>
  </si>
  <si>
    <t>more attractive technically.</t>
  </si>
  <si>
    <t>VERY Important</t>
  </si>
  <si>
    <t>Currently:</t>
  </si>
  <si>
    <t>ai_score is mostly technical</t>
  </si>
  <si>
    <t>true AI</t>
  </si>
  <si>
    <t>ML model</t>
  </si>
  <si>
    <t>predictive intelligence</t>
  </si>
  <si>
    <t>It’s more like:</t>
  </si>
  <si>
    <t>composite analytical score</t>
  </si>
  <si>
    <t>That’s completely fine.</t>
  </si>
  <si>
    <t>Lots of real systems start this way.</t>
  </si>
  <si>
    <t>Why The Output Felt “Wrong”</t>
  </si>
  <si>
    <t>Because currently:</t>
  </si>
  <si>
    <t>ai_score</t>
  </si>
  <si>
    <t>does NOT understand:</t>
  </si>
  <si>
    <t>macro meaning</t>
  </si>
  <si>
    <t>asset semantics</t>
  </si>
  <si>
    <t>volatility interpretation</t>
  </si>
  <si>
    <t>So:</t>
  </si>
  <si>
    <t>VIX bullish</t>
  </si>
  <si>
    <t>becomes:</t>
  </si>
  <si>
    <t>"positive trend"</t>
  </si>
  <si>
    <t>instead of:</t>
  </si>
  <si>
    <t>"market fear increasing"</t>
  </si>
  <si>
    <t>That’s the deeper issue you noticed instinctively.</t>
  </si>
  <si>
    <t>Very good catch.</t>
  </si>
  <si>
    <t>What Mature Systems Eventually Do</t>
  </si>
  <si>
    <t>They separate:</t>
  </si>
  <si>
    <t>TECHNICAL SCORE</t>
  </si>
  <si>
    <t>What is the chart doing?</t>
  </si>
  <si>
    <t>from:</t>
  </si>
  <si>
    <t>MACRO INTERPRETATION</t>
  </si>
  <si>
    <t>What does this MEAN?</t>
  </si>
  <si>
    <t>Those are very different layers.</t>
  </si>
  <si>
    <t>Rising Gold</t>
  </si>
  <si>
    <t>Could mean:</t>
  </si>
  <si>
    <t>inflation fears</t>
  </si>
  <si>
    <t>defensive rotation</t>
  </si>
  <si>
    <t>weakening dollar</t>
  </si>
  <si>
    <t>crisis hedging</t>
  </si>
  <si>
    <t>NOT simply:</t>
  </si>
  <si>
    <t>“BUY”</t>
  </si>
  <si>
    <t>So Right Now Your Architecture Is</t>
  </si>
  <si>
    <t>Indicators</t>
  </si>
  <si>
    <t xml:space="preserve">    ↓</t>
  </si>
  <si>
    <t>Composite score (ai_score)</t>
  </si>
  <si>
    <t>Regime multiplier</t>
  </si>
  <si>
    <t>Position sizing</t>
  </si>
  <si>
    <t>Future Architecture Will Likely Become</t>
  </si>
  <si>
    <t>Asset-aware interpretation</t>
  </si>
  <si>
    <t>Macro-aware interpretation</t>
  </si>
  <si>
    <t>Contextual score</t>
  </si>
  <si>
    <t>Portfolio decisions</t>
  </si>
  <si>
    <t>That’s where systems become genuinely intelligent rather than:</t>
  </si>
  <si>
    <t>technical screeners.</t>
  </si>
  <si>
    <t>ACCOUNT</t>
  </si>
  <si>
    <t>CASH_BALANCE</t>
  </si>
  <si>
    <t>DATE</t>
  </si>
  <si>
    <t>AMMOUNT</t>
  </si>
  <si>
    <t>Notes</t>
  </si>
  <si>
    <t>seed</t>
  </si>
  <si>
    <t>HOLDING</t>
  </si>
  <si>
    <t>cash: 0</t>
  </si>
  <si>
    <t>target_cash_reserve: 12000</t>
  </si>
  <si>
    <t>emergency_reserve: 20000</t>
  </si>
  <si>
    <t>cash_contributions: 33738.31</t>
  </si>
  <si>
    <t>max_deployment_percent: 70</t>
  </si>
  <si>
    <t>cash</t>
  </si>
  <si>
    <t>target_cash_reserve</t>
  </si>
  <si>
    <t>emergency_reserve</t>
  </si>
  <si>
    <t>cash_contributions</t>
  </si>
  <si>
    <t>max_deployment_percent</t>
  </si>
  <si>
    <t>snapshot_date</t>
  </si>
  <si>
    <t>portfolio_value</t>
  </si>
  <si>
    <t>invested_value</t>
  </si>
  <si>
    <t>capital_status</t>
  </si>
  <si>
    <t>cash_funding_ratio</t>
  </si>
  <si>
    <t>MCD</t>
  </si>
  <si>
    <t>BMW.DE</t>
  </si>
  <si>
    <t>DIS</t>
  </si>
  <si>
    <t>SAP</t>
  </si>
  <si>
    <t>PG</t>
  </si>
  <si>
    <t>NKE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</si>
</sst>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_([$$-409]* #,##0.00_);_([$$-409]* \(#,##0.00\);_([$$-409]* &quot;-&quot;??_);_(@_)"/>
    <numFmt numFmtId="165" formatCode="yyyy\-mm\-dd\ h:mm:ss"/>
    <numFmt numFmtId="166" formatCode="yyyy\-mm\-dd"/>
    <numFmt numFmtId="167" formatCode="\£#,##0.00"/>
  </numFmts>
  <fonts count="11">
    <font>
      <sz val="11"/>
      <color theme="1"/>
      <name val="Aptos Narrow"/>
      <family val="2"/>
      <scheme val="minor"/>
    </font>
    <font>
      <b/>
      <sz val="11"/>
      <color theme="1"/>
      <name val="Aptos Narrow"/>
      <family val="2"/>
      <scheme val="minor"/>
    </font>
    <font>
      <b/>
      <sz val="10"/>
      <color rgb="FFF0F0F0"/>
      <name val="Segoe UI"/>
      <family val="2"/>
    </font>
    <font>
      <sz val="10"/>
      <color rgb="FFF0F0F0"/>
      <name val="Segoe UI"/>
      <family val="2"/>
    </font>
    <font>
      <b/>
      <sz val="24"/>
      <color theme="1"/>
      <name val="Aptos Narrow"/>
      <family val="2"/>
      <scheme val="minor"/>
    </font>
    <font>
      <sz val="10"/>
      <color theme="1"/>
      <name val="Arial Unicode MS"/>
    </font>
    <font>
      <b/>
      <sz val="18"/>
      <color theme="1"/>
      <name val="Aptos Narrow"/>
      <family val="2"/>
      <scheme val="minor"/>
    </font>
    <font>
      <b/>
      <sz val="13.5"/>
      <color theme="1"/>
      <name val="Aptos Narrow"/>
      <family val="2"/>
      <scheme val="minor"/>
    </font>
    <font>
      <b/>
      <sz val="10"/>
      <color theme="1"/>
      <name val="Arial Unicode MS"/>
    </font>
    <font>
      <b/>
      <sz val="16"/>
      <color rgb="FFF0F0F0"/>
      <name val="Segoe UI"/>
      <family val="2"/>
    </font>
    <font>
      <b/>
      <sz val="11"/>
      <color rgb="FF00B050"/>
      <name val="Aptos Narrow"/>
      <family val="2"/>
      <scheme val="minor"/>
    </font>
  </fonts>
  <fills count="5">
    <fill>
      <patternFill patternType="none"/>
    </fill>
    <fill>
      <patternFill patternType="gray125"/>
    </fill>
    <fill>
      <patternFill patternType="solid">
        <fgColor rgb="FF1C2028"/>
        <bgColor indexed="64"/>
      </patternFill>
    </fill>
    <fill>
      <patternFill patternType="solid">
        <fgColor rgb="FF0C0E12"/>
        <bgColor indexed="64"/>
      </patternFill>
    </fill>
    <fill>
      <patternFill patternType="solid">
        <fgColor theme="4" tint="0.79998168889431442"/>
        <bgColor theme="4" tint="0.79998168889431442"/>
      </patternFill>
    </fill>
  </fills>
  <borders count="3">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50">
    <xf numFmtId="0" fontId="0" fillId="0" borderId="0" xfId="0"/>
    <xf numFmtId="14" fontId="0" fillId="0" borderId="0" xfId="0" applyNumberFormat="1"/>
    <xf numFmtId="22" fontId="0" fillId="0" borderId="0" xfId="0" applyNumberFormat="1"/>
    <xf numFmtId="164" fontId="0" fillId="0" borderId="0" xfId="0" applyNumberFormat="1"/>
    <xf numFmtId="10" fontId="0" fillId="0" borderId="0" xfId="0" applyNumberFormat="1"/>
    <xf numFmtId="2" fontId="0" fillId="0" borderId="0" xfId="0" applyNumberFormat="1"/>
    <xf numFmtId="4" fontId="0" fillId="0" borderId="0" xfId="0" applyNumberFormat="1"/>
    <xf numFmtId="3" fontId="0" fillId="0" borderId="0" xfId="0" applyNumberFormat="1"/>
    <xf numFmtId="1" fontId="0" fillId="0" borderId="0" xfId="0" applyNumberFormat="1"/>
    <xf numFmtId="43" fontId="0" fillId="0" borderId="0" xfId="0" applyNumberFormat="1"/>
    <xf numFmtId="165" fontId="0" fillId="0" borderId="0" xfId="0" applyNumberFormat="1"/>
    <xf numFmtId="166" fontId="0" fillId="0" borderId="0" xfId="0" applyNumberFormat="1"/>
    <xf numFmtId="0" fontId="1" fillId="0" borderId="0" xfId="0" applyFont="1"/>
    <xf numFmtId="0" fontId="2" fillId="2" borderId="0" xfId="0" applyFont="1" applyFill="1" applyAlignment="1">
      <alignment horizontal="left"/>
    </xf>
    <xf numFmtId="0" fontId="3" fillId="3" borderId="0" xfId="0" applyFont="1" applyFill="1"/>
    <xf numFmtId="0" fontId="2" fillId="3" borderId="0" xfId="0" applyFont="1" applyFill="1" applyAlignment="1">
      <alignment horizontal="left"/>
    </xf>
    <xf numFmtId="0" fontId="2" fillId="3" borderId="0" xfId="0" applyFont="1" applyFill="1" applyAlignment="1">
      <alignment horizontal="center"/>
    </xf>
    <xf numFmtId="1" fontId="2" fillId="3" borderId="0" xfId="0" applyNumberFormat="1" applyFont="1" applyFill="1" applyAlignment="1">
      <alignment horizontal="right"/>
    </xf>
    <xf numFmtId="167" fontId="2" fillId="3" borderId="0" xfId="0" applyNumberFormat="1" applyFont="1" applyFill="1" applyAlignment="1">
      <alignment horizontal="right"/>
    </xf>
    <xf numFmtId="0" fontId="2" fillId="3" borderId="0" xfId="0" applyFont="1" applyFill="1" applyAlignment="1">
      <alignment horizontal="right"/>
    </xf>
    <xf numFmtId="2" fontId="2" fillId="3" borderId="0" xfId="0" applyNumberFormat="1" applyFont="1" applyFill="1" applyAlignment="1">
      <alignment horizontal="right"/>
    </xf>
    <xf numFmtId="10" fontId="2" fillId="3" borderId="0" xfId="0" applyNumberFormat="1" applyFont="1" applyFill="1" applyAlignment="1">
      <alignment horizontal="right"/>
    </xf>
    <xf numFmtId="0" fontId="0" fillId="0" borderId="0" xfId="0" applyAlignment="1">
      <alignment vertical="center"/>
    </xf>
    <xf numFmtId="0" fontId="4" fillId="0" borderId="0" xfId="0" applyFont="1" applyAlignment="1">
      <alignment vertical="center"/>
    </xf>
    <xf numFmtId="0" fontId="5"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14" fontId="0" fillId="0" borderId="0" xfId="0" applyNumberFormat="1" applyAlignment="1">
      <alignment vertical="center" wrapText="1"/>
    </xf>
    <xf numFmtId="0" fontId="6" fillId="0" borderId="0" xfId="0" applyFont="1" applyAlignment="1">
      <alignment vertical="center"/>
    </xf>
    <xf numFmtId="0" fontId="0" fillId="0" borderId="0" xfId="0" applyAlignment="1">
      <alignment horizontal="left" vertical="center" indent="1"/>
    </xf>
    <xf numFmtId="0" fontId="7" fillId="0" borderId="0" xfId="0" applyFont="1" applyAlignment="1">
      <alignment vertical="center"/>
    </xf>
    <xf numFmtId="0" fontId="0" fillId="0" borderId="0" xfId="0" quotePrefix="1"/>
    <xf numFmtId="0" fontId="0" fillId="0" borderId="1" xfId="0" applyBorder="1"/>
    <xf numFmtId="0" fontId="0" fillId="4" borderId="1" xfId="0" applyFill="1" applyBorder="1"/>
    <xf numFmtId="0" fontId="0" fillId="4" borderId="2" xfId="0" applyFill="1" applyBorder="1"/>
    <xf numFmtId="0" fontId="0" fillId="0" borderId="2" xfId="0" applyBorder="1"/>
    <xf numFmtId="9" fontId="2" fillId="3" borderId="0" xfId="0" applyNumberFormat="1" applyFont="1" applyFill="1" applyAlignment="1">
      <alignment horizontal="right"/>
    </xf>
    <xf numFmtId="9" fontId="3" fillId="3" borderId="0" xfId="0" applyNumberFormat="1" applyFont="1" applyFill="1"/>
    <xf numFmtId="0" fontId="9" fillId="2" borderId="0" xfId="0" applyFont="1" applyFill="1" applyAlignment="1">
      <alignment horizontal="left"/>
    </xf>
    <xf numFmtId="0" fontId="9" fillId="2" borderId="0" xfId="0" applyFont="1" applyFill="1" applyAlignment="1">
      <alignment horizontal="center"/>
    </xf>
    <xf numFmtId="0" fontId="9" fillId="2" borderId="0" xfId="0" applyFont="1" applyFill="1" applyAlignment="1">
      <alignment horizontal="right"/>
    </xf>
    <xf numFmtId="9" fontId="9" fillId="2" borderId="0" xfId="0" applyNumberFormat="1" applyFont="1" applyFill="1" applyAlignment="1">
      <alignment horizontal="right"/>
    </xf>
    <xf numFmtId="0" fontId="9" fillId="3" borderId="0" xfId="0" applyFont="1" applyFill="1" applyAlignment="1">
      <alignment horizontal="left"/>
    </xf>
    <xf numFmtId="0" fontId="9" fillId="3" borderId="0" xfId="0" applyFont="1" applyFill="1" applyAlignment="1">
      <alignment horizontal="center"/>
    </xf>
    <xf numFmtId="1" fontId="9" fillId="3" borderId="0" xfId="0" applyNumberFormat="1" applyFont="1" applyFill="1" applyAlignment="1">
      <alignment horizontal="right"/>
    </xf>
    <xf numFmtId="167" fontId="9" fillId="3" borderId="0" xfId="0" applyNumberFormat="1" applyFont="1" applyFill="1" applyAlignment="1">
      <alignment horizontal="right"/>
    </xf>
    <xf numFmtId="0" fontId="9" fillId="3" borderId="0" xfId="0" applyFont="1" applyFill="1" applyAlignment="1">
      <alignment horizontal="right"/>
    </xf>
    <xf numFmtId="2" fontId="9" fillId="3" borderId="0" xfId="0" applyNumberFormat="1" applyFont="1" applyFill="1" applyAlignment="1">
      <alignment horizontal="right"/>
    </xf>
    <xf numFmtId="10" fontId="9" fillId="3" borderId="0" xfId="0" applyNumberFormat="1" applyFont="1" applyFill="1" applyAlignment="1">
      <alignment horizontal="right"/>
    </xf>
    <xf numFmtId="0" fontId="10" fillId="0" borderId="0" xfId="0" applyFont="1"/>
  </cellXfs>
  <cellStyles count="1">
    <cellStyle name="Normal" xfId="0" builtinId="0"/>
  </cellStyles>
  <dxfs count="45">
    <dxf>
      <font>
        <color rgb="FFA0A0A0"/>
      </font>
    </dxf>
    <dxf>
      <font>
        <color rgb="FFFF5050"/>
      </font>
    </dxf>
    <dxf>
      <font>
        <color rgb="FF00DC78"/>
      </font>
    </dxf>
    <dxf>
      <font>
        <color rgb="FFA0A0A0"/>
      </font>
    </dxf>
    <dxf>
      <font>
        <color rgb="FFFF5050"/>
      </font>
    </dxf>
    <dxf>
      <font>
        <color rgb="FF00DC78"/>
      </font>
    </dxf>
    <dxf>
      <font>
        <color rgb="FFA0A0A0"/>
      </font>
    </dxf>
    <dxf>
      <font>
        <color rgb="FFFF5050"/>
      </font>
    </dxf>
    <dxf>
      <font>
        <color rgb="FF00DC78"/>
      </font>
    </dxf>
    <dxf>
      <font>
        <b/>
        <i val="0"/>
        <strike val="0"/>
        <outline val="0"/>
        <shadow val="0"/>
        <u val="none"/>
        <vertAlign val="baseline"/>
        <sz val="10"/>
        <color rgb="FFF0F0F0"/>
        <name val="Segoe UI"/>
        <family val="2"/>
        <scheme val="none"/>
      </font>
      <numFmt numFmtId="14"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condense val="0"/>
        <extend val="0"/>
        <outline val="0"/>
        <shadow val="0"/>
        <u val="none"/>
        <vertAlign val="baseline"/>
        <sz val="10"/>
        <color rgb="FFF0F0F0"/>
        <name val="Segoe UI"/>
        <family val="2"/>
        <scheme val="none"/>
      </font>
      <numFmt numFmtId="13"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2"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0" formatCode="General"/>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center"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border diagonalUp="0" diagonalDown="0" outline="0">
        <left/>
        <right/>
        <top/>
        <bottom/>
      </border>
    </dxf>
    <dxf>
      <font>
        <b/>
        <i val="0"/>
        <strike val="0"/>
        <outline val="0"/>
        <shadow val="0"/>
        <u val="none"/>
        <vertAlign val="baseline"/>
        <sz val="10"/>
        <color rgb="FFF0F0F0"/>
        <name val="Segoe UI"/>
        <family val="2"/>
        <scheme val="none"/>
      </font>
      <fill>
        <patternFill patternType="solid">
          <fgColor indexed="64"/>
          <bgColor rgb="FF0C0E12"/>
        </patternFill>
      </fill>
    </dxf>
    <dxf>
      <font>
        <b/>
        <i val="0"/>
        <strike val="0"/>
        <outline val="0"/>
        <shadow val="0"/>
        <u val="none"/>
        <vertAlign val="baseline"/>
        <sz val="10"/>
        <color rgb="FFF0F0F0"/>
        <name val="Segoe UI"/>
        <family val="2"/>
        <scheme val="none"/>
      </font>
      <fill>
        <patternFill patternType="solid">
          <fgColor indexed="64"/>
          <bgColor rgb="FF1C2028"/>
        </patternFill>
      </fill>
      <alignment horizontal="center" vertical="bottom" textRotation="0" wrapText="0" indent="0" justifyLastLine="0" shrinkToFit="0" readingOrder="0"/>
    </dxf>
    <dxf>
      <numFmt numFmtId="3" formatCode="#,##0"/>
    </dxf>
    <dxf>
      <numFmt numFmtId="3" formatCode="#,##0"/>
    </dxf>
    <dxf>
      <numFmt numFmtId="3" formatCode="#,##0"/>
    </dxf>
    <dxf>
      <numFmt numFmtId="1" formatCode="0"/>
    </dxf>
    <dxf>
      <numFmt numFmtId="3" formatCode="#,##0"/>
    </dxf>
    <dxf>
      <numFmt numFmtId="3" formatCode="#,##0"/>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4" formatCode="#,##0.00"/>
    </dxf>
    <dxf>
      <numFmt numFmtId="4" formatCode="#,##0.00"/>
    </dxf>
    <dxf>
      <numFmt numFmtId="2" formatCode="0.00"/>
    </dxf>
    <dxf>
      <numFmt numFmtId="14" formatCode="0.00%"/>
    </dxf>
    <dxf>
      <numFmt numFmtId="164" formatCode="_([$$-409]* #,##0.00_);_([$$-409]* \(#,##0.00\);_([$$-409]* &quot;-&quot;??_);_(@_)"/>
    </dxf>
    <dxf>
      <numFmt numFmtId="27" formatCode="dd/mm/yyyy\ hh:mm"/>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microsoft.com/office/2017/06/relationships/rdSupportingPropertyBag" Target="richData/rdsupporting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06/relationships/rdRichValue" Target="richData/rdrichvalu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17/06/relationships/richStyles" Target="richData/rich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22" Type="http://schemas.microsoft.com/office/2017/06/relationships/rdRichValueTypes" Target="richData/rdRichValueTypes.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08">
  <rv s="0">
    <v>https://www.bing.com/financeapi/forcetrigger?t=a1molh&amp;q=XNAS%3aAAOI&amp;form=skydnc</v>
    <v>Learn more on Bing</v>
  </rv>
  <rv s="1">
    <v>en-GB</v>
    <v>a1molh</v>
    <v>268435456</v>
    <v>1</v>
    <v>Powered by Refinitiv</v>
    <v>0</v>
    <v>APPLIED OPTOELECTRONICS, INC. (XNAS:AAOI)</v>
    <v>2</v>
    <v>3</v>
    <v>Finance</v>
    <v>4</v>
    <v>233.67</v>
    <v>15.29</v>
    <v>3.6524999999999999</v>
    <v>-25.89</v>
    <v>-1.7006E-2</v>
    <v>-0.127606</v>
    <v>-3.01</v>
    <v>USD</v>
    <v>Applied Optoelectronics, Inc. is a developer and manufacturer of advanced optical and hybrid fiber coaxial (HFC) networking products that are the building blocks for artificial intelligence (AI) datacenters, Cable TV Broadband (CATV) and broadband fiber access networks around the world. The Company supplies this critical infrastructure to tier-one customers across cloud computing, CATV broadband, telecom, and fiber-to-the-home (FTTH) markets. It designs and manufactures a range of optical communications products at varying levels of integration, from components, subassemblies and modules to complete turn-key equipment. In the CATV market, it supplies a broad array of products, including lasers, transmitters and transceivers, and turn-key equipment. It supplies optical transceivers that plug into switches and servers within the data center and allow these network devices to send and receive data over fiber optic cables. In the telecom market, it supplies lasers and laser subassemblies.</v>
    <v>4691</v>
    <v>Nasdaq Stock Market</v>
    <v>XNAS</v>
    <v>XNAS</v>
    <v>13139 Jess Pirtle Blvd, SUGAR LAND, TX, 77478 US</v>
    <v>208.5</v>
    <v>Electronic Equipment &amp; Parts</v>
    <v>Stock</v>
    <v>46178.903395763278</v>
    <v>0</v>
    <v>174.23</v>
    <v>14202970290</v>
    <v>APPLIED OPTOELECTRONICS, INC.</v>
    <v>APPLIED OPTOELECTRONICS, INC.</v>
    <v>191.42</v>
    <v>0</v>
    <v>202.89</v>
    <v>177</v>
    <v>173.99</v>
    <v>80242770</v>
    <v>AAOI</v>
    <v>APPLIED OPTOELECTRONICS, INC. (XNAS:AAOI)</v>
    <v>19683738</v>
    <v>12222923</v>
    <v>2013</v>
  </rv>
  <rv s="2">
    <v>1</v>
  </rv>
  <rv s="0">
    <v>https://www.bing.com/financeapi/forcetrigger?t=a1mou2&amp;q=XNAS%3aAAPL&amp;form=skydnc</v>
    <v>Learn more on Bing</v>
  </rv>
  <rv s="1">
    <v>en-GB</v>
    <v>a1mou2</v>
    <v>268435456</v>
    <v>1</v>
    <v>Powered by Refinitiv</v>
    <v>0</v>
    <v>APPLE INC. (XNAS:AAPL)</v>
    <v>2</v>
    <v>3</v>
    <v>Finance</v>
    <v>4</v>
    <v>316.94</v>
    <v>195.07</v>
    <v>1.0863</v>
    <v>-3.89</v>
    <v>1.9850000000000002E-3</v>
    <v>-1.2499E-2</v>
    <v>0.61</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315.17</v>
    <v>Computers, Phones &amp; Household Electronics</v>
    <v>Stock</v>
    <v>46178.903317210155</v>
    <v>3</v>
    <v>307.14999999999998</v>
    <v>4514013222400</v>
    <v>APPLE INC.</v>
    <v>APPLE INC.</v>
    <v>312.86</v>
    <v>37.326599999999999</v>
    <v>311.23</v>
    <v>307.33999999999997</v>
    <v>307.95</v>
    <v>14687360000</v>
    <v>AAPL</v>
    <v>APPLE INC. (XNAS:AAPL)</v>
    <v>65217745</v>
    <v>50489004</v>
    <v>1977</v>
  </rv>
  <rv s="2">
    <v>4</v>
  </rv>
  <rv s="0">
    <v>http://en.wikipedia.org/wiki/Public_domain</v>
    <v>Public domain</v>
  </rv>
  <rv s="0">
    <v>http://es.wikipedia.org/wiki/Adobe_(empresa)</v>
    <v>Wikipedia</v>
  </rv>
  <rv s="3">
    <v>6</v>
    <v>7</v>
  </rv>
  <rv s="4">
    <v>9</v>
    <v>https://www.bing.com/th?id=AMMS_503c684ccc667ad525fe1d703881df2c&amp;qlt=95</v>
    <v>8</v>
    <v>0</v>
    <v>https://www.bing.com/images/search?form=xlimg&amp;q=adobe+systems</v>
    <v>Image of ADOBE INC.</v>
  </rv>
  <rv s="0">
    <v>https://www.bing.com/financeapi/forcetrigger?t=a1mv7w&amp;q=XNAS%3aADBE&amp;form=skydnc</v>
    <v>Learn more on Bing</v>
  </rv>
  <rv s="5">
    <v>en-GB</v>
    <v>a1mv7w</v>
    <v>268435456</v>
    <v>1</v>
    <v>Powered by Refinitiv</v>
    <v>5</v>
    <v>ADOBE INC. (XNAS:ADBE)</v>
    <v>7</v>
    <v>8</v>
    <v>Finance</v>
    <v>4</v>
    <v>421.48</v>
    <v>224.13</v>
    <v>1.4020999999999999</v>
    <v>-6.98</v>
    <v>-1.7899999999999999E-3</v>
    <v>-2.7009999999999999E-2</v>
    <v>-0.45</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262.52999999999997</v>
    <v>9</v>
    <v>Software &amp; IT Services</v>
    <v>Stock</v>
    <v>46178.903395647656</v>
    <v>10</v>
    <v>249.05</v>
    <v>101632048000</v>
    <v>ADOBE INC.</v>
    <v>ADOBE INC.</v>
    <v>259.27999999999997</v>
    <v>15.0618</v>
    <v>258.42</v>
    <v>251.44</v>
    <v>250.99</v>
    <v>404200000</v>
    <v>ADBE</v>
    <v>ADOBE INC. (XNAS:ADBE)</v>
    <v>4900885</v>
    <v>4936048</v>
    <v>1997</v>
  </rv>
  <rv s="2">
    <v>11</v>
  </rv>
  <rv s="0">
    <v>https://www.bing.com/financeapi/forcetrigger?t=a1mxtc&amp;q=XNAS%3aAEHR&amp;form=skydnc</v>
    <v>Learn more on Bing</v>
  </rv>
  <rv s="1">
    <v>en-GB</v>
    <v>a1mxtc</v>
    <v>268435456</v>
    <v>1</v>
    <v>Powered by Refinitiv</v>
    <v>0</v>
    <v>AEHR TEST SYSTEMS (XNAS:AEHR)</v>
    <v>2</v>
    <v>3</v>
    <v>Finance</v>
    <v>4</v>
    <v>121.8</v>
    <v>10.887499999999999</v>
    <v>3.1669</v>
    <v>-18.13</v>
    <v>-4.5710000000000004E-3</v>
    <v>-0.15551600000000002</v>
    <v>-0.45</v>
    <v>USD</v>
    <v>Aehr Test Systems, Inc. offers test solutions for testing, burning-in, and stabilizing semiconductor devices in wafer level, singulated die, and package part form. The Company's products include the FOX-P family of test and burn-in systems and FOX WaferPak Aligner, FOX WaferPak Contactor, FOX DiePak Carrier and FOX DiePak Loader. The FOX-XP and FOX-NP systems are full wafer contact and singulated die/module test and burn-in systems that can test, burn-in and stabilize a range of devices such as silicon carbide-based and other power semiconductors, 2D and 3D sensors used in phones, tablets, and other computing devices, memory semiconductors, processors, microcontrollers, systems-on-a-chip, and photonics and integrated optical devices used in AI. FOX-CP system is a single-wafer compact test solution for logic, memory and photonic devices. FOX WaferPak Contactor contains a full wafer contactor capable of testing wafers up to 300 millimeters that enables integrated circuit manufacturers.</v>
    <v>136</v>
    <v>Nasdaq Stock Market</v>
    <v>XNAS</v>
    <v>XNAS</v>
    <v>400 Kato Ter, FREMONT, CA, 94539 US</v>
    <v>111.7855</v>
    <v>Semiconductors &amp; Semiconductor Equipment</v>
    <v>Stock</v>
    <v>46178.903194525003</v>
    <v>13</v>
    <v>96.9</v>
    <v>3096572462</v>
    <v>AEHR TEST SYSTEMS</v>
    <v>AEHR TEST SYSTEMS</v>
    <v>110.32</v>
    <v>0</v>
    <v>116.58</v>
    <v>98.45</v>
    <v>98</v>
    <v>31453250</v>
    <v>AEHR</v>
    <v>AEHR TEST SYSTEMS (XNAS:AEHR)</v>
    <v>2338404</v>
    <v>2549949</v>
    <v>1977</v>
  </rv>
  <rv s="2">
    <v>14</v>
  </rv>
  <rv s="6">
    <v>en-GB</v>
    <v>cdocfr</v>
    <v>268435456</v>
    <v>1</v>
    <v>Powered by Refinitiv</v>
    <v>10</v>
    <v>ATRIUM MORTGAGE INVESTMENT CORPORATION (NEOE:AI)</v>
    <v>11</v>
    <v>12</v>
    <v>Finance</v>
    <v>13</v>
    <v>12.24</v>
    <v>10.99</v>
    <v>0.83899999999999997</v>
    <v>-0.02</v>
    <v>-1.701E-3</v>
    <v>CAD</v>
    <v>Atrium Mortgage Investment Corporation is a Canada-based company. The Company is a non-bank provider of residential and commercial mortgages that lends in urban centers in Canada. Its objectives are to provide its shareholders with dividends and preserve shareholders equity by lending within conservative risk parameters. Its investment strategy is to invest in commercial and residential mortgages from borrowers whose financing needs are not being met by the larger financial institutions. It finances various types of properties, which include residential houses, small multi-family residential properties comprising six units or fewer, residential apartment buildings, commercial and storefront retail properties, as well as residential and commercial land development sites. It also provides construction financing and short-term bridge loans to real estate developers. The Company is managed by Canadian Mortgage Capital Corporation (CMCC).</v>
    <v>0</v>
    <v>NEO Exchange</v>
    <v>NEOE</v>
    <v>NEOE</v>
    <v>20 Adelaide Street East, Suite 900, TORONTO, ON, M5C 2T6 CA</v>
    <v>11.76</v>
    <v>Banking Services</v>
    <v>Stock</v>
    <v>46178.827190300784</v>
    <v>11.68</v>
    <v>566333960</v>
    <v>ATRIUM MORTGAGE INVESTMENT CORPORATION</v>
    <v>ATRIUM MORTGAGE INVESTMENT CORPORATION</v>
    <v>11.76</v>
    <v>11.156499999999999</v>
    <v>11.76</v>
    <v>11.74</v>
    <v>48239690</v>
    <v>AI</v>
    <v>ATRIUM MORTGAGE INVESTMENT CORPORATION (NEOE:AI)</v>
    <v>6010</v>
    <v>122500</v>
    <v>2001</v>
  </rv>
  <rv s="2">
    <v>16</v>
  </rv>
  <rv s="7">
    <v>en-GB</v>
    <v>ccqpyc</v>
    <v>268435456</v>
    <v>1</v>
    <v>Powered by Refinitiv</v>
    <v>14</v>
    <v>ASTERA LABS, INC. (XNAS:ALAB)</v>
    <v>11</v>
    <v>3</v>
    <v>Finance</v>
    <v>4</v>
    <v>372.37</v>
    <v>84.78</v>
    <v>2.64</v>
    <v>-40.99</v>
    <v>-1.9113000000000002E-2</v>
    <v>-0.114481</v>
    <v>-6.0598999999999998</v>
    <v>USD</v>
    <v>Astera Labs, Inc. is a global semiconductor company. The Company provides semiconductor-based connectivity solutions for cloud and artificial intelligence (AI) infrastructure. It has developed and deployed its Intelligent Connectivity Platform built from the ground up for cloud and AI infrastructure. Its Intelligent Connectivity Platform provides its customers with the ability to deploy and operate high-performance cloud and AI infrastructure at scale, addressing an increasingly diverse set of requirements. It provides its connectivity products in various form factors, including Integrated Circuits (ICs), boards, and modules. Its PCIe, CXL and Ethernet semiconductor-based connectivity solutions are purpose-built to unleash the potential of accelerated computing at cloud-scale. The Company’s products include Aries products, which include its COSMOS software suite; Taurus products, which are hardware modules based on its Taurus ICs; Leo products; and Scorpio products.</v>
    <v>756</v>
    <v>Nasdaq Stock Market</v>
    <v>XNAS</v>
    <v>XNAS</v>
    <v>2345 North First Street, SAN JOSE, CA, 95131 US</v>
    <v>349</v>
    <v>Semiconductors &amp; Semiconductor Equipment</v>
    <v>Stock</v>
    <v>46178.903431978906</v>
    <v>314.83999999999997</v>
    <v>54346588774</v>
    <v>ASTERA LABS, INC.</v>
    <v>ASTERA LABS, INC.</v>
    <v>342.75</v>
    <v>241.36949999999999</v>
    <v>358.05</v>
    <v>317.06</v>
    <v>311.00009999999997</v>
    <v>171407900</v>
    <v>ALAB</v>
    <v>ASTERA LABS, INC. (XNAS:ALAB)</v>
    <v>7300236</v>
    <v>6145101</v>
    <v>2017</v>
  </rv>
  <rv s="2">
    <v>18</v>
  </rv>
  <rv s="0">
    <v>https://www.bing.com/financeapi/forcetrigger?t=a1ndcw&amp;q=XNAS%3aAMBA&amp;form=skydnc</v>
    <v>Learn more on Bing</v>
  </rv>
  <rv s="1">
    <v>en-GB</v>
    <v>a1ndcw</v>
    <v>268435456</v>
    <v>1</v>
    <v>Powered by Refinitiv</v>
    <v>0</v>
    <v>AMBARELLA, INC. (XNAS:AMBA)</v>
    <v>2</v>
    <v>3</v>
    <v>Finance</v>
    <v>4</v>
    <v>96.69</v>
    <v>48.3</v>
    <v>2.145</v>
    <v>-8.5299999999999994</v>
    <v>-2.8339999999999997E-3</v>
    <v>-0.11839000000000001</v>
    <v>-0.18</v>
    <v>USD</v>
    <v>Ambarella, Inc. is a developer of low-power system-on-a-chip (SoC) semiconductors and software for edge artificial intelligence (AI) applications. The Company's technologies make electronic systems smarter, enabling them to become partially or fully autonomous with features, such as person detection, object classification, and analytics, in addition to performing complex data analysis in real time, delivering imagery, and preserving vital system resources, such as power and network bandwidth. It specializes in the development of deployable, scalable designs for intelligent electronic systems that utilize high-bandwidth sensors. Its products are used in a variety of human viewing, computer vision and edge AI applications, including a variety of automotive camera systems, video security cameras, mobile and fixed robots, industrial applications, and consumer devices, such as action, drone, and 360-degree cameras.</v>
    <v>959</v>
    <v>Nasdaq Stock Market</v>
    <v>XNAS</v>
    <v>XNAS</v>
    <v>3101 Jay Street, CA, 95054 US</v>
    <v>70.260000000000005</v>
    <v>Semiconductors &amp; Semiconductor Equipment</v>
    <v>Stock</v>
    <v>46178.902898587497</v>
    <v>20</v>
    <v>63.253500000000003</v>
    <v>2786506793</v>
    <v>AMBARELLA, INC.</v>
    <v>AMBARELLA, INC.</v>
    <v>69.89</v>
    <v>0</v>
    <v>72.05</v>
    <v>63.52</v>
    <v>63.34</v>
    <v>43868180</v>
    <v>AMBA</v>
    <v>AMBARELLA, INC. (XNAS:AMBA)</v>
    <v>2111285</v>
    <v>1545901</v>
    <v>2004</v>
  </rv>
  <rv s="2">
    <v>21</v>
  </rv>
  <rv s="0">
    <v>https://www.bing.com/financeapi/forcetrigger?t=a1ndww&amp;q=XNAS%3aAMD&amp;form=skydnc</v>
    <v>Learn more on Bing</v>
  </rv>
  <rv s="1">
    <v>en-GB</v>
    <v>a1ndww</v>
    <v>268435456</v>
    <v>1</v>
    <v>Powered by Refinitiv</v>
    <v>0</v>
    <v>ADVANCED MICRO DEVICES, INC. (XNAS:AMD)</v>
    <v>2</v>
    <v>3</v>
    <v>Finance</v>
    <v>4</v>
    <v>546.44000000000005</v>
    <v>114.71</v>
    <v>2.4918999999999998</v>
    <v>-56.82</v>
    <v>1.3289999999999999E-3</v>
    <v>-0.10860099999999999</v>
    <v>0.62</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505.62</v>
    <v>Semiconductors &amp; Semiconductor Equipment</v>
    <v>Stock</v>
    <v>46178.903431481252</v>
    <v>23</v>
    <v>463.95</v>
    <v>760479694380</v>
    <v>ADVANCED MICRO DEVICES, INC.</v>
    <v>ADVANCED MICRO DEVICES, INC.</v>
    <v>499.52499999999998</v>
    <v>174.4058</v>
    <v>523.20000000000005</v>
    <v>466.38</v>
    <v>467</v>
    <v>1630601000</v>
    <v>AMD</v>
    <v>ADVANCED MICRO DEVICES, INC. (XNAS:AMD)</v>
    <v>46690771</v>
    <v>38161677</v>
    <v>1969</v>
  </rv>
  <rv s="2">
    <v>24</v>
  </rv>
  <rv s="0">
    <v>https://www.bing.com/financeapi/forcetrigger?t=a1nhlh&amp;q=XNAS%3aAMZN&amp;form=skydnc</v>
    <v>Learn more on Bing</v>
  </rv>
  <rv s="1">
    <v>en-GB</v>
    <v>a1nhlh</v>
    <v>268435456</v>
    <v>1</v>
    <v>Powered by Refinitiv</v>
    <v>0</v>
    <v>AMAZON.COM, INC. (XNAS:AMZN)</v>
    <v>2</v>
    <v>3</v>
    <v>Finance</v>
    <v>4</v>
    <v>278.56</v>
    <v>196</v>
    <v>1.4490000000000001</v>
    <v>-7.76</v>
    <v>2.627E-3</v>
    <v>-3.0575999999999999E-2</v>
    <v>0.64629999999999999</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256.38</v>
    <v>Diversified Retail</v>
    <v>Stock</v>
    <v>46178.903375948437</v>
    <v>26</v>
    <v>245.78</v>
    <v>2646571773300</v>
    <v>AMAZON.COM, INC.</v>
    <v>AMAZON.COM, INC.</v>
    <v>254.255</v>
    <v>30.329699999999999</v>
    <v>253.79</v>
    <v>246.03</v>
    <v>246.6763</v>
    <v>10757110000</v>
    <v>AMZN</v>
    <v>AMAZON.COM, INC. (XNAS:AMZN)</v>
    <v>55469366</v>
    <v>42947346</v>
    <v>1996</v>
  </rv>
  <rv s="2">
    <v>27</v>
  </rv>
  <rv s="0">
    <v>https://www.bing.com/financeapi/forcetrigger?t=a1nihw&amp;q=XNYS%3aANET&amp;form=skydnc</v>
    <v>Learn more on Bing</v>
  </rv>
  <rv s="1">
    <v>en-GB</v>
    <v>a1nihw</v>
    <v>268435456</v>
    <v>1</v>
    <v>Powered by Refinitiv</v>
    <v>0</v>
    <v>ARISTA NETWORKS, INC. (XNYS:ANET)</v>
    <v>2</v>
    <v>3</v>
    <v>Finance</v>
    <v>4</v>
    <v>179.8</v>
    <v>85.58</v>
    <v>1.6099000000000001</v>
    <v>-11.805</v>
    <v>-8.2319999999999997E-3</v>
    <v>-7.1109999999999993E-2</v>
    <v>-1.27</v>
    <v>USD</v>
    <v>Arista Networks, Inc. is a provider of data-driven, client-to-cloud networking for large artificial intelligence (AI), data center, campus and routing environments. Its platforms deliver availability, agility, automation, analytics, and security through an advanced network operating stack. Its platform is its Extensible Operating System (EOS), a modernized publish-subscribe state-sharing networking operating system. Its portfolio of products, services and technologies is grouped into various categories: Core (Data Center, Cloud and AI Networking), Cognitive Adjacencies (Campus and Routing), and Cognitive Network (Software and Services). It offers product portfolios of data-driven, high-speed, cloud and data center Ethernet switches. Its Cognitive Adjacencies include Cognitive Campus Switching, Cloud-Grade Routing and WAN Routing. Its software and services are based on subscription-based models and include various offerings: CloudVision, Arista A-Care Services, CloudEOS and others.</v>
    <v>5115</v>
    <v>New York Stock Exchange</v>
    <v>XNYS</v>
    <v>XNYS</v>
    <v>5453 Great America Pkwy, SANTA CLARA, CA, 95054 US</v>
    <v>161.19319999999999</v>
    <v>Communications &amp; Networking</v>
    <v>Stock</v>
    <v>46178.903462823437</v>
    <v>29</v>
    <v>152.19</v>
    <v>194175398615</v>
    <v>ARISTA NETWORKS, INC.</v>
    <v>ARISTA NETWORKS, INC.</v>
    <v>159.46</v>
    <v>56.859900000000003</v>
    <v>166.01</v>
    <v>154.20500000000001</v>
    <v>153</v>
    <v>1259203000</v>
    <v>ANET</v>
    <v>ARISTA NETWORKS, INC. (XNYS:ANET)</v>
    <v>9075002</v>
    <v>12440510</v>
    <v>2011</v>
  </rv>
  <rv s="2">
    <v>30</v>
  </rv>
  <rv s="0">
    <v>https://www.bing.com/financeapi/forcetrigger?t=c1sd3m&amp;q=XNAS%3aAPP&amp;form=skydnc</v>
    <v>Learn more on Bing</v>
  </rv>
  <rv s="1">
    <v>en-GB</v>
    <v>c1sd3m</v>
    <v>268435456</v>
    <v>1</v>
    <v>Powered by Refinitiv</v>
    <v>0</v>
    <v>APPLOVIN CORPORATION (XNAS:APP)</v>
    <v>2</v>
    <v>3</v>
    <v>Finance</v>
    <v>4</v>
    <v>745.61</v>
    <v>320</v>
    <v>2.4645999999999999</v>
    <v>-1.67</v>
    <v>-9.332E-3</v>
    <v>-2.9880000000000002E-3</v>
    <v>-5.2</v>
    <v>USD</v>
    <v>AppLovin Corporation is a marketing platform. The Company provides end-to-end software and artificial intelligence (AI) solutions for businesses to reach, monetize and grow their global audiences. Its advertising solutions include a comprehensive suite of tools including AppDiscovery, MAX, Adjust, Wurl and Axon Ads Manager. AppDiscovery is powered by AXON, its AI-powered advertising engine, and matches advertiser demand with publisher supply through auctions at vast scale and at microsecond-level speeds. MAX is its monetization solution, utilizing an advanced in-app bidding technology that optimizes the value of a publisher’s advertising inventory by running a real-time competitive auction, driving more competition, and higher returns for publishers. Adjust is its measurement and analytics marketing platform which provides marketers with the visibility, insights, and data needed to scale their apps marketing and drive more informed results. Wurl is its connected TV (CTV) platform.</v>
    <v>898</v>
    <v>Nasdaq Stock Market</v>
    <v>XNAS</v>
    <v>XNAS</v>
    <v>1100 Page Mill Rd, PALO ALTO, CA, 94304-1047 US</v>
    <v>595</v>
    <v>Software &amp; IT Services</v>
    <v>Stock</v>
    <v>46178.90282993047</v>
    <v>32</v>
    <v>548.78</v>
    <v>187185768000</v>
    <v>APPLOVIN CORPORATION</v>
    <v>APPLOVIN CORPORATION</v>
    <v>577.91499999999996</v>
    <v>48.565600000000003</v>
    <v>558.87</v>
    <v>557.20000000000005</v>
    <v>552</v>
    <v>335940000</v>
    <v>APP</v>
    <v>APPLOVIN CORPORATION (XNAS:APP)</v>
    <v>5542167</v>
    <v>5064206</v>
    <v>2011</v>
  </rv>
  <rv s="2">
    <v>33</v>
  </rv>
  <rv s="0">
    <v>https://www.bing.com/financeapi/forcetrigger?t=a1nq6h&amp;q=ARCX%3aARKK&amp;form=skydnc</v>
    <v>Learn more on Bing</v>
  </rv>
  <rv s="8">
    <v>en-GB</v>
    <v>a1nq6h</v>
    <v>268435456</v>
    <v>1</v>
    <v>Powered by Refinitiv</v>
    <v>15</v>
    <v>ARK Innovation (BATS:ARKK)</v>
    <v>16</v>
    <v>17</v>
    <v>Finance</v>
    <v>18</v>
    <v>92.65</v>
    <v>55.64</v>
    <v>2.0400999999999998</v>
    <v>-5.52</v>
    <v>-6.5780000000000005E-3</v>
    <v>-6.8940000000000001E-2</v>
    <v>-0.49</v>
    <v>USD</v>
    <v>CBOE BZX Exchange</v>
    <v>BATS</v>
    <v>7.4999999999999997E-3</v>
    <v>78.75</v>
    <v>ETF</v>
    <v>46178.902926515628</v>
    <v>35</v>
    <v>73.61</v>
    <v>7262198811.6000004</v>
    <v>ARK Innovation</v>
    <v>78.59</v>
    <v>80.069999999999993</v>
    <v>74.55</v>
    <v>74</v>
    <v>ARKK</v>
    <v>ARK Innovation (BATS:ARKK)</v>
    <v>13976817</v>
    <v>7182449</v>
  </rv>
  <rv s="2">
    <v>36</v>
  </rv>
  <rv s="9">
    <v>12</v>
    <v>P/E</v>
    <v>0</v>
  </rv>
  <rv s="9">
    <v>12</v>
    <v>Year incorporated</v>
    <v>0</v>
  </rv>
  <rv s="9">
    <v>12</v>
    <v>Employees</v>
    <v>0</v>
  </rv>
  <rv s="9">
    <v>12</v>
    <v>Industry</v>
    <v>0</v>
  </rv>
  <rv s="9">
    <v>12</v>
    <v>Shares outstanding</v>
    <v>0</v>
  </rv>
  <rv s="7">
    <v>en-GB</v>
    <v>cau7bh</v>
    <v>268435456</v>
    <v>1</v>
    <v>Powered by Refinitiv</v>
    <v>14</v>
    <v>ARM HOLDINGS PLC (XNAS:ARM)</v>
    <v>11</v>
    <v>3</v>
    <v>Finance</v>
    <v>4</v>
    <v>427.99</v>
    <v>100.02</v>
    <v>1.421</v>
    <v>-50.51</v>
    <v>-1.3413999999999999E-2</v>
    <v>-0.12837999999999999</v>
    <v>-4.5999999999999996</v>
    <v>USD</v>
    <v>Arm Holdings plc is a United Kingdom-based company. The Company is engaged in the design of central processing units (CPUs) and compute platforms for semiconductor chips. It develops and licenses CPU products and related technology. Its cloud and data center solutions include Arm AGI CPU and Arm Neoverse Compute Subsystems. The Arm Agentic Generalized Infrastructure (AGI) CPU is a production-ready system on a chip (SoC) for artificial intelligence (AI) data centers, delivering compute at scale. The Arm Neoverse Compute Subsystems (CSS) are pre-validated, performance-optimized compute platforms designed to accelerate infrastructure silicon development. The Company's primary markets include smartphone applications, processors and other chips used in mobile phones, consumer electronics, networking equipment, cloud and data center servers, automotive applications, Internet of Things (loT) and other embedded computing devices.</v>
    <v>9584</v>
    <v>Nasdaq Stock Market</v>
    <v>XNAS</v>
    <v>XNAS</v>
    <v>110 Fulbourn Road, CAMBRIDGE, CAMBRIDGESHIRE, CB1 9NJ GB</v>
    <v>373.74</v>
    <v>Semiconductors &amp; Semiconductor Equipment</v>
    <v>Stock</v>
    <v>46178.903495253908</v>
    <v>337.55130000000003</v>
    <v>366276331470</v>
    <v>ARM HOLDINGS PLC</v>
    <v>ARM HOLDINGS PLC</v>
    <v>369.75</v>
    <v>405.16300000000001</v>
    <v>393.44</v>
    <v>342.93</v>
    <v>338.33</v>
    <v>1068079000</v>
    <v>ARM</v>
    <v>ARM HOLDINGS PLC (XNAS:ARM)</v>
    <v>14787010</v>
    <v>12457415</v>
    <v>2018</v>
  </rv>
  <rv s="2">
    <v>43</v>
  </rv>
  <rv s="0">
    <v>https://www.bing.com/financeapi/forcetrigger?t=a1ntlh&amp;q=XNAS%3aASML&amp;form=skydnc</v>
    <v>Learn more on Bing</v>
  </rv>
  <rv s="1">
    <v>en-GB</v>
    <v>a1ntlh</v>
    <v>268435456</v>
    <v>1</v>
    <v>Powered by Refinitiv</v>
    <v>0</v>
    <v>ASML Holding NV (XNAS:ASML)</v>
    <v>2</v>
    <v>3</v>
    <v>Finance</v>
    <v>4</v>
    <v>1779.2850000000001</v>
    <v>683.48</v>
    <v>1.8173999999999999</v>
    <v>-115.73</v>
    <v>1.078E-3</v>
    <v>-6.5850000000000006E-2</v>
    <v>1.77</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43882</v>
    <v>Nasdaq Stock Market</v>
    <v>XNAS</v>
    <v>XNAS</v>
    <v>De Run 6501, VELDHOVEN, NOORD-BRABANT, 5504 DR NL</v>
    <v>1705.4791</v>
    <v>Semiconductors &amp; Semiconductor Equipment</v>
    <v>Stock</v>
    <v>46178.903399675779</v>
    <v>45</v>
    <v>1638.38</v>
    <v>637237604998</v>
    <v>ASML Holding NV</v>
    <v>ASML Holding NV</v>
    <v>1685.36</v>
    <v>60.421500000000002</v>
    <v>1757.47</v>
    <v>1641.74</v>
    <v>1643.51</v>
    <v>388147700</v>
    <v>ASML</v>
    <v>ASML Holding NV (XNAS:ASML)</v>
    <v>2730988</v>
    <v>1611416</v>
    <v>1994</v>
  </rv>
  <rv s="2">
    <v>46</v>
  </rv>
  <rv s="0">
    <v>https://www.bing.com/financeapi/forcetrigger?t=a1nz8m&amp;q=XNAS%3aAVGO&amp;form=skydnc</v>
    <v>Learn more on Bing</v>
  </rv>
  <rv s="1">
    <v>en-GB</v>
    <v>a1nz8m</v>
    <v>268435456</v>
    <v>1</v>
    <v>Powered by Refinitiv</v>
    <v>0</v>
    <v>BROADCOM INC. (XNAS:AVGO)</v>
    <v>2</v>
    <v>3</v>
    <v>Finance</v>
    <v>4</v>
    <v>495</v>
    <v>241.11</v>
    <v>1.4407000000000001</v>
    <v>-33.18</v>
    <v>1.6850000000000001E-3</v>
    <v>-7.9205999999999999E-2</v>
    <v>0.65</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410.5</v>
    <v>Semiconductors &amp; Semiconductor Equipment</v>
    <v>Stock</v>
    <v>46178.90349016172</v>
    <v>48</v>
    <v>385.59</v>
    <v>1826303487640</v>
    <v>BROADCOM INC.</v>
    <v>BROADCOM INC.</v>
    <v>407.60500000000002</v>
    <v>69.777900000000002</v>
    <v>418.91</v>
    <v>385.73</v>
    <v>386.38</v>
    <v>4734668000</v>
    <v>AVGO</v>
    <v>BROADCOM INC. (XNAS:AVGO)</v>
    <v>50908163</v>
    <v>24527113</v>
    <v>2018</v>
  </rv>
  <rv s="2">
    <v>49</v>
  </rv>
  <rv s="0">
    <v>https://www.bing.com/financeapi/forcetrigger?t=c4efww&amp;q=XNYS%3aBBAI&amp;form=skydnc</v>
    <v>Learn more on Bing</v>
  </rv>
  <rv s="1">
    <v>en-GB</v>
    <v>c4efww</v>
    <v>268435456</v>
    <v>1</v>
    <v>Powered by Refinitiv</v>
    <v>0</v>
    <v>BIGBEAR.AI HOLDINGS, INC. (XNYS:BBAI)</v>
    <v>2</v>
    <v>3</v>
    <v>Finance</v>
    <v>4</v>
    <v>9.39</v>
    <v>3.01</v>
    <v>3.089</v>
    <v>-0.56999999999999995</v>
    <v>7.0950000000000006E-3</v>
    <v>-0.11949700000000001</v>
    <v>2.98E-2</v>
    <v>USD</v>
    <v>BigBear.ai Holdings, Inc. operates as a specialized provider of artificial intelligence (AI) technology. The Company provides decision intelligence solutions for supply chains and logistics, enterprise operations, manned-unmanned teaming in autonomous systems, and cybersecurity. Its solutions include AI orchestration and sensor function, digital identity management, computer vision, cybersecurity, predictive intelligence, modeling &amp; simulation, enterprise automation and professional services. It offers Trueface, which performs one-to-many (1:N) facial matches with real-time photos, delivering identity verification. It also offers veriScan, which captures and transmits real-time photos into a biometric matching service supporting access control and biometric boarding/bag tags. The Company serves homeland &amp; border security, defense, intelligence, manufacturing &amp; suppy chain, travel and trade industries.</v>
    <v>579</v>
    <v>New York Stock Exchange</v>
    <v>XNYS</v>
    <v>XNYS</v>
    <v>7950 Jones Branch Drive, MCLEAN, VA, 22102 US</v>
    <v>4.67</v>
    <v>Software &amp; IT Services</v>
    <v>Stock</v>
    <v>46178.903381064061</v>
    <v>51</v>
    <v>4.1100000000000003</v>
    <v>2011587900</v>
    <v>BIGBEAR.AI HOLDINGS, INC.</v>
    <v>BIGBEAR.AI HOLDINGS, INC.</v>
    <v>4.62</v>
    <v>0</v>
    <v>4.7699999999999996</v>
    <v>4.2</v>
    <v>4.2298</v>
    <v>478949500</v>
    <v>BBAI</v>
    <v>BIGBEAR.AI HOLDINGS, INC. (XNYS:BBAI)</v>
    <v>37855966</v>
    <v>49035400</v>
    <v>2020</v>
  </rv>
  <rv s="2">
    <v>52</v>
  </rv>
  <rv s="0">
    <v>https://www.bing.com/financeapi/forcetrigger?t=af5lim&amp;q=XFRA%3aBMW&amp;form=skydnc</v>
    <v>Learn more on Bing</v>
  </rv>
  <rv s="10">
    <v>en-GB</v>
    <v>af5lim</v>
    <v>268435456</v>
    <v>1</v>
    <v>Powered by Refinitiv</v>
    <v>19</v>
    <v>Bayerische Motoren Werke AG (XFRA:BMW)</v>
    <v>2</v>
    <v>20</v>
    <v>Finance</v>
    <v>21</v>
    <v>115.25</v>
    <v>36.884999999999998</v>
    <v>0.96250000000000002</v>
    <v>-0.08</v>
    <v>-1.1329999999999999E-3</v>
    <v>EUR</v>
    <v>Bayerische Motoren Werke AG (BMW) is a Germany-based company. The Company is engaged in the development and manufacturing of automobiles and motorcycles. Its business is divided into three segments: Automotive segment, Motorcycles segment, and Financial Services segment. The Automotive segment has three brands BMW, MINI and Rolls-Royce. The product range includes automobiles ranging from the compact class to the luxury class. The Motorcycles segment develops manufactures and sells motorcycles and scooters in the Sport, Tour, Roadster, Heritage, Adventure and Urban Mobility categories, as well as motorcycles for private use and special-purpose vehicles for operational use. The Financial Services segment offers credit financing and the leasing of BMW Group brand automobiles and motorcycles to retail customers. It also handles financing for dealerships and customer deposits.</v>
    <v>154540</v>
    <v>Deutsche Boerse AG</v>
    <v>XFRA</v>
    <v>XFRA</v>
    <v>Petuelring 130, MUNICH, BAYERN, 80809 DE</v>
    <v>71.02</v>
    <v>Automobiles &amp; Auto Parts</v>
    <v>Stock</v>
    <v>46178.836805555555</v>
    <v>54</v>
    <v>70.040000000000006</v>
    <v>54471310000</v>
    <v>Bayerische Motoren Werke AG</v>
    <v>Bayerische Motoren Werke AG</v>
    <v>70.040000000000006</v>
    <v>6.3513999999999999</v>
    <v>70.58</v>
    <v>70.5</v>
    <v>615810400</v>
    <v>BMW</v>
    <v>Bayerische Motoren Werke AG (XFRA:BMW)</v>
    <v>1155</v>
    <v>1234380</v>
    <v>1995</v>
  </rv>
  <rv s="2">
    <v>55</v>
  </rv>
  <rv s="0">
    <v>https://www.bing.com/financeapi/forcetrigger?t=a1pejc&amp;q=XNAS%3aCDNS&amp;form=skydnc</v>
    <v>Learn more on Bing</v>
  </rv>
  <rv s="1">
    <v>en-GB</v>
    <v>a1pejc</v>
    <v>268435456</v>
    <v>1</v>
    <v>Powered by Refinitiv</v>
    <v>0</v>
    <v>CADENCE DESIGN SYSTEMS, INC. (XNAS:CDNS)</v>
    <v>2</v>
    <v>3</v>
    <v>Finance</v>
    <v>4</v>
    <v>416.69</v>
    <v>262.74900000000002</v>
    <v>1.1415999999999999</v>
    <v>-35.49</v>
    <v>-7.1370000000000001E-3</v>
    <v>-8.6207999999999993E-2</v>
    <v>-2.6848999999999998</v>
    <v>USD</v>
    <v>Cadence Design Systems, Inc. is an electronic systems designing company. The Company applies its Intelligent System Design strategy to deliver software, hardware and intellectual property (IP) that turn design concepts into reality. Its product categories include Core Electronic Design Automation (EDA), Semiconductor IP, and System Design and Analysis (SD&amp;A). Core EDA includes software, hardware, and services used to design and verify a wide variety of semiconductors. The semiconductor IP portfolio includes silicon subsystems, software, and services that are used in semiconductor design. The SD&amp;A category provides solutions and services that enable the design and verification of complete electronic systems, from PCBs to complex system assemblies. Its semiconductors are used in various industries, including automotive, aerospace, biotech, hyperscale and cloud computing, data centers, telecommunications, medical technology, industrial Internet of things, and artificial intelligence (AI).</v>
    <v>13800</v>
    <v>Nasdaq Stock Market</v>
    <v>XNAS</v>
    <v>XNAS</v>
    <v>2655 Seely Avenue Bldg 5, SAN JOSE, CA, 95134 US</v>
    <v>407</v>
    <v>Software &amp; IT Services</v>
    <v>Stock</v>
    <v>46178.90310594844</v>
    <v>57</v>
    <v>373.54</v>
    <v>103759221040</v>
    <v>CADENCE DESIGN SYSTEMS, INC.</v>
    <v>CADENCE DESIGN SYSTEMS, INC.</v>
    <v>402.00200000000001</v>
    <v>96.107600000000005</v>
    <v>411.68</v>
    <v>376.19</v>
    <v>373.50510000000003</v>
    <v>275816000</v>
    <v>CDNS</v>
    <v>CADENCE DESIGN SYSTEMS, INC. (XNAS:CDNS)</v>
    <v>3518659</v>
    <v>2336395</v>
    <v>1987</v>
  </rv>
  <rv s="2">
    <v>58</v>
  </rv>
  <rv s="0">
    <v>https://www.bing.com/financeapi/forcetrigger?t=c4xjc7&amp;q=XNAS%3aCEG&amp;form=skydnc</v>
    <v>Learn more on Bing</v>
  </rv>
  <rv s="1">
    <v>en-GB</v>
    <v>c4xjc7</v>
    <v>268435456</v>
    <v>1</v>
    <v>Powered by Refinitiv</v>
    <v>0</v>
    <v>CONSTELLATION ENERGY CORPORATION. (XNAS:CEG)</v>
    <v>2</v>
    <v>3</v>
    <v>Finance</v>
    <v>4</v>
    <v>412.7</v>
    <v>243.3</v>
    <v>1.1014999999999999</v>
    <v>-9.76</v>
    <v>-1.2950000000000001E-3</v>
    <v>-3.6886999999999996E-2</v>
    <v>-0.33</v>
    <v>USD</v>
    <v>Constellation Energy Corporation is a producer of emissions-free energy and an energy supplier to businesses, homes and public sector customers nationwide. The Company’s nuclear, hydro, wind, and solar generation facilities have the generating capacity to power the equivalent of 27 million homes, providing about 10% of the nation’s clean energy. Its segments include Mid-Atlantic, Midwest, New York, ERCOT, and Other Power Regions. Through its integrated business operations, it sells electricity, natural gas, and other energy-related products and sustainable solutions to various types of customers, including distribution utilities, municipalities, cooperatives, commercial, industrial, public sector, and residential customers in markets across multiple geographic regions. It operates approximately 55 gigawatts of capacity from nuclear, natural gas, geothermal, hydro, wind and solar facilities.</v>
    <v>15291</v>
    <v>Nasdaq Stock Market</v>
    <v>XNAS</v>
    <v>XNAS</v>
    <v>1310 Point Street, BALTIMORE, MD, 21231 US</v>
    <v>261.86500000000001</v>
    <v>Electrical Utilities &amp; IPPs</v>
    <v>Stock</v>
    <v>46178.90344726797</v>
    <v>60</v>
    <v>253.68</v>
    <v>91509962660</v>
    <v>CONSTELLATION ENERGY CORPORATION.</v>
    <v>CONSTELLATION ENERGY CORPORATION.</v>
    <v>261</v>
    <v>22.986699999999999</v>
    <v>264.58999999999997</v>
    <v>254.83</v>
    <v>254.5</v>
    <v>359102000</v>
    <v>CEG</v>
    <v>CONSTELLATION ENERGY CORPORATION. (XNAS:CEG)</v>
    <v>4118632</v>
    <v>3928221</v>
    <v>2021</v>
  </rv>
  <rv s="2">
    <v>61</v>
  </rv>
  <rv s="0">
    <v>https://www.bing.com/financeapi/forcetrigger?t=c4s6z2&amp;q=XNAS%3aCRDO&amp;form=skydnc</v>
    <v>Learn more on Bing</v>
  </rv>
  <rv s="11">
    <v>en-GB</v>
    <v>c4s6z2</v>
    <v>268435456</v>
    <v>1</v>
    <v>Powered by Refinitiv</v>
    <v>22</v>
    <v>Credo Technology Group Holding Ltd (XNAS:CRDO)</v>
    <v>2</v>
    <v>23</v>
    <v>Finance</v>
    <v>4</v>
    <v>245.94990000000001</v>
    <v>66.75</v>
    <v>3.2399</v>
    <v>-10.61</v>
    <v>-4.2529999999999998E-3</v>
    <v>-4.8781999999999999E-2</v>
    <v>-0.88</v>
    <v>USD</v>
    <v>Credo Technology Group Holding Ltd is a Cayman Islands-based holding company. The Company delivers high-speed solutions to break bandwidth barriers on every wired connection in the data infrastructure market. It provides high-speed connectivity solutions that deliver improved power efficiency as data rates and corresponding bandwidth requirements increase exponentially throughout the data infrastructure market. Its connectivity solutions are optimized for optical and electrical Ethernet applications, including the emerging 100 gigabits per second (G), 200G, 400G, 800G and the emerging 1.6 terabits per second (T) port markets. Its products are based on its Serializer/Deserializer (SerDes) and Digital Signal Processor (DSP) technologies. Its product families include integrated circuits (ICs) for the optical and line card markets, active electrical cables (AECs) and SerDes Chiplets. The Company’s intellectual property (IP) solutions consist primarily of SerDes IP licensing.</v>
    <v>622</v>
    <v>Nasdaq Stock Market</v>
    <v>XNAS</v>
    <v>XNAS</v>
    <v>C/O Maples Corporate Services, Limited, Po Box 309, Ugland House, GRAND CAYMAN, KY1-1104 KY</v>
    <v>234.22</v>
    <v>Semiconductors &amp; Semiconductor Equipment</v>
    <v>Stock</v>
    <v>46178.90315803203</v>
    <v>63</v>
    <v>202.68</v>
    <v>38160839811</v>
    <v>Credo Technology Group Holding Ltd</v>
    <v>Credo Technology Group Holding Ltd</v>
    <v>208.12</v>
    <v>87.708299999999994</v>
    <v>217.5</v>
    <v>206.89</v>
    <v>206.01</v>
    <v>184449900</v>
    <v>CRDO</v>
    <v>Credo Technology Group Holding Ltd (XNAS:CRDO)</v>
    <v>15599147</v>
    <v>7171883</v>
  </rv>
  <rv s="2">
    <v>64</v>
  </rv>
  <rv s="0">
    <v>https://www.bing.com/financeapi/forcetrigger?t=a1qc1h&amp;q=XNYS%3aCRM&amp;form=skydnc</v>
    <v>Learn more on Bing</v>
  </rv>
  <rv s="1">
    <v>en-GB</v>
    <v>a1qc1h</v>
    <v>268435456</v>
    <v>1</v>
    <v>Powered by Refinitiv</v>
    <v>0</v>
    <v>SALESFORCE, INC. (XNYS:CRM)</v>
    <v>2</v>
    <v>3</v>
    <v>Finance</v>
    <v>4</v>
    <v>276.8</v>
    <v>163.52000000000001</v>
    <v>1.1515</v>
    <v>-3.07</v>
    <v>-2.532E-3</v>
    <v>-1.6265000000000002E-2</v>
    <v>-0.47</v>
    <v>USD</v>
    <v>Salesforce, Inc. is a customer relationship management (CRM) technology company. Its artificial intelligence (AI) powered Agentforce 360 Platform offers sales, service, marketing, commerce, collaboration, data management, integration, analytics, and information technology (IT) service solutions. It enables customers to build and deploy digital labor for employees and customers, leveraging autonomous AI agents across business functions. Its service offerings include Agentforce Sales, Agentforce Service, Agentforce 360 Platform, Slack and Others. The Agentforce Sales provides sales capabilities and tools built for organizations across prospecting, sales engagement, team collaboration, sales analytics and AI, sales programs, sales performance, partner management, and revenue and orders. The Agentforce Service provides field service solutions that enable companies to connect service agents, dispatchers and mobile employees through platform to schedule, dispatch and manage jobs.</v>
    <v>83334</v>
    <v>New York Stock Exchange</v>
    <v>XNYS</v>
    <v>XNYS</v>
    <v>SALESFORCE TOWER, 415 MISSION STREET 3RD FL, SAN FRANCISCO, CA, 94105 US</v>
    <v>192.51</v>
    <v>Software &amp; IT Services</v>
    <v>Stock</v>
    <v>46178.903353471876</v>
    <v>66</v>
    <v>184.83</v>
    <v>152071920000</v>
    <v>SALESFORCE, INC.</v>
    <v>SALESFORCE, INC.</v>
    <v>189.8</v>
    <v>21.838000000000001</v>
    <v>188.75</v>
    <v>185.68</v>
    <v>185.19</v>
    <v>819000000</v>
    <v>CRM</v>
    <v>SALESFORCE, INC. (XNYS:CRM)</v>
    <v>13158104</v>
    <v>14868214</v>
    <v>1999</v>
  </rv>
  <rv s="2">
    <v>67</v>
  </rv>
  <rv s="0">
    <v>https://www.bing.com/financeapi/forcetrigger?t=bq8rqh&amp;q=XNAS%3aCRWD&amp;form=skydnc</v>
    <v>Learn more on Bing</v>
  </rv>
  <rv s="1">
    <v>en-GB</v>
    <v>bq8rqh</v>
    <v>268435456</v>
    <v>1</v>
    <v>Powered by Refinitiv</v>
    <v>0</v>
    <v>CROWDSTRIKE HOLDINGS, INC. (XNAS:CRWD)</v>
    <v>2</v>
    <v>3</v>
    <v>Finance</v>
    <v>4</v>
    <v>785.66</v>
    <v>342.72</v>
    <v>1.2464999999999999</v>
    <v>-48.07</v>
    <v>-4.6129999999999999E-3</v>
    <v>-6.6848000000000005E-2</v>
    <v>-3.0952000000000002</v>
    <v>USD</v>
    <v>CrowdStrike Holdings, Inc. is a global cybersecurity company that provides cloud-delivered protection of endpoints, cloud workloads, identity and data. Its Falcon platform is designed for cybersecurity consolidation, purpose-built to stop breaches. The platforms collect and integrate data from across the enterprise, including endpoints, cloud workloads, identities, and third-party sources. It offers 29 cloud modules on its Falcon platform via a software as a service (SaaS) subscription-based model that spans multiple large markets, including corporate endpoint and cloud workload security, managed security services, security and vulnerability management, information technology (IT) operations management, identity protection, next-generation security information and event management (SIEM) and log management, threat intelligence services, data protection, SaaS security posture management, automation and response (SOAR) and artificial intelligence powered workflow automation, and others.</v>
    <v>10698</v>
    <v>Nasdaq Stock Market</v>
    <v>XNAS</v>
    <v>XNAS</v>
    <v>206 E. 9TH STREET, SUITE 1400, AUSTIN, TX, 78701 US</v>
    <v>706.22</v>
    <v>Software &amp; IT Services</v>
    <v>Stock</v>
    <v>46178.903419467184</v>
    <v>69</v>
    <v>670.1</v>
    <v>170799082230</v>
    <v>CROWDSTRIKE HOLDINGS, INC.</v>
    <v>CROWDSTRIKE HOLDINGS, INC.</v>
    <v>696.74</v>
    <v>0</v>
    <v>719.09</v>
    <v>671.02</v>
    <v>667.9248</v>
    <v>254536500</v>
    <v>CRWD</v>
    <v>CROWDSTRIKE HOLDINGS, INC. (XNAS:CRWD)</v>
    <v>5228185</v>
    <v>3542032</v>
    <v>2011</v>
  </rv>
  <rv s="2">
    <v>70</v>
  </rv>
  <rv s="7">
    <v>en-GB</v>
    <v>cgblqh</v>
    <v>268435456</v>
    <v>1</v>
    <v>Powered by Refinitiv</v>
    <v>14</v>
    <v>COREWEAVE, INC. (XNAS:CRWV)</v>
    <v>11</v>
    <v>3</v>
    <v>Finance</v>
    <v>4</v>
    <v>187</v>
    <v>63.8</v>
    <v>2.4409999999999998</v>
    <v>-7.64</v>
    <v>-9.3629999999999998E-3</v>
    <v>-7.0720999999999992E-2</v>
    <v>-0.94</v>
    <v>USD</v>
    <v>CoreWeave, Inc. is a cloud infrastructure technology company. The Company offers the CoreWeave Cloud Platform, which consists of software and cloud services that deliver the automation and efficiency needed to manage complex artificial intelligence (AI) infrastructure. Its CoreWeave Cloud Platform is an integrated solution that is purpose-built for running AI workloads such as model training and inference. Its solutions include infrastructure services, managed software services, and application software services. Its Infrastructure Services provide its customers with access to advanced graphics processing unit (GPU) and central processing unit (CPU) compute, highly performant networking, and storage. Its Managed Software Services include CKS, a flexible virtual private cloud and a bare metal service that runs kubernetes directly on high-performance servers. Its Application Software Services build on top of its infrastructure and managed software services, integrating additional tools.</v>
    <v>2189</v>
    <v>Nasdaq Stock Market</v>
    <v>XNAS</v>
    <v>XNAS</v>
    <v>290 W. Mt. Pleasant Avenue, Suite 4100, LIVINGSTON, NJ, 07039 US</v>
    <v>104.8</v>
    <v>Software &amp; IT Services</v>
    <v>Stock</v>
    <v>46178.903467430471</v>
    <v>95.540099999999995</v>
    <v>54769812456</v>
    <v>COREWEAVE, INC.</v>
    <v>COREWEAVE, INC.</v>
    <v>104.63500000000001</v>
    <v>0</v>
    <v>108.03</v>
    <v>100.39</v>
    <v>99.45</v>
    <v>545570400</v>
    <v>CRWV</v>
    <v>COREWEAVE, INC. (XNAS:CRWV)</v>
    <v>32311434</v>
    <v>29874791</v>
    <v>2017</v>
  </rv>
  <rv s="2">
    <v>72</v>
  </rv>
  <rv s="0">
    <v>https://www.bing.com/financeapi/forcetrigger?t=a1qe5r&amp;q=XNAS%3aCSCO&amp;form=skydnc</v>
    <v>Learn more on Bing</v>
  </rv>
  <rv s="1">
    <v>en-GB</v>
    <v>a1qe5r</v>
    <v>268435456</v>
    <v>1</v>
    <v>Powered by Refinitiv</v>
    <v>0</v>
    <v>CISCO SYSTEMS, INC. (XNAS:CSCO)</v>
    <v>2</v>
    <v>3</v>
    <v>Finance</v>
    <v>4</v>
    <v>130.3656</v>
    <v>63.865000000000002</v>
    <v>0.998</v>
    <v>-8.36</v>
    <v>-2.4660000000000003E-3</v>
    <v>-6.430799999999999E-2</v>
    <v>-0.3</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128.84</v>
    <v>Communications &amp; Networking</v>
    <v>Stock</v>
    <v>46178.903468298435</v>
    <v>74</v>
    <v>121.55</v>
    <v>479436153400</v>
    <v>CISCO SYSTEMS, INC.</v>
    <v>CISCO SYSTEMS, INC.</v>
    <v>128.66</v>
    <v>43.319600000000001</v>
    <v>130</v>
    <v>121.64</v>
    <v>121.34</v>
    <v>3941435000</v>
    <v>CSCO</v>
    <v>CISCO SYSTEMS, INC. (XNAS:CSCO)</v>
    <v>33139415</v>
    <v>27650547</v>
    <v>2021</v>
  </rv>
  <rv s="2">
    <v>75</v>
  </rv>
  <rv s="0">
    <v>https://www.bing.com/financeapi/forcetrigger?t=brjvjc&amp;q=XNAS%3aDDOG&amp;form=skydnc</v>
    <v>Learn more on Bing</v>
  </rv>
  <rv s="1">
    <v>en-GB</v>
    <v>brjvjc</v>
    <v>268435456</v>
    <v>1</v>
    <v>Powered by Refinitiv</v>
    <v>0</v>
    <v>DATADOG, INC. (XNAS:DDOG)</v>
    <v>2</v>
    <v>3</v>
    <v>Finance</v>
    <v>4</v>
    <v>278.70499999999998</v>
    <v>98.010099999999994</v>
    <v>1.5549999999999999</v>
    <v>-9.49</v>
    <v>-1.3284000000000001E-2</v>
    <v>-3.8956999999999999E-2</v>
    <v>-3.1099000000000001</v>
    <v>USD</v>
    <v>Datadog Inc provides an AI-powered observability and security platform for cloud applications. Its Software as a Service (SaaS) platform integrates and automates infrastructure monitoring, application performance monitoring, log management, user experience monitoring, cloud security and service management. Its proprietary platform combines the power of metrics, traces, logs, user sessions, security signals, and other data from a single agent and over 1,000 integrations to provide a unified view of infrastructure, application performance and real-time events impacting performance. Its solutions include built for dynamic cloud and hybrid infrastructures, simple but not simplistic, integrated data platform, built for collaboration, cloud-agnostic, ubiquitous, and integrates with its customers complex environments. Its platform is used by industries to enable digital transformation and cloud migration, and drive collaboration among development, operations, security and business teams.</v>
    <v>8100</v>
    <v>Nasdaq Stock Market</v>
    <v>XNAS</v>
    <v>XNAS</v>
    <v>620 8th Avenue, 45th Floor,, NEW YORK, NY, 10018 US</v>
    <v>241.61</v>
    <v>Software &amp; IT Services</v>
    <v>Stock</v>
    <v>46178.902660046093</v>
    <v>77</v>
    <v>230.57</v>
    <v>83333842422</v>
    <v>DATADOG, INC.</v>
    <v>DATADOG, INC.</v>
    <v>237.4</v>
    <v>617.20889999999997</v>
    <v>243.6</v>
    <v>234.11</v>
    <v>231.0001</v>
    <v>355960200</v>
    <v>DDOG</v>
    <v>DATADOG, INC. (XNAS:DDOG)</v>
    <v>6787014</v>
    <v>7441402</v>
    <v>2026</v>
  </rv>
  <rv s="2">
    <v>78</v>
  </rv>
  <rv s="0">
    <v>https://www.bing.com/financeapi/forcetrigger?t=a1retc&amp;q=XNYS%3aDELL&amp;form=skydnc</v>
    <v>Learn more on Bing</v>
  </rv>
  <rv s="1">
    <v>en-GB</v>
    <v>a1retc</v>
    <v>268435456</v>
    <v>1</v>
    <v>Powered by Refinitiv</v>
    <v>0</v>
    <v>DELL TECHNOLOGIES INC. (XNYS:DELL)</v>
    <v>2</v>
    <v>3</v>
    <v>Finance</v>
    <v>4</v>
    <v>469.47</v>
    <v>109.17</v>
    <v>1.3033999999999999</v>
    <v>-27.41</v>
    <v>-7.0740000000000004E-3</v>
    <v>-6.4945000000000003E-2</v>
    <v>-2.79</v>
    <v>USD</v>
    <v>Dell Technologies Inc. is engaged in designing, developing, manufacturing, marketing, selling, and supporting a wide range of comprehensive and integrated solutions, products, and services. The Company operates through two segments: Infrastructure Solutions Group (ISG) and Client Solutions Group (CSG). Its ISG segment enables the Company’s customer’s digital transformation with solutions that address artificial intelligence (AI), machine learning, data analytics, and multi cloud environments. Its comprehensive storage portfolio includes modern and traditional storage solutions, including all-flash arrays, scale-out file, object platforms, hyper-converged infrastructure, and software-defined storage. Its CSG segment offers branded personal computers (PCs) including notebooks, desktops, and workstations and branded peripherals that include displays, docking stations, keyboards, mice, and webcam and audio devices, as well as third-party software and peripherals.</v>
    <v>97000</v>
    <v>New York Stock Exchange</v>
    <v>XNYS</v>
    <v>XNYS</v>
    <v>ONE DELL WAY, ROUND ROCK, TX, 78682 US</v>
    <v>412.9</v>
    <v>Computers, Phones &amp; Household Electronics</v>
    <v>Stock</v>
    <v>46178.903500323438</v>
    <v>80</v>
    <v>386.27499999999998</v>
    <v>256345633912</v>
    <v>DELL TECHNOLOGIES INC.</v>
    <v>DELL TECHNOLOGIES INC.</v>
    <v>405.77</v>
    <v>33.516100000000002</v>
    <v>422.05</v>
    <v>394.64</v>
    <v>391.6</v>
    <v>649568300</v>
    <v>DELL</v>
    <v>DELL TECHNOLOGIES INC. (XNYS:DELL)</v>
    <v>10946010</v>
    <v>10485112</v>
    <v>2013</v>
  </rv>
  <rv s="2">
    <v>81</v>
  </rv>
  <rv s="0">
    <v>http://en.wikipedia.org/wiki/The_Walt_Disney_Company</v>
    <v>Wikipedia</v>
  </rv>
  <rv s="3">
    <v>6</v>
    <v>83</v>
  </rv>
  <rv s="4">
    <v>9</v>
    <v>https://www.bing.com/th?id=AMMS_0aa288ba528f6f45e3de87d97e250136&amp;qlt=95</v>
    <v>84</v>
    <v>0</v>
    <v>https://www.bing.com/images/search?form=xlimg&amp;q=the+walt+disney+company</v>
    <v>Image of THE WALT DISNEY COMPANY</v>
  </rv>
  <rv s="0">
    <v>https://www.bing.com/financeapi/forcetrigger?t=a1r2z2&amp;q=XNYS%3aDIS&amp;form=skydnc</v>
    <v>Learn more on Bing</v>
  </rv>
  <rv s="5">
    <v>en-GB</v>
    <v>a1r2z2</v>
    <v>268435456</v>
    <v>1</v>
    <v>Powered by Refinitiv</v>
    <v>5</v>
    <v>THE WALT DISNEY COMPANY (XNYS:DIS)</v>
    <v>7</v>
    <v>8</v>
    <v>Finance</v>
    <v>4</v>
    <v>124.69</v>
    <v>92.185000000000002</v>
    <v>1.3942000000000001</v>
    <v>0.4</v>
    <v>-1.0030000000000001E-4</v>
    <v>4.0270000000000002E-3</v>
    <v>-0.01</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100.2</v>
    <v>85</v>
    <v>Media &amp; Publishing</v>
    <v>Stock</v>
    <v>46178.903126249999</v>
    <v>86</v>
    <v>99.088999999999999</v>
    <v>173199607140</v>
    <v>THE WALT DISNEY COMPANY</v>
    <v>THE WALT DISNEY COMPANY</v>
    <v>99.68</v>
    <v>15.8965</v>
    <v>99.34</v>
    <v>99.74</v>
    <v>99.7</v>
    <v>1736511000</v>
    <v>DIS</v>
    <v>THE WALT DISNEY COMPANY (XNYS:DIS)</v>
    <v>9495916</v>
    <v>9257497</v>
    <v>2018</v>
  </rv>
  <rv s="2">
    <v>87</v>
  </rv>
  <rv s="0">
    <v>https://www.bing.com/financeapi/forcetrigger?t=br39hw&amp;q=XNYS%3aDT&amp;form=skydnc</v>
    <v>Learn more on Bing</v>
  </rv>
  <rv s="1">
    <v>en-GB</v>
    <v>br39hw</v>
    <v>268435456</v>
    <v>1</v>
    <v>Powered by Refinitiv</v>
    <v>0</v>
    <v>DYNATRACE, INC. (XNYS:DT)</v>
    <v>2</v>
    <v>3</v>
    <v>Finance</v>
    <v>4</v>
    <v>57.55</v>
    <v>31.635000000000002</v>
    <v>0.73829999999999996</v>
    <v>-1.05</v>
    <v>-9.7179999999999992E-3</v>
    <v>-2.4277000000000003E-2</v>
    <v>-0.41</v>
    <v>USD</v>
    <v>Dynatrace, Inc. is an artificial intelligence (AI)-powered observability platform. It is advancing observability for digital businesses and transforming the complexity of modern digital ecosystems into business assets. It enables organizations to analyze and automate. Its platform combines broad and deep observability, continuous runtime application security, and advanced AI to support information technology (IT) operations, development, security, and business teams, enabling organizations to optimize cloud and IT operations, accelerate secure software delivery, and improve digital performance. Its platform's solutions include infrastructure observability, application observability, AI observability, digital experience, business analytics, software delivery, threat observability, application security, and log management. Its application security detects, analyses, and remediates runtime application vulnerabilities and attacks in real time.</v>
    <v>5600</v>
    <v>New York Stock Exchange</v>
    <v>XNYS</v>
    <v>XNYS</v>
    <v>280 CONGRESS STREET, 11TH FLOOR, BOSTON, MA, 02210 US</v>
    <v>43.77</v>
    <v>Software &amp; IT Services</v>
    <v>Stock</v>
    <v>46178.899437337503</v>
    <v>89</v>
    <v>41.91</v>
    <v>12300274540</v>
    <v>DYNATRACE, INC.</v>
    <v>DYNATRACE, INC.</v>
    <v>43.3</v>
    <v>80.721900000000005</v>
    <v>43.25</v>
    <v>42.2</v>
    <v>41.78</v>
    <v>291475700</v>
    <v>DT</v>
    <v>DYNATRACE, INC. (XNYS:DT)</v>
    <v>4740219</v>
    <v>6445716</v>
    <v>2014</v>
  </rv>
  <rv s="2">
    <v>90</v>
  </rv>
  <rv s="0">
    <v>https://www.bing.com/financeapi/forcetrigger?t=bxb5p2&amp;q=XNAS%3aENVX&amp;form=skydnc</v>
    <v>Learn more on Bing</v>
  </rv>
  <rv s="1">
    <v>en-GB</v>
    <v>bxb5p2</v>
    <v>268435456</v>
    <v>1</v>
    <v>Powered by Refinitiv</v>
    <v>0</v>
    <v>Enovix Corporation (XNAS:ENVX)</v>
    <v>2</v>
    <v>3</v>
    <v>Finance</v>
    <v>4</v>
    <v>16.489999999999998</v>
    <v>4.6150000000000002</v>
    <v>2.2103999999999999</v>
    <v>-1.08</v>
    <v>1.374E-3</v>
    <v>-0.129187</v>
    <v>0.01</v>
    <v>USD</v>
    <v>Enovix Corporation is a high-performance battery company. The Company is focused on designing, developing, manufacturing, and commercializing Lithium-ion, or Li-ion, batteries, including silicon-anode architectures, for smartphones, smart eyewear, defense, industrial and emerging edge artificial intelligence (AI) applications. Its silicon-anode battery architecture enables energy density and performance relative to conventional battery cells, particularly in space-constrained devices. It focuses on developing a battery architecture that allows the use of active silicon and no graphite in the battery's anode, which is the negative electrode that stores lithium ions when a battery is charged. Its AI-1 battery platform is architected as a unified silicon-anode platform designed to address the high-performance consumer electronics and defense applications. The AI-1 platform is designed to support AI-enabled smartphones and smart eyewear, as well as other edge-AI devices.</v>
    <v>664</v>
    <v>Nasdaq Stock Market</v>
    <v>XNAS</v>
    <v>XNAS</v>
    <v>3501 W. Warren Avenue, FREMONT, CA, 94538 US</v>
    <v>8.23</v>
    <v>Machinery, Equipment &amp; Components</v>
    <v>Stock</v>
    <v>46178.90348910859</v>
    <v>92</v>
    <v>7.1</v>
    <v>1588156752</v>
    <v>Enovix Corporation</v>
    <v>Enovix Corporation</v>
    <v>8.1750000000000007</v>
    <v>0</v>
    <v>8.36</v>
    <v>7.28</v>
    <v>7.29</v>
    <v>218153400</v>
    <v>ENVX</v>
    <v>Enovix Corporation (XNAS:ENVX)</v>
    <v>8497863</v>
    <v>8283580</v>
    <v>2020</v>
  </rv>
  <rv s="2">
    <v>93</v>
  </rv>
  <rv s="0">
    <v>https://www.bing.com/financeapi/forcetrigger?t=a1safr&amp;q=XNYS%3aETN&amp;form=skydnc</v>
    <v>Learn more on Bing</v>
  </rv>
  <rv s="1">
    <v>en-GB</v>
    <v>a1safr</v>
    <v>268435456</v>
    <v>1</v>
    <v>Powered by Refinitiv</v>
    <v>0</v>
    <v>EATON CORPORATION PUBLIC LIMITED COMPANY (XNYS:ETN)</v>
    <v>2</v>
    <v>3</v>
    <v>Finance</v>
    <v>4</v>
    <v>435.43</v>
    <v>311.91500000000002</v>
    <v>1.1893</v>
    <v>-22.61</v>
    <v>-5.6879999999999995E-3</v>
    <v>-5.4012000000000004E-2</v>
    <v>-2.2521</v>
    <v>USD</v>
    <v>Eaton Corporation plc is an intelligent power management company. Its Electrical Americas segment consists of electrical components, industrial components, power distribution and assemblies, residential products, circuit protection, utility power distribution, wiring devices and others. The Electrical Global segment consists of electrical components, industrial components, power distribution and assemblies, single phase and three phase power quality, and services. The Aerospace segment is a global supplier of aerospace fuel, hydraulics, and pneumatic systems for commercial and military use and filtration systems for industrial applications. The Vehicle segment designs, manufactures, markets, and supplies drivetrain, powertrain systems and critical components. The eMobility segment designs, manufactures, markets, and supplies mechanical, electrical, and electronic components and systems. The Company is also engaged in providing thermal monitoring for critical electrical equipment.</v>
    <v>97000</v>
    <v>New York Stock Exchange</v>
    <v>XNYS</v>
    <v>XNYS</v>
    <v>EATON HOUSE 30 PEMBROKE ROAD DUBLIN 4, DUBLIN, D04 Y0C2 IE</v>
    <v>410.61</v>
    <v>Machinery, Equipment &amp; Components</v>
    <v>Stock</v>
    <v>46178.900008078126</v>
    <v>95</v>
    <v>393.17</v>
    <v>153766800000</v>
    <v>EATON CORPORATION PUBLIC LIMITED COMPANY</v>
    <v>EATON CORPORATION PUBLIC LIMITED COMPANY</v>
    <v>408.55</v>
    <v>40.924599999999998</v>
    <v>418.61</v>
    <v>396</v>
    <v>393.68790000000001</v>
    <v>388300000</v>
    <v>ETN</v>
    <v>EATON CORPORATION PUBLIC LIMITED COMPANY (XNYS:ETN)</v>
    <v>2535660</v>
    <v>2880792</v>
    <v>2012</v>
  </rv>
  <rv s="2">
    <v>96</v>
  </rv>
  <rv s="0">
    <v>https://www.bing.com/financeapi/forcetrigger?t=a1sxjc&amp;q=XNAS%3aFIVN&amp;form=skydnc</v>
    <v>Learn more on Bing</v>
  </rv>
  <rv s="1">
    <v>en-GB</v>
    <v>a1sxjc</v>
    <v>268435456</v>
    <v>1</v>
    <v>Powered by Refinitiv</v>
    <v>0</v>
    <v>FIVE9, INC. (XNAS:FIVN)</v>
    <v>2</v>
    <v>3</v>
    <v>Finance</v>
    <v>4</v>
    <v>30.38</v>
    <v>13.29</v>
    <v>1.4453</v>
    <v>-0.94</v>
    <v>-1.0204E-2</v>
    <v>-3.8429999999999999E-2</v>
    <v>-0.24</v>
    <v>USD</v>
    <v>Five9, Inc. helps organizations to create hyper-personalized artificial intelligence (AI)-driven customer experiences. The Company's Intelligent CX Platform, powered by its Five9 Genius AI suite, delivers a comprehensive suite of applications that enable customer service, sales, and marketing functions. It delivers a comprehensive, end-to-end cloud software solution for contact centers. Comprised of its Intelligent CX Platform and AI capabilities, including agentic AI agents, Agent Assist, Workflow Automation (WFA), AI Insights, AI Summaries, Workforce Engagement Management (WEM), and Revenue Execution, its solution allows simultaneous management and optimization of customer interactions across voice, chat, email, web, social media and mobile channels, either directly or through its application programming interfaces (APIs). The Company's agent interface is a browser-based design that provides visualization of customer profiles, context and cross-channel history.</v>
    <v>2910</v>
    <v>Nasdaq Stock Market</v>
    <v>XNAS</v>
    <v>XNAS</v>
    <v>3001 Bishop Drive, Suite 350, SAN RAMON, CA, 94583 US</v>
    <v>24.94</v>
    <v>Software &amp; IT Services</v>
    <v>Stock</v>
    <v>46178.893552719528</v>
    <v>98</v>
    <v>22.600100000000001</v>
    <v>1800785044</v>
    <v>FIVE9, INC.</v>
    <v>FIVE9, INC.</v>
    <v>24.25</v>
    <v>37.090400000000002</v>
    <v>24.46</v>
    <v>23.52</v>
    <v>23.28</v>
    <v>76563990</v>
    <v>FIVN</v>
    <v>FIVE9, INC. (XNAS:FIVN)</v>
    <v>3371039</v>
    <v>4442698</v>
    <v>2001</v>
  </rv>
  <rv s="2">
    <v>99</v>
  </rv>
  <rv s="0">
    <v>https://www.bing.com/financeapi/forcetrigger?t=a1tg3m&amp;q=XNAS%3aFTNT&amp;form=skydnc</v>
    <v>Learn more on Bing</v>
  </rv>
  <rv s="1">
    <v>en-GB</v>
    <v>a1tg3m</v>
    <v>268435456</v>
    <v>1</v>
    <v>Powered by Refinitiv</v>
    <v>0</v>
    <v>FORTINET, INC. (XNAS:FTNT)</v>
    <v>2</v>
    <v>3</v>
    <v>Finance</v>
    <v>4</v>
    <v>150.07</v>
    <v>70.12</v>
    <v>1.1027</v>
    <v>-4.99</v>
    <v>-1.073E-2</v>
    <v>-3.3340000000000002E-2</v>
    <v>-1.5524</v>
    <v>USD</v>
    <v>Fortinet, Inc. is engaged in cybersecurity, driving the convergence of networking and security. The Company's integrated platform, Fortinet Security Fabric, spans secure networking, unified secure access service edge (SASE), and artificial intelligence (AI)-driven security operations (SecOps). Its products and services include FortiOS, FortiASIC, FortiCloud, FortiAI, FortiEndpoint, and OT Security. The FortiGuard Labs is a cybersecurity threat intelligence and research organization comprised of experienced threat hunters, researchers, analysts, engineers, and data scientists who develop and utilize machine learning and AI technologies. FortiGuard and Other Security Services is an AI-powered security that is integrated as part of the Fortinet Security Fabric to deliver detection and enforcement across the entire attack surface. FortiCare Technical Support Service is a technical support service which provides customers with access to operations and maintenance of Fortinet solutions.</v>
    <v>15311</v>
    <v>Nasdaq Stock Market</v>
    <v>XNAS</v>
    <v>XNAS</v>
    <v>909 Kifer Road, SUNNYVALE, CA, 94086 US</v>
    <v>149.05000000000001</v>
    <v>Software &amp; IT Services</v>
    <v>Stock</v>
    <v>46178.903107765625</v>
    <v>101</v>
    <v>143.45500000000001</v>
    <v>105999570512</v>
    <v>FORTINET, INC.</v>
    <v>FORTINET, INC.</v>
    <v>148.46</v>
    <v>57.8245</v>
    <v>149.66999999999999</v>
    <v>144.68</v>
    <v>143.1276</v>
    <v>732648400</v>
    <v>FTNT</v>
    <v>FORTINET, INC. (XNAS:FTNT)</v>
    <v>7119075</v>
    <v>6701223</v>
    <v>2000</v>
  </rv>
  <rv s="2">
    <v>102</v>
  </rv>
  <rv s="0">
    <v>https://www.bing.com/financeapi/forcetrigger?t=a1u3p2&amp;q=XNAS%3aGOOG&amp;form=skydnc</v>
    <v>Learn more on Bing</v>
  </rv>
  <rv s="1">
    <v>en-GB</v>
    <v>a1u3p2</v>
    <v>268435456</v>
    <v>1</v>
    <v>Powered by Refinitiv</v>
    <v>0</v>
    <v>ALPHABET INC. (XNAS:GOOG)</v>
    <v>2</v>
    <v>3</v>
    <v>Finance</v>
    <v>4</v>
    <v>404.47</v>
    <v>163.33000000000001</v>
    <v>1.2397</v>
    <v>-3.51</v>
    <v>-4.8120000000000003E-3</v>
    <v>-9.5049999999999996E-3</v>
    <v>-1.76</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369.2</v>
    <v>Software &amp; IT Services</v>
    <v>Stock</v>
    <v>46178.903474316408</v>
    <v>104</v>
    <v>361.63</v>
    <v>4431548160000</v>
    <v>ALPHABET INC.</v>
    <v>ALPHABET INC.</v>
    <v>363.38</v>
    <v>28.201599999999999</v>
    <v>369.27</v>
    <v>365.76</v>
    <v>364</v>
    <v>12116000000</v>
    <v>GOOG</v>
    <v>ALPHABET INC. (XNAS:GOOG)</v>
    <v>23299314</v>
    <v>22670483</v>
    <v>2015</v>
  </rv>
  <rv s="2">
    <v>105</v>
  </rv>
  <rv s="0">
    <v>https://www.bing.com/financeapi/forcetrigger?t=c2mtww&amp;q=XNAS%3aHOOD&amp;form=skydnc</v>
    <v>Learn more on Bing</v>
  </rv>
  <rv s="1">
    <v>en-GB</v>
    <v>c2mtww</v>
    <v>268435456</v>
    <v>1</v>
    <v>Powered by Refinitiv</v>
    <v>0</v>
    <v>ROBINHOOD MARKETS, INC. (XNAS:HOOD)</v>
    <v>2</v>
    <v>3</v>
    <v>Finance</v>
    <v>4</v>
    <v>153.85990000000001</v>
    <v>63.515000000000001</v>
    <v>2.3544999999999998</v>
    <v>-5.86</v>
    <v>-2.6679999999999998E-3</v>
    <v>-6.6341999999999998E-2</v>
    <v>-0.22</v>
    <v>USD</v>
    <v>Robinhood Markets, Inc. is focused on providing financial services offering retail brokerage, crypto, advisory, digital banking services, and private markets access to investors. Its offerings include Brokerage, Robinhood Crypto, Custody, Robinhood Wallet, Robinhood Gold, and Robinhood Gold Card. Brokerage services include investing, options trading, fractional trading, recurring investment, access to investing on margin, fully paid securities lending, cash sweep, instant withdrawals, Robinhood retirement, 24-hour market, joint investing accounts, and event contracts. It also offers a variety of ways for its customers to grow their financial knowledge, including Robinhood Learn, In-App Education, Newsfeeds, Sherwood Snacks, and Crypto Learn and Earn. It also operates regulated crypto platforms including Bitbuy and Coinsquare. Its self-clearing system, order routing system, data platform, and other back-end infrastructure allow its customers to focus on investing, saving and spending.</v>
    <v>2900</v>
    <v>Nasdaq Stock Market</v>
    <v>XNAS</v>
    <v>XNAS</v>
    <v>85 Willow Road, MENLO PARK, CA, 94025 US</v>
    <v>87.329899999999995</v>
    <v>Financial Technology (Fintech) &amp; Infrastructure</v>
    <v>Stock</v>
    <v>46178.903469803125</v>
    <v>107</v>
    <v>79.489999999999995</v>
    <v>74264655597</v>
    <v>ROBINHOOD MARKETS, INC.</v>
    <v>ROBINHOOD MARKETS, INC.</v>
    <v>86.57</v>
    <v>49.137700000000002</v>
    <v>88.33</v>
    <v>82.47</v>
    <v>82.25</v>
    <v>900505100</v>
    <v>HOOD</v>
    <v>ROBINHOOD MARKETS, INC. (XNAS:HOOD)</v>
    <v>35758006</v>
    <v>26208893</v>
    <v>2013</v>
  </rv>
  <rv s="2">
    <v>108</v>
  </rv>
  <rv s="0">
    <v>http://en.wikipedia.org/wiki/IBM</v>
    <v>Wikipedia</v>
  </rv>
  <rv s="3">
    <v>6</v>
    <v>110</v>
  </rv>
  <rv s="4">
    <v>9</v>
    <v>https://www.bing.com/th?id=AMMS_41da901be1b295dc42c72dadb9c0f67d&amp;qlt=95</v>
    <v>111</v>
    <v>0</v>
    <v>https://www.bing.com/images/search?form=xlimg&amp;q=ibm</v>
    <v>Image of INTERNATIONAL BUSINESS MACHINES CORPORATION</v>
  </rv>
  <rv s="0">
    <v>https://www.bing.com/financeapi/forcetrigger?t=a1v6nm&amp;q=XNYS%3aIBM&amp;form=skydnc</v>
    <v>Learn more on Bing</v>
  </rv>
  <rv s="5">
    <v>en-GB</v>
    <v>a1v6nm</v>
    <v>268435456</v>
    <v>1</v>
    <v>Powered by Refinitiv</v>
    <v>5</v>
    <v>INTERNATIONAL BUSINESS MACHINES CORPORATION (XNYS:IBM)</v>
    <v>7</v>
    <v>8</v>
    <v>Finance</v>
    <v>4</v>
    <v>332.46</v>
    <v>212.34</v>
    <v>0.65800000000000003</v>
    <v>-16.9191</v>
    <v>-9.9710000000000007E-3</v>
    <v>-5.6066000000000005E-2</v>
    <v>-2.84</v>
    <v>USD</v>
    <v>International Business Machines Corporation is a provider of global hybrid cloud and artificial intelligence (AI) and consulting expertise. The Company’s segments include Software, Consulting, Infrastructure and Financing. The Software segment includes hybrid cloud and AI platforms, which allow clients to realize their digital and AI transformations across the applications, data, and environments in which they operate. The Consulting segment focuses on integrating skills on strategy, experience, technology and operations by domain and industry. The Infrastructure segment is focused on the hybrid cloud infrastructure market, providing on-premises and cloud-based server and storage solutions. In addition, it offers a portfolio of life-cycle services for hybrid cloud infrastructure deployment. The Financing segment provides client and commercial financing, facilitating its clients’ acquisition of hardware, software and services. It helps clients in more than 175 countries.</v>
    <v>286800</v>
    <v>New York Stock Exchange</v>
    <v>XNYS</v>
    <v>XNYS</v>
    <v>One New Orchard Road, ARMONK, NY, 10504 US</v>
    <v>302.3</v>
    <v>112</v>
    <v>Software &amp; IT Services</v>
    <v>Stock</v>
    <v>46178.903447187498</v>
    <v>113</v>
    <v>281.07010000000002</v>
    <v>267727173601</v>
    <v>INTERNATIONAL BUSINESS MACHINES CORPORATION</v>
    <v>INTERNATIONAL BUSINESS MACHINES CORPORATION</v>
    <v>300</v>
    <v>24.1493</v>
    <v>301.77</v>
    <v>284.85090000000002</v>
    <v>282</v>
    <v>939885300</v>
    <v>IBM</v>
    <v>INTERNATIONAL BUSINESS MACHINES CORPORATION (XNYS:IBM)</v>
    <v>12469379</v>
    <v>10573417</v>
    <v>1911</v>
  </rv>
  <rv s="2">
    <v>114</v>
  </rv>
  <rv s="0">
    <v>https://www.bing.com/financeapi/forcetrigger?t=a1vla2&amp;q=XNAS%3aINOD&amp;form=skydnc</v>
    <v>Learn more on Bing</v>
  </rv>
  <rv s="1">
    <v>en-GB</v>
    <v>a1vla2</v>
    <v>268435456</v>
    <v>1</v>
    <v>Powered by Refinitiv</v>
    <v>0</v>
    <v>INNODATA INC. (XNAS:INOD)</v>
    <v>2</v>
    <v>3</v>
    <v>Finance</v>
    <v>4</v>
    <v>125.14</v>
    <v>34.2301</v>
    <v>2.8271999999999999</v>
    <v>-19.53</v>
    <v>-9.5130000000000006E-3</v>
    <v>-0.16074100000000002</v>
    <v>-0.97</v>
    <v>USD</v>
    <v>Innodata Inc. is a global data engineering company. It provides a range of transferable solutions, platforms, and services for generative artificial intelligence (AI)/AI builders and adopters. Its Digital Data Solutions segment provides AI data preparation services, collecting or creating training data, annotating training data, and training AI algorithms for its customers, and AI model deployment and integration. It also provides a range of data engineering support services. Its Synodex segment provides an industry platform that transforms medical records into useable digital data organized in accordance with its proprietary data models or customer data models. Its Agility segment provides an industry platform that provides marketing communications and public relations professionals with the ability to target and distribute content to journalists and social media influencers worldwide and to monitor and analyze global news channels (print, Web, radio and TV) and social media channels.</v>
    <v>10020</v>
    <v>Nasdaq Stock Market</v>
    <v>XNAS</v>
    <v>XNAS</v>
    <v>55 Challenger Road, Suite 202, RIDGEFIELD PARK, NJ, 07660 US</v>
    <v>119.2</v>
    <v>Software &amp; IT Services</v>
    <v>Stock</v>
    <v>46178.902878483597</v>
    <v>116</v>
    <v>100.19</v>
    <v>1490374656</v>
    <v>INNODATA INC.</v>
    <v>INNODATA INC.</v>
    <v>116.905</v>
    <v>109.3186</v>
    <v>121.5</v>
    <v>101.97</v>
    <v>101</v>
    <v>32655360</v>
    <v>INOD</v>
    <v>INNODATA INC. (XNAS:INOD)</v>
    <v>2115570</v>
    <v>3083448</v>
    <v>1988</v>
  </rv>
  <rv s="2">
    <v>117</v>
  </rv>
  <rv s="0">
    <v>https://www.bing.com/financeapi/forcetrigger?t=a1vmf2&amp;q=XNAS%3aINTC&amp;form=skydnc</v>
    <v>Learn more on Bing</v>
  </rv>
  <rv s="1">
    <v>en-GB</v>
    <v>a1vmf2</v>
    <v>268435456</v>
    <v>1</v>
    <v>Powered by Refinitiv</v>
    <v>0</v>
    <v>INTEL CORPORATION (XNAS:INTC)</v>
    <v>2</v>
    <v>3</v>
    <v>Finance</v>
    <v>4</v>
    <v>132.75</v>
    <v>18.965</v>
    <v>2.2303000000000002</v>
    <v>-12.61</v>
    <v>-1.2806E-2</v>
    <v>-0.11281100000000001</v>
    <v>-1.27</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106.48</v>
    <v>Semiconductors &amp; Semiconductor Equipment</v>
    <v>Stock</v>
    <v>46178.903523587498</v>
    <v>119</v>
    <v>98.33</v>
    <v>498428420000</v>
    <v>INTEL CORPORATION</v>
    <v>INTEL CORPORATION</v>
    <v>106.48</v>
    <v>0</v>
    <v>111.78</v>
    <v>99.17</v>
    <v>97.9</v>
    <v>5026000000</v>
    <v>INTC</v>
    <v>INTEL CORPORATION (XNAS:INTC)</v>
    <v>144184718</v>
    <v>137584440</v>
    <v>1989</v>
  </rv>
  <rv s="2">
    <v>120</v>
  </rv>
  <rv s="0">
    <v>https://www.bing.com/financeapi/forcetrigger?t=bxb5m7&amp;q=XNYS%3aIONQ&amp;form=skydnc</v>
    <v>Learn more on Bing</v>
  </rv>
  <rv s="1">
    <v>en-GB</v>
    <v>bxb5m7</v>
    <v>268435456</v>
    <v>1</v>
    <v>Powered by Refinitiv</v>
    <v>0</v>
    <v>IONQ, INC. (XNYS:IONQ)</v>
    <v>2</v>
    <v>3</v>
    <v>Finance</v>
    <v>4</v>
    <v>84.64</v>
    <v>25.89</v>
    <v>3.1943999999999999</v>
    <v>-8.8800000000000008</v>
    <v>-1.9560000000000001E-2</v>
    <v>-0.135242</v>
    <v>-1.1106</v>
    <v>USD</v>
    <v>IonQ, Inc. is engaged in the quantum computing and networking industry, delivering high-performance systems capable of solving complex commercial and research use cases. Its generation quantum computers, IonQ Forte and IonQ Forte Enterprise, are cutting-edge systems, boasting 36 algorithmic qubits. It sells specialized quantum computing and networking hardware together with related maintenance and support. It also sells access to several quantum computers of various qubit capacities and is in the process of researching and developing technologies for quantum computers with increasing computational capabilities. It makes access to its quantum computers available via three cloud platforms, Amazon Web Services' (AWS) Amazon Braket, Microsoft's Azure Quantum and Google's Cloud Marketplace, and also to select customers via its own cloud service. Its product portfolio also includes quantum key distribution (QKD) systems, quantum random number generators (QRNGs), and single-photon detectors.</v>
    <v>1132</v>
    <v>New York Stock Exchange</v>
    <v>XNYS</v>
    <v>XNYS</v>
    <v>4505 Campus Drive, Suite 100, COLLEGE PARK, MD, 20740 US</v>
    <v>63.79</v>
    <v>Computers, Phones &amp; Household Electronics</v>
    <v>Stock</v>
    <v>46178.903377546092</v>
    <v>122</v>
    <v>55.84</v>
    <v>21194270600</v>
    <v>IONQ, INC.</v>
    <v>IONQ, INC.</v>
    <v>63.51</v>
    <v>1120.2860000000001</v>
    <v>65.66</v>
    <v>56.78</v>
    <v>55.669400000000003</v>
    <v>373270000</v>
    <v>IONQ</v>
    <v>IONQ, INC. (XNYS:IONQ)</v>
    <v>31840107</v>
    <v>34451097</v>
    <v>2020</v>
  </rv>
  <rv s="2">
    <v>123</v>
  </rv>
  <rv s="0">
    <v>https://www.bing.com/financeapi/forcetrigger?t=c438im&amp;q=XNAS%3aIREN&amp;form=skydnc</v>
    <v>Learn more on Bing</v>
  </rv>
  <rv s="1">
    <v>en-GB</v>
    <v>c438im</v>
    <v>268435456</v>
    <v>1</v>
    <v>Powered by Refinitiv</v>
    <v>0</v>
    <v>IREN LIMITED (XNAS:IREN)</v>
    <v>2</v>
    <v>3</v>
    <v>Finance</v>
    <v>4</v>
    <v>76.87</v>
    <v>8.82</v>
    <v>4.2358000000000002</v>
    <v>-7.51</v>
    <v>-2.7600000000000003E-3</v>
    <v>-0.121403</v>
    <v>-0.15</v>
    <v>USD</v>
    <v>IREN Limited is an Australia-based company, which owns and operates data centers powered by 100% renewable energy. Its facilities are optimized for Bitcoin mining, artificial intelligence (AI) cloud services, and other power-dense compute. Its data center mining facilities are in Canal Flats, Mackenzie, Prince George and Childress. Bitcoin Mining provides security to the Bitcoin network. Al Cloud Services provides cloud compute to Al customers, approximately 1,896 NVIDIA H100 and H200 GPUs. Its Canal Flats facility is in the Canadian Rockies, 100 kilometers (km) from Cranbrook regional airport and 500km east of Vancouver. Its facility is in Prince George, the city in northern British Columbia, located 500 km north of Vancouver. Its facility is located in Childress County, Texas, over 250 miles northwest of Dallas and in close proximity to multiple wind and solar generating facilities in the region. Its Childress operations comprise 200 Mega Watt of operating data centers.</v>
    <v>257</v>
    <v>Nasdaq Stock Market</v>
    <v>XNAS</v>
    <v>XNAS</v>
    <v>Level 5, 55 Market Street, SYDNEY, NEW SOUTH WALES, 2000 AU</v>
    <v>59.31</v>
    <v>Financial Technology (Fintech) &amp; Infrastructure</v>
    <v>Stock</v>
    <v>46178.903505508591</v>
    <v>125</v>
    <v>51.04</v>
    <v>19423532345</v>
    <v>IREN LIMITED</v>
    <v>IREN LIMITED</v>
    <v>59.31</v>
    <v>134.85059999999999</v>
    <v>61.86</v>
    <v>54.35</v>
    <v>54.2</v>
    <v>357378700</v>
    <v>IREN</v>
    <v>IREN LIMITED (XNAS:IREN)</v>
    <v>63853899</v>
    <v>55882084</v>
    <v>2018</v>
  </rv>
  <rv s="2">
    <v>126</v>
  </rv>
  <rv s="0">
    <v>https://www.bing.com/financeapi/forcetrigger?t=a1vxfr&amp;q=ARCX%3aIWM&amp;form=skydnc</v>
    <v>Learn more on Bing</v>
  </rv>
  <rv s="8">
    <v>en-GB</v>
    <v>a1vxfr</v>
    <v>268435456</v>
    <v>1</v>
    <v>Powered by Refinitiv</v>
    <v>15</v>
    <v>iShares:Russ 2000 ETF (ARCX:IWM)</v>
    <v>16</v>
    <v>17</v>
    <v>Finance</v>
    <v>18</v>
    <v>292.875</v>
    <v>206.81</v>
    <v>0.99929999999999997</v>
    <v>-10.43</v>
    <v>-3.8800000000000002E-3</v>
    <v>-3.5718E-2</v>
    <v>-1.0928</v>
    <v>USD</v>
    <v>NYSE Arca</v>
    <v>ARCX</v>
    <v>1.9E-3</v>
    <v>289.39499999999998</v>
    <v>ETF</v>
    <v>46178.90330844844</v>
    <v>128</v>
    <v>280.14999999999998</v>
    <v>80933362748.720001</v>
    <v>iShares:Russ 2000 ETF</v>
    <v>289.10000000000002</v>
    <v>292.01</v>
    <v>281.58</v>
    <v>280.55720000000002</v>
    <v>IWM</v>
    <v>iShares:Russ 2000 ETF (ARCX:IWM)</v>
    <v>35684498</v>
    <v>25877273</v>
  </rv>
  <rv s="2">
    <v>129</v>
  </rv>
  <rv s="0">
    <v>https://www.bing.com/financeapi/forcetrigger?t=a1wjkr&amp;q=XNAS%3aKLAC&amp;form=skydnc</v>
    <v>Learn more on Bing</v>
  </rv>
  <rv s="1">
    <v>en-GB</v>
    <v>a1wjkr</v>
    <v>268435456</v>
    <v>1</v>
    <v>Powered by Refinitiv</v>
    <v>0</v>
    <v>KLA CORPORATION (XNAS:KLAC)</v>
    <v>2</v>
    <v>3</v>
    <v>Finance</v>
    <v>4</v>
    <v>2156.69</v>
    <v>777.42</v>
    <v>1.4964999999999999</v>
    <v>-201.9</v>
    <v>-1.089E-4</v>
    <v>-9.4740000000000005E-2</v>
    <v>-0.21</v>
    <v>USD</v>
    <v>KLA Corporation (KLA) develops industry equipment and services. The Company provides advanced process control and process-enabling solutions for manufacturing wafers and reticles, integrated circuits, packaging, and printed circuit boards. It operates through three segments, which include Semiconductor Process Control, Specialty Semiconductor Process, and PCB and Component Inspection. The Semiconductor Process Control segment offers a portfolio of inspection, metrology and data analytics products, and related services. The Specialty Semiconductor Process segment develops and sells advanced vacuum deposition and etching process tools. The PCB and Component Inspection segment enables electronic device manufacturers to inspect, test and measure PCBs, flat panel displays, and integrated circuits (ICs) to verify their quality, pattern the desired electronic circuitry on the relevant substrate and perform three-dimensional shaping of metalized circuits on multiple surfaces.</v>
    <v>15000</v>
    <v>Nasdaq Stock Market</v>
    <v>XNAS</v>
    <v>XNAS</v>
    <v>One Technology Drive, MILPITAS, CA, 95035 US</v>
    <v>2054.96</v>
    <v>Semiconductors &amp; Semiconductor Equipment</v>
    <v>Stock</v>
    <v>46178.903519305466</v>
    <v>131</v>
    <v>1927.73</v>
    <v>252006573000</v>
    <v>KLA CORPORATION</v>
    <v>KLA CORPORATION</v>
    <v>2043.04</v>
    <v>603.36530000000005</v>
    <v>2131.1</v>
    <v>1929.2</v>
    <v>1928.99</v>
    <v>130627500</v>
    <v>KLAC</v>
    <v>KLA CORPORATION (XNAS:KLAC)</v>
    <v>1857490</v>
    <v>1031830</v>
    <v>1975</v>
  </rv>
  <rv s="2">
    <v>132</v>
  </rv>
  <rv s="0">
    <v>https://www.bing.com/financeapi/forcetrigger?t=a1wljc&amp;q=XNYS%3aKO&amp;form=skydnc</v>
    <v>Learn more on Bing</v>
  </rv>
  <rv s="1">
    <v>en-GB</v>
    <v>a1wljc</v>
    <v>268435456</v>
    <v>1</v>
    <v>Powered by Refinitiv</v>
    <v>0</v>
    <v>THE COCA-COLA COMPANY (XNYS:KO)</v>
    <v>2</v>
    <v>3</v>
    <v>Finance</v>
    <v>4</v>
    <v>82.663499999999999</v>
    <v>65.353800000000007</v>
    <v>0.35670000000000002</v>
    <v>2.68</v>
    <v>-2.3909999999999999E-3</v>
    <v>3.4887000000000001E-2</v>
    <v>-0.19</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80.7393</v>
    <v>Beverages</v>
    <v>Stock</v>
    <v>46178.903096562499</v>
    <v>134</v>
    <v>77.48</v>
    <v>342047319000</v>
    <v>THE COCA-COLA COMPANY</v>
    <v>THE COCA-COLA COMPANY</v>
    <v>77.510000000000005</v>
    <v>24.184100000000001</v>
    <v>76.819999999999993</v>
    <v>79.5</v>
    <v>79.290000000000006</v>
    <v>4302482000</v>
    <v>KO</v>
    <v>THE COCA-COLA COMPANY (XNYS:KO)</v>
    <v>25696678</v>
    <v>14777230</v>
    <v>1919</v>
  </rv>
  <rv s="2">
    <v>135</v>
  </rv>
  <rv s="0">
    <v>https://www.bing.com/financeapi/forcetrigger?t=a1x3r7&amp;q=XNAS%3aLPTH&amp;form=skydnc</v>
    <v>Learn more on Bing</v>
  </rv>
  <rv s="1">
    <v>en-GB</v>
    <v>a1x3r7</v>
    <v>268435456</v>
    <v>1</v>
    <v>Powered by Refinitiv</v>
    <v>0</v>
    <v>LIGHTPATH TECHNOLOGIES, INC. (XNAS:LPTH)</v>
    <v>2</v>
    <v>3</v>
    <v>Finance</v>
    <v>4</v>
    <v>18.940000000000001</v>
    <v>2.75</v>
    <v>1.3332999999999999</v>
    <v>-2.69</v>
    <v>9.5509999999999987E-3</v>
    <v>-0.152667</v>
    <v>0.1426</v>
    <v>USD</v>
    <v>LightPath Technologies, Inc. is a global, vertically integrated provider of optics, photonics and infrared solutions for the industrial, commercial, defense, telecommunications, and medical industries. The Company designs and manufactures optical and infrared components including molded glass aspheric lenses and assemblies, custom molded glass freeform lenses, infrared lenses and thermal imaging assemblies, fused fiber collimators, and BlackDiamond (BD6) chalcogenide-based glass lenses. It also offers custom optical assemblies, including full engineering design support. Its business is organized into four product groups: infrared components, visible components, assemblies and modules, and engineering services. Its infrared product group comprises both molded and turned infrared lenses and assemblies using a variety of infrared glass materials. Its assemblies and modules product group is comprised of other value-added products, including both infrared and visible components.</v>
    <v>345</v>
    <v>Nasdaq Stock Market</v>
    <v>XNAS</v>
    <v>XNAS</v>
    <v>2603 CHALLENGER TECH CT, STE 100, ORLANDO, FL, 32826-2716 US</v>
    <v>16.91</v>
    <v>Computers, Phones &amp; Household Electronics</v>
    <v>Stock</v>
    <v>46178.902286168748</v>
    <v>137</v>
    <v>14.79</v>
    <v>990766893</v>
    <v>LIGHTPATH TECHNOLOGIES, INC.</v>
    <v>LIGHTPATH TECHNOLOGIES, INC.</v>
    <v>16.649999999999999</v>
    <v>0</v>
    <v>17.62</v>
    <v>14.93</v>
    <v>15.0726</v>
    <v>66360810</v>
    <v>LPTH</v>
    <v>LIGHTPATH TECHNOLOGIES, INC. (XNAS:LPTH)</v>
    <v>4709234</v>
    <v>4157456</v>
    <v>1992</v>
  </rv>
  <rv s="2">
    <v>138</v>
  </rv>
  <rv s="0">
    <v>https://www.bing.com/financeapi/forcetrigger?t=a2nk77&amp;q=XNAS%3aLWLG&amp;form=skydnc</v>
    <v>Learn more on Bing</v>
  </rv>
  <rv s="1">
    <v>en-GB</v>
    <v>a2nk77</v>
    <v>268435456</v>
    <v>1</v>
    <v>Powered by Refinitiv</v>
    <v>0</v>
    <v>LIGHTWAVE LOGIC, INC. (XNAS:LWLG)</v>
    <v>2</v>
    <v>3</v>
    <v>Finance</v>
    <v>4</v>
    <v>18.709</v>
    <v>1.04</v>
    <v>2.3871000000000002</v>
    <v>-2.04</v>
    <v>-1.3787000000000001E-2</v>
    <v>-0.167488</v>
    <v>-0.13980000000000001</v>
    <v>USD</v>
    <v>Lightwave Logic, Inc. is a technology platform company leveraging its proprietary engineered electro-optic (EO) polymers known as Perkinamine, to transmit data at higher speeds with less power in a small form factor. The Company’s organic polymers allow it to create next-generation photonic EO devices that convert data from electrical signals into light/optical signals for applications in telecommunications, and for data transmission potentially used to support generative Artificial Intelligence. It designs its own proprietary materials for electro-optical modulation devices. Electro-optical modulators convert data from electric signals into optical signals that can then be transmitted over high-speed fiber-optic cables. It is focused on testing and demonstrating the manufacturability and reliability of its devices. In polymer photonics, polymer devices such as modulators, waveguides, and multiplexers can be fabricated on to a silicon platform.</v>
    <v>34</v>
    <v>Nasdaq Stock Market</v>
    <v>XNAS</v>
    <v>XNAS</v>
    <v>369 Inverness Parkway, Suite 350, ENGLEWOOD, CO, 80112 US</v>
    <v>11.75</v>
    <v>Electronic Equipment &amp; Parts</v>
    <v>Stock</v>
    <v>46178.903039825782</v>
    <v>140</v>
    <v>10.119999999999999</v>
    <v>1562367144</v>
    <v>LIGHTWAVE LOGIC, INC.</v>
    <v>LIGHTWAVE LOGIC, INC.</v>
    <v>11.7</v>
    <v>0</v>
    <v>12.18</v>
    <v>10.14</v>
    <v>10.0002</v>
    <v>154079600</v>
    <v>LWLG</v>
    <v>LIGHTWAVE LOGIC, INC. (XNAS:LWLG)</v>
    <v>5458829</v>
    <v>9037233</v>
    <v>1997</v>
  </rv>
  <rv s="2">
    <v>141</v>
  </rv>
  <rv s="0">
    <v>http://en.wikipedia.org/wiki/McDonald's</v>
    <v>Wikipedia</v>
  </rv>
  <rv s="3">
    <v>6</v>
    <v>143</v>
  </rv>
  <rv s="4">
    <v>9</v>
    <v>https://www.bing.com/th?id=AMMS_7d8255243964a8970376f8dd41121106&amp;qlt=95</v>
    <v>144</v>
    <v>0</v>
    <v>https://www.bing.com/images/search?form=xlimg&amp;q=mcdonald%27s</v>
    <v>Image of MCDONALD'S CORPORATION</v>
  </rv>
  <rv s="0">
    <v>https://www.bing.com/financeapi/forcetrigger?t=a1xdec&amp;q=XNYS%3aMCD&amp;form=skydnc</v>
    <v>Learn more on Bing</v>
  </rv>
  <rv s="5">
    <v>en-GB</v>
    <v>a1xdec</v>
    <v>268435456</v>
    <v>1</v>
    <v>Powered by Refinitiv</v>
    <v>5</v>
    <v>MCDONALD'S CORPORATION (XNYS:MCD)</v>
    <v>7</v>
    <v>8</v>
    <v>Finance</v>
    <v>4</v>
    <v>341.75</v>
    <v>271.85000000000002</v>
    <v>0.41560000000000002</v>
    <v>7.0549999999999997</v>
    <v>-1.2149999999999999E-3</v>
    <v>2.5869E-2</v>
    <v>-0.34</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comprises markets or countries in which it operates and franchises restaurants, including Australia, Canada, France, Germany, Italy, Poland, Spain, and the United Kingdom. This segment is 89% franchised. The International Developmental Licensed Markets &amp; Corporate segment comprises development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280.76240000000001</v>
    <v>145</v>
    <v>Hotels &amp; Entertainment Services</v>
    <v>Stock</v>
    <v>46178.903093923436</v>
    <v>146</v>
    <v>274.39999999999998</v>
    <v>198781788172</v>
    <v>MCDONALD'S CORPORATION</v>
    <v>MCDONALD'S CORPORATION</v>
    <v>274.39999999999998</v>
    <v>22.479900000000001</v>
    <v>272.72000000000003</v>
    <v>279.77499999999998</v>
    <v>279.5</v>
    <v>710505900</v>
    <v>MCD</v>
    <v>MCDONALD'S CORPORATION (XNYS:MCD)</v>
    <v>5416099</v>
    <v>4352026</v>
    <v>1964</v>
  </rv>
  <rv s="2">
    <v>147</v>
  </rv>
  <rv s="0">
    <v>http://commons.wikimedia.org/wiki/File:MongoDB_Logo.svg</v>
    <v>&lt;a rel="nofollow" class="external text" href="https://www.mongodb.com/legal/trademark-usage-guidelines"&gt;MongoDB, Inc.&lt;/a&gt;</v>
  </rv>
  <rv s="0">
    <v>http://en.wikipedia.org/wiki/MongoDB_Inc.</v>
    <v>Wikipedia</v>
  </rv>
  <rv s="3">
    <v>149</v>
    <v>150</v>
  </rv>
  <rv s="4">
    <v>9</v>
    <v>https://www.bing.com/th?id=AMMS_e1db2e3234bc1bb199e8aee07d2a0340&amp;qlt=95</v>
    <v>151</v>
    <v>0</v>
    <v>https://www.bing.com/images/search?form=xlimg&amp;q=10gen</v>
    <v>Image of MONGODB, INC.</v>
  </rv>
  <rv s="0">
    <v>https://www.bing.com/financeapi/forcetrigger?t=a1xf1h&amp;q=XNAS%3aMDB&amp;form=skydnc</v>
    <v>Learn more on Bing</v>
  </rv>
  <rv s="5">
    <v>en-GB</v>
    <v>a1xf1h</v>
    <v>268435456</v>
    <v>1</v>
    <v>Powered by Refinitiv</v>
    <v>5</v>
    <v>MONGODB, INC. (XNAS:MDB)</v>
    <v>7</v>
    <v>8</v>
    <v>Finance</v>
    <v>4</v>
    <v>444.72</v>
    <v>196</v>
    <v>1.5414000000000001</v>
    <v>-29.44</v>
    <v>-9.6940000000000004E-4</v>
    <v>-7.7436999999999992E-2</v>
    <v>-0.34</v>
    <v>USD</v>
    <v>MongoDB, Inc. is a developer data platform company. Its developer data platform is a globally distributed operational database integrated with a set of data services that allow development teams to address the growing variety of application requirements. Its customers can implement its developer data platform as a managed service offering, or they can choose a self-managed option. Its MongoDB Atlas is its managed multi-cloud database-as-a-service (DBaaS) offering that includes an integrated set of databases and related services. Atlas Vector Search allows the integration of an operational database and vector search in a unified, fully managed platform. MongoDB Enterprise Advanced is its proprietary self-managed commercial offering for enterprise customers that can run in the cloud, on-premises or in a hybrid environment. It also provides professional services for its customers.</v>
    <v>5636</v>
    <v>Nasdaq Stock Market</v>
    <v>XNAS</v>
    <v>XNAS</v>
    <v>1633 Broadway, 38th Floor, NEW YORK, NY, 10019 US</v>
    <v>381</v>
    <v>152</v>
    <v>Software &amp; IT Services</v>
    <v>Stock</v>
    <v>46178.895453796096</v>
    <v>153</v>
    <v>350.11</v>
    <v>28210695128</v>
    <v>MONGODB, INC.</v>
    <v>MONGODB, INC.</v>
    <v>375.09</v>
    <v>0</v>
    <v>380.18</v>
    <v>350.74</v>
    <v>350.4</v>
    <v>80431930</v>
    <v>MDB</v>
    <v>MONGODB, INC. (XNAS:MDB)</v>
    <v>1780269</v>
    <v>2746215</v>
    <v>2007</v>
  </rv>
  <rv s="2">
    <v>154</v>
  </rv>
  <rv s="0">
    <v>https://www.bing.com/financeapi/forcetrigger?t=a1slm7&amp;q=XNAS%3aMETA&amp;form=skydnc</v>
    <v>Learn more on Bing</v>
  </rv>
  <rv s="1">
    <v>en-GB</v>
    <v>a1slm7</v>
    <v>268435456</v>
    <v>1</v>
    <v>Powered by Refinitiv</v>
    <v>0</v>
    <v>META PLATFORMS, INC. (XNAS:META)</v>
    <v>2</v>
    <v>3</v>
    <v>Finance</v>
    <v>4</v>
    <v>796.25</v>
    <v>520.26</v>
    <v>1.2296</v>
    <v>-34.57</v>
    <v>-3.2040000000000003E-3</v>
    <v>-5.5084999999999995E-2</v>
    <v>-1.9</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77986</v>
    <v>Nasdaq Stock Market</v>
    <v>XNAS</v>
    <v>XNAS</v>
    <v>1 Meta Way, MENLO PARK, CA, 94025 US</v>
    <v>629.14499999999998</v>
    <v>Software &amp; IT Services</v>
    <v>Stock</v>
    <v>46178.903478969529</v>
    <v>156</v>
    <v>582.91</v>
    <v>1505284839000</v>
    <v>META PLATFORMS, INC.</v>
    <v>META PLATFORMS, INC.</v>
    <v>623.46</v>
    <v>19.0352</v>
    <v>627.57000000000005</v>
    <v>593</v>
    <v>591.1</v>
    <v>2538423000</v>
    <v>META</v>
    <v>META PLATFORMS, INC. (XNAS:META)</v>
    <v>29619204</v>
    <v>17801115</v>
    <v>2004</v>
  </rv>
  <rv s="2">
    <v>157</v>
  </rv>
  <rv s="0">
    <v>https://www.bing.com/financeapi/forcetrigger?t=a1xygh&amp;q=XNAS%3aMRVL&amp;form=skydnc</v>
    <v>Learn more on Bing</v>
  </rv>
  <rv s="1">
    <v>en-GB</v>
    <v>a1xygh</v>
    <v>268435456</v>
    <v>1</v>
    <v>Powered by Refinitiv</v>
    <v>0</v>
    <v>MARVELL TECHNOLOGY, INC. (XNAS:MRVL)</v>
    <v>2</v>
    <v>3</v>
    <v>Finance</v>
    <v>4</v>
    <v>324.2</v>
    <v>61.44</v>
    <v>2.2330999999999999</v>
    <v>-52.96</v>
    <v>6.0837000000000002E-2</v>
    <v>-0.16736699999999999</v>
    <v>16.0288</v>
    <v>USD</v>
    <v>Marvell Technology, Inc. together with its consolidated subsidiaries, is a supplier of data infrastructure semiconductor solutions, spanning the data center core to network edge. It is engaged in the design, development and sale of integrated circuits. Its product offerings include custom application-specific integrated circuits (ASICs), interconnects, ethernet solutions, fiber channel adapters, processors and storage controllers. In addition, it is also developing Ultra Accelerator LinkTM (UALinkTM) switches and ethernet for scale-up networking (ESUN) switches for the emerging scale-out artificial intelligence market. Its solutions integrate multiple analogs, mixed-signal and digital intellectual property components incorporating hardware, firmware and software technologies and its system knowledge to provide its customers with integrated solutions for their end products. It designs and manufactures photonic integrated circuits for ultra-high-bandwidth and low-power applications.</v>
    <v>7480</v>
    <v>Nasdaq Stock Market</v>
    <v>XNAS</v>
    <v>XNAS</v>
    <v>1000 N. West Street, Suite 1200, WILMINGTON, DE, 19801 US</v>
    <v>300.72430000000003</v>
    <v>Semiconductors &amp; Semiconductor Equipment</v>
    <v>Stock</v>
    <v>46178.903561006249</v>
    <v>159</v>
    <v>261.39</v>
    <v>230483556000</v>
    <v>MARVELL TECHNOLOGY, INC.</v>
    <v>MARVELL TECHNOLOGY, INC.</v>
    <v>299.5</v>
    <v>108.3839</v>
    <v>316.43</v>
    <v>263.47000000000003</v>
    <v>279.49880000000002</v>
    <v>874800000</v>
    <v>MRVL</v>
    <v>MARVELL TECHNOLOGY, INC. (XNAS:MRVL)</v>
    <v>91834421</v>
    <v>36932388</v>
    <v>2020</v>
  </rv>
  <rv s="2">
    <v>160</v>
  </rv>
  <rv s="0">
    <v>https://en.wikipedia.org/wiki/Microsoft</v>
    <v>Wikipedia</v>
  </rv>
  <rv s="3">
    <v>6</v>
    <v>162</v>
  </rv>
  <rv s="4">
    <v>9</v>
    <v>https://www.bing.com/th?id=AMMS_e6e837c7bf3a77408619758b7447855a&amp;qlt=95</v>
    <v>163</v>
    <v>0</v>
    <v>https://www.bing.com/images/search?form=xlimg&amp;q=microsoft</v>
    <v>Image of MICROSOFT CORPORATION</v>
  </rv>
  <rv s="0">
    <v>https://www.bing.com/financeapi/forcetrigger?t=a1xzim&amp;q=XNAS%3aMSFT&amp;form=skydnc</v>
    <v>Learn more on Bing</v>
  </rv>
  <rv s="5">
    <v>en-GB</v>
    <v>a1xzim</v>
    <v>268435456</v>
    <v>1</v>
    <v>Powered by Refinitiv</v>
    <v>5</v>
    <v>MICROSOFT CORPORATION (XNAS:MSFT)</v>
    <v>7</v>
    <v>8</v>
    <v>Finance</v>
    <v>4</v>
    <v>555.45000000000005</v>
    <v>356.28</v>
    <v>1.1068</v>
    <v>-11.38</v>
    <v>-3.1680000000000002E-3</v>
    <v>-2.6585999999999999E-2</v>
    <v>-1.32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429.47</v>
    <v>164</v>
    <v>Software &amp; IT Services</v>
    <v>Stock</v>
    <v>46178.90349166641</v>
    <v>165</v>
    <v>414.4</v>
    <v>3095206011450</v>
    <v>MICROSOFT CORPORATION</v>
    <v>MICROSOFT CORPORATION</v>
    <v>428.34</v>
    <v>25.494900000000001</v>
    <v>428.05</v>
    <v>416.67</v>
    <v>415.35</v>
    <v>7428435000</v>
    <v>MSFT</v>
    <v>MICROSOFT CORPORATION (XNAS:MSFT)</v>
    <v>34602619</v>
    <v>37058663</v>
    <v>1993</v>
  </rv>
  <rv s="2">
    <v>166</v>
  </rv>
  <rv s="0">
    <v>https://www.bing.com/financeapi/forcetrigger?t=a1y1qh&amp;q=XNAS%3aMSTR&amp;form=skydnc</v>
    <v>Learn more on Bing</v>
  </rv>
  <rv s="1">
    <v>en-GB</v>
    <v>a1y1qh</v>
    <v>268435456</v>
    <v>1</v>
    <v>Powered by Refinitiv</v>
    <v>0</v>
    <v>STRATEGY INC (XNAS:MSTR)</v>
    <v>2</v>
    <v>3</v>
    <v>Finance</v>
    <v>4</v>
    <v>457.22</v>
    <v>104.16500000000001</v>
    <v>3.4868000000000001</v>
    <v>-8.93</v>
    <v>8.8009999999999998E-3</v>
    <v>-6.9027000000000005E-2</v>
    <v>1.06</v>
    <v>USD</v>
    <v>Strategy Inc. is a bitcoin treasury and business intelligence company. The Company provides cloud-native, artificial intelligence (AI)-powered enterprise analytics software to thousands of global customers. Its Software Business segment is engaged in the design, development, marketing, and sales of enterprise analytics software platform through cloud subscriptions and licensing arrangements and related services. Its Strategy ONE platform provides access to AI-powered workflows, unlimited data sources, cloud-native technologies, and performance to speed up time from data to action. Strategy One delivers visualization, reporting, and embedded analytics capabilities across retail, banking, technology, manufacturing, insurance, consulting, healthcare, public sector, and others. Its Strategy Mosaic is a universal intelligence layer that provides enterprises with consistent definitions and governance across data sources, regardless of where that data resides or which tools access it.</v>
    <v>1511</v>
    <v>Nasdaq Stock Market</v>
    <v>XNAS</v>
    <v>XNAS</v>
    <v>1850 TOWERS CRESCENT PLAZA, TYSONS CORNER, VA, 22182 US</v>
    <v>125.2953</v>
    <v>Software &amp; IT Services</v>
    <v>Stock</v>
    <v>46178.903323182814</v>
    <v>168</v>
    <v>114.31</v>
    <v>43141355076</v>
    <v>STRATEGY INC</v>
    <v>STRATEGY INC</v>
    <v>124.25</v>
    <v>0</v>
    <v>129.37</v>
    <v>120.44</v>
    <v>121.5</v>
    <v>358197900</v>
    <v>MSTR</v>
    <v>STRATEGY INC (XNAS:MSTR)</v>
    <v>41714099</v>
    <v>16365965</v>
    <v>1989</v>
  </rv>
  <rv s="2">
    <v>169</v>
  </rv>
  <rv s="0">
    <v>https://www.bing.com/financeapi/forcetrigger?t=a1y4oc&amp;q=XNAS%3aMU&amp;form=skydnc</v>
    <v>Learn more on Bing</v>
  </rv>
  <rv s="1">
    <v>en-GB</v>
    <v>a1y4oc</v>
    <v>268435456</v>
    <v>1</v>
    <v>Powered by Refinitiv</v>
    <v>0</v>
    <v>MICRON TECHNOLOGY, INC. (XNAS:MU)</v>
    <v>2</v>
    <v>3</v>
    <v>Finance</v>
    <v>4</v>
    <v>1089.29</v>
    <v>103.38</v>
    <v>2.1732</v>
    <v>-131.99</v>
    <v>6.5380000000000004E-3</v>
    <v>-0.13252</v>
    <v>5.6489000000000003</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961.89</v>
    <v>Semiconductors &amp; Semiconductor Equipment</v>
    <v>Stock</v>
    <v>46178.90346648125</v>
    <v>171</v>
    <v>864.01</v>
    <v>974373453340</v>
    <v>MICRON TECHNOLOGY, INC.</v>
    <v>MICRON TECHNOLOGY, INC.</v>
    <v>944.4</v>
    <v>40.791200000000003</v>
    <v>996</v>
    <v>864.01</v>
    <v>869.65890000000002</v>
    <v>1127734000</v>
    <v>MU</v>
    <v>MICRON TECHNOLOGY, INC. (XNAS:MU)</v>
    <v>76156083</v>
    <v>53729736</v>
    <v>1984</v>
  </rv>
  <rv s="2">
    <v>172</v>
  </rv>
  <rv s="0">
    <v>https://www.bing.com/financeapi/forcetrigger?t=brh6oc&amp;q=XNYS%3aNET&amp;form=skydnc</v>
    <v>Learn more on Bing</v>
  </rv>
  <rv s="1">
    <v>en-GB</v>
    <v>brh6oc</v>
    <v>268435456</v>
    <v>1</v>
    <v>Powered by Refinitiv</v>
    <v>0</v>
    <v>CLOUDFLARE, INC. (XNYS:NET)</v>
    <v>2</v>
    <v>3</v>
    <v>Finance</v>
    <v>4</v>
    <v>276.815</v>
    <v>158.83000000000001</v>
    <v>1.6660999999999999</v>
    <v>-18.36</v>
    <v>-8.3359999999999997E-3</v>
    <v>-6.8344000000000002E-2</v>
    <v>-2.085</v>
    <v>USD</v>
    <v>Cloudflare, Inc. is a connectivity cloud company. The Company delivers a range of services to businesses of all sizes and in all geographies, enhancing the performance of business-critical applications. Its full suite of products consists of application services that help deliver security, performance, and reliability for any organization's applications connected to the Internet, including Websites and application programming interfaces (APIs) and its secure access service edge (SASE) platform, which contains its suite of and workplace security services and network services solutions to help ensure traffic in and out of an organization’s network and devices is verified and authorized and data is protected and secured, as well as to securely connect data centers, cloud services, and branch offices to an organization with its connectivity cloud. The Company also offers developer-based solutions which build and deploys serverless and artificial intelligence applications.</v>
    <v>5483</v>
    <v>New York Stock Exchange</v>
    <v>XNYS</v>
    <v>XNYS</v>
    <v>101 Townsend St, SAN FRANCISCO, CA, 94107-1934 US</v>
    <v>268.82</v>
    <v>Software &amp; IT Services</v>
    <v>Stock</v>
    <v>46178.903350092187</v>
    <v>174</v>
    <v>246.94</v>
    <v>88465520536</v>
    <v>CLOUDFLARE, INC.</v>
    <v>CLOUDFLARE, INC.</v>
    <v>267.87</v>
    <v>0</v>
    <v>268.64</v>
    <v>250.28</v>
    <v>248.02500000000001</v>
    <v>353466200</v>
    <v>NET</v>
    <v>CLOUDFLARE, INC. (XNYS:NET)</v>
    <v>4732524</v>
    <v>5034853</v>
    <v>2009</v>
  </rv>
  <rv s="2">
    <v>175</v>
  </rv>
  <rv s="0">
    <v>https://www.bing.com/financeapi/forcetrigger?t=afgp6h&amp;q=XFRA%3aNKE&amp;form=skydnc</v>
    <v>Learn more on Bing</v>
  </rv>
  <rv s="12">
    <v>en-GB</v>
    <v>afgp6h</v>
    <v>268435456</v>
    <v>1</v>
    <v>Powered by Refinitiv</v>
    <v>24</v>
    <v>NIKE, INC. (XFRA:NKE)</v>
    <v>2</v>
    <v>25</v>
    <v>Finance</v>
    <v>21</v>
    <v>1.1182000000000001</v>
    <v>9.5000000000000001E-2</v>
    <v>2.5430000000000001E-3</v>
    <v>EUR</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77800</v>
    <v>Deutsche Boerse AG</v>
    <v>XFRA</v>
    <v>XFRA</v>
    <v>One Bowerman Dr, BEAVERTON, OR, 97005-6453 US</v>
    <v>37.784999999999997</v>
    <v>Textiles &amp; Apparel</v>
    <v>Stock</v>
    <v>46178.836805555555</v>
    <v>177</v>
    <v>37.03</v>
    <v>98149420000</v>
    <v>NIKE, INC.</v>
    <v>NIKE, INC.</v>
    <v>37.784999999999997</v>
    <v>29.0349</v>
    <v>37.36</v>
    <v>37.454999999999998</v>
    <v>1480887000</v>
    <v>NKE</v>
    <v>NIKE, INC. (XFRA:NKE)</v>
    <v>1788</v>
    <v>22959470</v>
    <v>1969</v>
  </rv>
  <rv s="2">
    <v>178</v>
  </rv>
  <rv s="9">
    <v>12</v>
    <v>52 week high</v>
    <v>0</v>
  </rv>
  <rv s="9">
    <v>12</v>
    <v>52 week low</v>
    <v>0</v>
  </rv>
  <rv s="0">
    <v>https://www.bing.com/financeapi/forcetrigger?t=a1ynp2&amp;q=XNYS%3aNOK&amp;form=skydnc</v>
    <v>Learn more on Bing</v>
  </rv>
  <rv s="1">
    <v>en-GB</v>
    <v>a1ynp2</v>
    <v>268435456</v>
    <v>1</v>
    <v>Powered by Refinitiv</v>
    <v>0</v>
    <v>Nokia Oyj (XNYS:NOK)</v>
    <v>2</v>
    <v>3</v>
    <v>Finance</v>
    <v>4</v>
    <v>17.45</v>
    <v>4</v>
    <v>1.1414</v>
    <v>-2.27</v>
    <v>-7.0169999999999998E-3</v>
    <v>-0.13658200000000001</v>
    <v>-0.1009</v>
    <v>USD</v>
    <v>Nokia Oyj is a Finland-based company engaged in the network and Internet protocol (IP) infrastructure, software, and related services market. The Company's businesses include Nokia Networks and Nokia Technologies. The Company's segments include Ultra Broadband Networks, IP Networks and Applications, and Nokia Technologies. The Ultra Broadband Networks segment comprises Mobile Networks and Fixed Networks operating segments. The IP Networks and Applications segment comprises IP/Optical Networks and Applications &amp; Analytics operating segments. The Applications &amp; Analytics operating segment offers software solutions spanning customer experience management, network operations and management, communications and collaboration, policy and charging, as well as Cloud, Internet of things (IoT), security, and analytics platforms that enable digital services providers and enterprises to accelerate and optimize their customer experience. The Company has Comptel Oyj among its subsidiaries.</v>
    <v>77586</v>
    <v>New York Stock Exchange</v>
    <v>XNYS</v>
    <v>XNYS</v>
    <v>Karakaari 7, Espoo, VLASENICE, 02610 FI</v>
    <v>15.67</v>
    <v>Communications &amp; Networking</v>
    <v>Stock</v>
    <v>46178.903528946095</v>
    <v>182</v>
    <v>14</v>
    <v>82401144000</v>
    <v>Nokia Oyj</v>
    <v>Nokia Oyj</v>
    <v>15.66</v>
    <v>103.3112</v>
    <v>16.62</v>
    <v>14.35</v>
    <v>14.2791</v>
    <v>5742240000</v>
    <v>NOK</v>
    <v>Nokia Oyj (XNYS:NOK)</v>
    <v>182912447</v>
    <v>122942145</v>
    <v>1997</v>
  </rv>
  <rv s="2">
    <v>183</v>
  </rv>
  <rv s="0">
    <v>https://www.bing.com/financeapi/forcetrigger?t=a1yoa2&amp;q=XNYS%3aNOW&amp;form=skydnc</v>
    <v>Learn more on Bing</v>
  </rv>
  <rv s="1">
    <v>en-GB</v>
    <v>a1yoa2</v>
    <v>268435456</v>
    <v>1</v>
    <v>Powered by Refinitiv</v>
    <v>0</v>
    <v>SERVICENOW, INC. (XNYS:NOW)</v>
    <v>2</v>
    <v>3</v>
    <v>Finance</v>
    <v>4</v>
    <v>211.47800000000001</v>
    <v>81.239999999999995</v>
    <v>0.92969999999999997</v>
    <v>-6.89</v>
    <v>-3.1119999999999997E-3</v>
    <v>-5.7724999999999999E-2</v>
    <v>-0.35</v>
    <v>USD</v>
    <v>ServiceNow, Inc. provides an artificial intelligence (AI) platform for business transformation. The Company’s AI platform connects people, processes, data, and devices to increase productivity and maximize business outcomes. Its intelligent platform, the Now Platform, is a cloud-based solution that helps enterprises and organizations across public and private sectors digitize workflows. The workflow applications built on the Now Platform are organized into four primary areas: Technology, CRM and Industry, Core Business and Creator. Its products include IT Service Management, IT Operations Management, HR Service Delivery, ServiceNow AI Agents, AI Experience, Build Agent, ServiceNow AI Control Tower, AI Agent Fabric, RaptorDB, Workflow Data Fabric, Workplace Service Delivery, ServiceNow Platform Encryption, Telecommunications Service Operations Management, and others. The Company also offers identity security, helping organizations secure access across the enterprise.</v>
    <v>29187</v>
    <v>New York Stock Exchange</v>
    <v>XNYS</v>
    <v>XNYS</v>
    <v>2225 Lawson Lane, SANTA CLARA, CA, 95054 US</v>
    <v>121.2</v>
    <v>Software &amp; IT Services</v>
    <v>Stock</v>
    <v>46178.903395219531</v>
    <v>185</v>
    <v>111.562</v>
    <v>115991210760</v>
    <v>SERVICENOW, INC.</v>
    <v>SERVICENOW, INC.</v>
    <v>119.19</v>
    <v>70.989400000000003</v>
    <v>119.36</v>
    <v>112.47</v>
    <v>112.1</v>
    <v>1031308000</v>
    <v>NOW</v>
    <v>SERVICENOW, INC. (XNYS:NOW)</v>
    <v>31277351</v>
    <v>32427047</v>
    <v>2012</v>
  </rv>
  <rv s="2">
    <v>186</v>
  </rv>
  <rv s="0">
    <v>https://www.bing.com/financeapi/forcetrigger?t=a1yv52&amp;q=XNAS%3aNVDA&amp;form=skydnc</v>
    <v>Learn more on Bing</v>
  </rv>
  <rv s="1">
    <v>en-GB</v>
    <v>a1yv52</v>
    <v>268435456</v>
    <v>1</v>
    <v>Powered by Refinitiv</v>
    <v>0</v>
    <v>NVIDIA CORPORATION (XNAS:NVDA)</v>
    <v>2</v>
    <v>3</v>
    <v>Finance</v>
    <v>4</v>
    <v>236.54</v>
    <v>138.83000000000001</v>
    <v>2.2008000000000001</v>
    <v>-13.56</v>
    <v>9.6539999999999994E-5</v>
    <v>-6.2013999999999993E-2</v>
    <v>1.9800000000000002E-2</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214.87</v>
    <v>Semiconductors &amp; Semiconductor Equipment</v>
    <v>Stock</v>
    <v>46178.903472603903</v>
    <v>188</v>
    <v>204.33</v>
    <v>4963420000000</v>
    <v>NVIDIA CORPORATION</v>
    <v>NVIDIA CORPORATION</v>
    <v>214.53</v>
    <v>33.485599999999998</v>
    <v>218.66</v>
    <v>205.1</v>
    <v>205.1198</v>
    <v>24200000000</v>
    <v>NVDA</v>
    <v>NVIDIA CORPORATION (XNAS:NVDA)</v>
    <v>218200155</v>
    <v>171448900</v>
    <v>1998</v>
  </rv>
  <rv s="2">
    <v>189</v>
  </rv>
  <rv s="0">
    <v>https://www.bing.com/financeapi/forcetrigger?t=a1z8jc&amp;q=XNAS%3aON&amp;form=skydnc</v>
    <v>Learn more on Bing</v>
  </rv>
  <rv s="1">
    <v>en-GB</v>
    <v>a1z8jc</v>
    <v>268435456</v>
    <v>1</v>
    <v>Powered by Refinitiv</v>
    <v>0</v>
    <v>ON SEMICONDUCTOR CORPORATION (XNAS:ON)</v>
    <v>2</v>
    <v>3</v>
    <v>Finance</v>
    <v>4</v>
    <v>134.91999999999999</v>
    <v>44.56</v>
    <v>1.9702</v>
    <v>-14.56</v>
    <v>-6.4809999999999998E-3</v>
    <v>-0.11045400000000001</v>
    <v>-0.76</v>
    <v>USD</v>
    <v>ON Semiconductor Corporation is engaged in providing intelligent power and intelligent sensing solutions. The Company’s intelligent power technologies enable the electrification of drivetrain in the automotive industry to allow for lighter and longer-range electric vehicles. Its segments include Power Solutions Group (PSG), the Analog and Mixed-Signal Group (AMG) and the Intelligent Sensing Group (ISG). PSG segment provides a portfolio of discrete, module, and integrated semiconductor devices designed to enable conversion across artificial intelligence (AI) data centers, energy infrastructure, automotive and industrial. AMG segment designs and develops a range of analog and mixed-signal solutions including power‑management, sensor‑interface, connectivity, and products that serve automotive, industrial automation, AI data center, computing, and mobile end markets.</v>
    <v>22600</v>
    <v>Nasdaq Stock Market</v>
    <v>XNAS</v>
    <v>XNAS</v>
    <v>5701 NORTH PIMA ROAD, SCOTTSDALE, AZ, 85250 US</v>
    <v>126.31</v>
    <v>Semiconductors &amp; Semiconductor Equipment</v>
    <v>Stock</v>
    <v>46178.901148390622</v>
    <v>191</v>
    <v>116.72</v>
    <v>45954569232</v>
    <v>ON SEMICONDUCTOR CORPORATION</v>
    <v>ON SEMICONDUCTOR CORPORATION</v>
    <v>126.18</v>
    <v>94.131600000000006</v>
    <v>131.82</v>
    <v>117.26</v>
    <v>116.5</v>
    <v>391903200</v>
    <v>ON</v>
    <v>ON SEMICONDUCTOR CORPORATION (XNAS:ON)</v>
    <v>19047617</v>
    <v>12667476</v>
    <v>2000</v>
  </rv>
  <rv s="2">
    <v>192</v>
  </rv>
  <rv s="0">
    <v>https://www.bing.com/financeapi/forcetrigger?t=bkgak2&amp;q=XNAS%3aONDS&amp;form=skydnc</v>
    <v>Learn more on Bing</v>
  </rv>
  <rv s="1">
    <v>en-GB</v>
    <v>bkgak2</v>
    <v>268435456</v>
    <v>1</v>
    <v>Powered by Refinitiv</v>
    <v>0</v>
    <v>ONDAS INC. (XNAS:ONDS)</v>
    <v>2</v>
    <v>3</v>
    <v>Finance</v>
    <v>4</v>
    <v>15.28</v>
    <v>1.36</v>
    <v>2.6339999999999999</v>
    <v>-1.54</v>
    <v>-4.7939999999999997E-3</v>
    <v>-0.12865500000000002</v>
    <v>-0.05</v>
    <v>USD</v>
    <v>Ondas Inc. is a provider of autonomous systems, robotics, and mission-critical connectivity solutions for defense, security, and industrial markets. Through its business units, Ondas Autonomous Systems (OAS), Ondas Capital and Ondas Networks, it develops and deploys integrated technologies that deliver advanced sensing, mobility, and communications capabilities. OAS delivers a portfolio of artificial-intelligence (AI)-powered defense and security platforms to protect sensitive sites, populations, and critical infrastructure. OAS also provides an integrated suite of autonomous aerial, ground, and counter-UAS solutions through its operating companies. It also provides Airborne Missile Protection Systems (AMPS) and airborne intelligence, surveillance and reconnaissance (ISR) solutions for the military, government and others. It also specializes in the procurement, integration, and lifecycle support of heavy engineering equipment for military and national infrastructure programs.</v>
    <v>459</v>
    <v>Nasdaq Stock Market</v>
    <v>XNAS</v>
    <v>XNAS</v>
    <v>222 Lakeview Avenue, Suite 800, WEST PALM BEACH, FL, 33401 US</v>
    <v>11.659599999999999</v>
    <v>Communications &amp; Networking</v>
    <v>Stock</v>
    <v>46178.903343032034</v>
    <v>194</v>
    <v>10.33</v>
    <v>5294319107</v>
    <v>ONDAS INC.</v>
    <v>ONDAS INC.</v>
    <v>11.42</v>
    <v>30.185300000000002</v>
    <v>11.97</v>
    <v>10.43</v>
    <v>10.38</v>
    <v>507604900</v>
    <v>ONDS</v>
    <v>ONDAS INC. (XNAS:ONDS)</v>
    <v>63470473</v>
    <v>81454467</v>
    <v>2014</v>
  </rv>
  <rv s="2">
    <v>195</v>
  </rv>
  <rv s="0">
    <v>http://pt.wikipedia.org/wiki/Oracle_Corporation</v>
    <v>Wikipedia</v>
  </rv>
  <rv s="3">
    <v>6</v>
    <v>197</v>
  </rv>
  <rv s="4">
    <v>9</v>
    <v>https://www.bing.com/th?id=AMMS_672116c618c664d13b2515d6587ba357&amp;qlt=95</v>
    <v>198</v>
    <v>0</v>
    <v>https://www.bing.com/images/search?form=xlimg&amp;q=oracle+corporation</v>
    <v>Image of ORACLE CORPORATION</v>
  </rv>
  <rv s="0">
    <v>https://www.bing.com/financeapi/forcetrigger?t=a1zbec&amp;q=XNYS%3aORCL&amp;form=skydnc</v>
    <v>Learn more on Bing</v>
  </rv>
  <rv s="5">
    <v>en-GB</v>
    <v>a1zbec</v>
    <v>268435456</v>
    <v>1</v>
    <v>Powered by Refinitiv</v>
    <v>5</v>
    <v>ORACLE CORPORATION (XNYS:ORCL)</v>
    <v>7</v>
    <v>8</v>
    <v>Finance</v>
    <v>4</v>
    <v>345.72</v>
    <v>134.57</v>
    <v>1.651</v>
    <v>-22.93</v>
    <v>-5.522E-3</v>
    <v>-9.7020999999999996E-2</v>
    <v>-1.18</v>
    <v>USD</v>
    <v>Oracle Corporation offers integrated suites of applications plus secure, autonomous infrastructure in the Oracle Cloud. The Company operates through three businesses: cloud and license, hardware and service. Its cloud and license business is engaged in the sale, marketing and delivery of its enterprise applications and infrastructure technologies through cloud and on-premise deployment models including its cloud services and license support offerings, and its cloud license and on-premise license offerings. Its hardware business provides infrastructure technologies including Oracle Engineered Systems, servers, storage, industry-specific hardware, operating systems, virtualization, management and other hardware-related software to support diverse IT environments. Its services business provides services to customers and partners to help maximize the performance of their investments in Oracle applications and infrastructure technologies.</v>
    <v>162000</v>
    <v>New York Stock Exchange</v>
    <v>XNYS</v>
    <v>XNYS</v>
    <v>2300 Oracle Way, AUSTIN, TX, 78741 US</v>
    <v>231.44</v>
    <v>199</v>
    <v>Software &amp; IT Services</v>
    <v>Stock</v>
    <v>46178.90353287031</v>
    <v>200</v>
    <v>209.45</v>
    <v>613776976860</v>
    <v>ORACLE CORPORATION</v>
    <v>ORACLE CORPORATION</v>
    <v>229.49</v>
    <v>40.058599999999998</v>
    <v>236.34</v>
    <v>213.41</v>
    <v>212.5</v>
    <v>2876046000</v>
    <v>ORCL</v>
    <v>ORACLE CORPORATION (XNYS:ORCL)</v>
    <v>28858851</v>
    <v>22686026</v>
    <v>2005</v>
  </rv>
  <rv s="2">
    <v>201</v>
  </rv>
  <rv s="0">
    <v>https://www.bing.com/financeapi/forcetrigger?t=a1zgm7&amp;q=XNAS%3aPANW&amp;form=skydnc</v>
    <v>Learn more on Bing</v>
  </rv>
  <rv s="1">
    <v>en-GB</v>
    <v>a1zgm7</v>
    <v>268435456</v>
    <v>1</v>
    <v>Powered by Refinitiv</v>
    <v>0</v>
    <v>PALO ALTO NETWORKS, INC. (XNAS:PANW)</v>
    <v>2</v>
    <v>3</v>
    <v>Finance</v>
    <v>4</v>
    <v>302.95</v>
    <v>139.57060000000001</v>
    <v>0.94479999999999997</v>
    <v>-7.2</v>
    <v>-7.5349999999999992E-3</v>
    <v>-2.5783E-2</v>
    <v>-2.0499999999999998</v>
    <v>USD</v>
    <v>Palo Alto Networks, Inc. is a global artificial intelligence (AI) cybersecurity company, with a comprehensive portfolio of cybersecurity solutions and platforms across network, cloud, security operations, AI and Identity. Its network security platform includes Secure Access Service Edge (SASE), Next-Generation Firewalls, Cloud Delivered Security Services (CDSS), Prisma AIRS, and Strata Cloud Manager (SCM). It delivers security operations capabilities that unifies standalone Security Information and Event Management (SIEM) tools, endpoint security, security automation, cloud detection and response (CDR), as well as attack surface management (ASM) capabilities on its Cortex platform. It delivers comprehensive security across the cloud application development lifecycle through Cortex Cloud. Its Unit 42 brings together expertise across threat research, incident response, and security consulting to deliver intelligence-driven, response-ready outcomes that help customers reduce cyber risk.</v>
    <v>21491</v>
    <v>Nasdaq Stock Market</v>
    <v>XNAS</v>
    <v>XNAS</v>
    <v>3000 Tannery Way, SANTA CLARA, CA, 95054 US</v>
    <v>280.64</v>
    <v>Software &amp; IT Services</v>
    <v>Stock</v>
    <v>46178.90344487266</v>
    <v>203</v>
    <v>269.39999999999998</v>
    <v>221720750000</v>
    <v>PALO ALTO NETWORKS, INC.</v>
    <v>PALO ALTO NETWORKS, INC.</v>
    <v>278.99</v>
    <v>229.9357</v>
    <v>279.25</v>
    <v>272.05</v>
    <v>270</v>
    <v>815000000</v>
    <v>PANW</v>
    <v>PALO ALTO NETWORKS, INC. (XNAS:PANW)</v>
    <v>7777903</v>
    <v>9365602</v>
    <v>2005</v>
  </rv>
  <rv s="2">
    <v>204</v>
  </rv>
  <rv s="0">
    <v>https://www.bing.com/financeapi/forcetrigger?t=c1dbvh&amp;q=XNYS%3aPATH&amp;form=skydnc</v>
    <v>Learn more on Bing</v>
  </rv>
  <rv s="1">
    <v>en-GB</v>
    <v>c1dbvh</v>
    <v>268435456</v>
    <v>1</v>
    <v>Powered by Refinitiv</v>
    <v>0</v>
    <v>UIPATH, INC. (XNYS:PATH)</v>
    <v>2</v>
    <v>3</v>
    <v>Finance</v>
    <v>4</v>
    <v>19.84</v>
    <v>9.2002000000000006</v>
    <v>0.96640000000000004</v>
    <v>-0.43</v>
    <v>-8.0070000000000002E-3</v>
    <v>-3.6846999999999998E-2</v>
    <v>-0.09</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11.94</v>
    <v>Software &amp; IT Services</v>
    <v>Stock</v>
    <v>46178.903380253905</v>
    <v>206</v>
    <v>11.045</v>
    <v>5849783816</v>
    <v>UIPATH, INC.</v>
    <v>UIPATH, INC.</v>
    <v>11.64</v>
    <v>19.3992</v>
    <v>11.67</v>
    <v>11.24</v>
    <v>11.15</v>
    <v>520443400</v>
    <v>PATH</v>
    <v>UIPATH, INC. (XNYS:PATH)</v>
    <v>35487140</v>
    <v>40933553</v>
    <v>2015</v>
  </rv>
  <rv s="2">
    <v>207</v>
  </rv>
  <rv s="0">
    <v>https://www.bing.com/financeapi/forcetrigger?t=a1zsjc&amp;q=XNYS%3aPG&amp;form=skydnc</v>
    <v>Learn more on Bing</v>
  </rv>
  <rv s="1">
    <v>en-GB</v>
    <v>a1zsjc</v>
    <v>268435456</v>
    <v>1</v>
    <v>Powered by Refinitiv</v>
    <v>0</v>
    <v>THE PROCTER &amp; GAMBLE COMPANY (XNYS:PG)</v>
    <v>2</v>
    <v>3</v>
    <v>Finance</v>
    <v>4</v>
    <v>167.25</v>
    <v>137.62</v>
    <v>0.3861</v>
    <v>5.76</v>
    <v>-2.32E-3</v>
    <v>4.0915E-2</v>
    <v>-0.34</v>
    <v>USD</v>
    <v>The Procter &amp; Gamble Company is focused on providing branded consumer packaged goods to consumers across the world. The Company’s segments include Beauty, Grooming, Health Care, Fabric &amp; Home Care and Baby, Feminine &amp; Family Care. The Company’s products are sold in approximately 180 countries and territories primarily through mass merchandisers, e-commerce, including social commerce channels, grocery stores, membership club stores, drug stores, department stores, distributors, wholesalers, specialty beauty stores, including airport duty-free stores), high-frequency stores, pharmacies, electronics stores and professional channels. It also sells direct to individual consumers. It has operations in approximately 70 countries. It offers products under brands, such as Head &amp; Shoulders, Herbal Essences, Pantene, Rejoice, Olay, Old Spice, Safeguard, Secret, SK-II, Braun, Gillette, Venus, Crest, Oral-B, Ariel, Downy, Gain, Tide, Always, Always Discreet, Tampax, Bounty and others.</v>
    <v>109000</v>
    <v>New York Stock Exchange</v>
    <v>XNYS</v>
    <v>XNYS</v>
    <v>One Procter &amp; Gamble Plaza, CINCINNATI, OH, 45202 US</v>
    <v>148.22999999999999</v>
    <v>Personal &amp; Household Products &amp; Services</v>
    <v>Stock</v>
    <v>46178.902205948434</v>
    <v>209</v>
    <v>141.80000000000001</v>
    <v>341232897460</v>
    <v>THE PROCTER &amp; GAMBLE COMPANY</v>
    <v>THE PROCTER &amp; GAMBLE COMPANY</v>
    <v>142.22</v>
    <v>20.589200000000002</v>
    <v>140.78</v>
    <v>146.54</v>
    <v>146.19999999999999</v>
    <v>2328599000</v>
    <v>PG</v>
    <v>THE PROCTER &amp; GAMBLE COMPANY (XNYS:PG)</v>
    <v>10956862</v>
    <v>8501627</v>
    <v>1905</v>
  </rv>
  <rv s="2">
    <v>210</v>
  </rv>
  <rv s="0">
    <v>https://www.bing.com/financeapi/forcetrigger?t=a1zxr7&amp;q=XNAS%3aPLAB&amp;form=skydnc</v>
    <v>Learn more on Bing</v>
  </rv>
  <rv s="1">
    <v>en-GB</v>
    <v>a1zxr7</v>
    <v>268435456</v>
    <v>1</v>
    <v>Powered by Refinitiv</v>
    <v>0</v>
    <v>PHOTRONICS, INC. (XNAS:PLAB)</v>
    <v>2</v>
    <v>3</v>
    <v>Finance</v>
    <v>4</v>
    <v>56</v>
    <v>17.57</v>
    <v>1.3727</v>
    <v>-2.37</v>
    <v>-2.4009999999999999E-3</v>
    <v>-7.5190000000000007E-2</v>
    <v>-7.0000000000000007E-2</v>
    <v>USD</v>
    <v>Photronics, Inc. is a manufacturer of photomasks, which are high-precision photographic quartz or glass plates containing microscopic images of electronic circuits. The Company manufactures photomasks, which are used as masters to transfer circuit patterns onto semiconductor wafers and FPD substrates. The photomasks the Company manufactures incorporate circuit designs provided on a confidential basis by its customers. The Company sells its photomasks to semiconductor designers and manufacturers, and manufacturers of FPDs. Photomask technology is also being applied to the fabrication of other higher-performance electronic products such as virtual reality/augmented reality advanced IC packages, photonics, micro-electronic mechanical systems, and certain nanotechnology applications. The Company operates approximately 11 manufacturing facilities, which are located in Taiwan, China, Korea, the United States, and Europe.</v>
    <v>1908</v>
    <v>Nasdaq Stock Market</v>
    <v>XNAS</v>
    <v>XNAS</v>
    <v>15 Secor Rd, BROOKFIELD, CT, 06804-5226 US</v>
    <v>31.035</v>
    <v>Semiconductors &amp; Semiconductor Equipment</v>
    <v>Stock</v>
    <v>46178.903352522655</v>
    <v>212</v>
    <v>28.87</v>
    <v>1718870268</v>
    <v>PHOTRONICS, INC.</v>
    <v>PHOTRONICS, INC.</v>
    <v>30.43</v>
    <v>11.5436</v>
    <v>31.52</v>
    <v>29.15</v>
    <v>29.08</v>
    <v>58966390</v>
    <v>PLAB</v>
    <v>PHOTRONICS, INC. (XNAS:PLAB)</v>
    <v>2404767</v>
    <v>1730338</v>
    <v>1969</v>
  </rv>
  <rv s="2">
    <v>213</v>
  </rv>
  <rv s="0">
    <v>https://www.bing.com/financeapi/forcetrigger?t=a2si9c&amp;q=XNAS%3aPOET&amp;form=skydnc</v>
    <v>Learn more on Bing</v>
  </rv>
  <rv s="1">
    <v>en-GB</v>
    <v>a2si9c</v>
    <v>268435456</v>
    <v>1</v>
    <v>Powered by Refinitiv</v>
    <v>0</v>
    <v>POET Technologies Inc. (XNAS:POET)</v>
    <v>2</v>
    <v>3</v>
    <v>Finance</v>
    <v>4</v>
    <v>20.81</v>
    <v>3.87</v>
    <v>0.71440000000000003</v>
    <v>-3.6150000000000002</v>
    <v>1.0959999999999999E-4</v>
    <v>-0.23360299999999998</v>
    <v>1.2999999999999999E-3</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14.79</v>
    <v>Semiconductors &amp; Semiconductor Equipment</v>
    <v>Stock</v>
    <v>46178.903495728904</v>
    <v>215</v>
    <v>11.8</v>
    <v>2046981444</v>
    <v>POET Technologies Inc.</v>
    <v>POET Technologies Inc.</v>
    <v>14.56</v>
    <v>0</v>
    <v>15.475</v>
    <v>11.86</v>
    <v>11.8613</v>
    <v>172595400</v>
    <v>POET</v>
    <v>POET Technologies Inc. (XNAS:POET)</v>
    <v>56920442</v>
    <v>55707356</v>
    <v>2010</v>
  </rv>
  <rv s="2">
    <v>216</v>
  </rv>
  <rv s="0">
    <v>http://en.wikipedia.org/wiki/Qualcomm</v>
    <v>Wikipedia</v>
  </rv>
  <rv s="3">
    <v>6</v>
    <v>218</v>
  </rv>
  <rv s="4">
    <v>9</v>
    <v>https://www.bing.com/th?id=AMMS_2b1c176dae370ecc0d55a1517537f595&amp;qlt=95</v>
    <v>219</v>
    <v>0</v>
    <v>https://www.bing.com/images/search?form=xlimg&amp;q=qualcomm</v>
    <v>Image of QUALCOMM INCORPORATED</v>
  </rv>
  <rv s="0">
    <v>https://www.bing.com/financeapi/forcetrigger?t=a21k2w&amp;q=XNAS%3aQCOM&amp;form=skydnc</v>
    <v>Learn more on Bing</v>
  </rv>
  <rv s="5">
    <v>en-GB</v>
    <v>a21k2w</v>
    <v>268435456</v>
    <v>1</v>
    <v>Powered by Refinitiv</v>
    <v>5</v>
    <v>QUALCOMM INCORPORATED (XNAS:QCOM)</v>
    <v>7</v>
    <v>8</v>
    <v>Finance</v>
    <v>4</v>
    <v>259.92</v>
    <v>121.99</v>
    <v>1.5986</v>
    <v>-26.63</v>
    <v>-7.1319999999999995E-3</v>
    <v>-0.10978300000000001</v>
    <v>-1.54</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238.44</v>
    <v>220</v>
    <v>Semiconductors &amp; Semiconductor Equipment</v>
    <v>Stock</v>
    <v>46178.903501770314</v>
    <v>221</v>
    <v>215</v>
    <v>227600760000</v>
    <v>QUALCOMM INCORPORATED</v>
    <v>QUALCOMM INCORPORATED</v>
    <v>237.65</v>
    <v>26.385100000000001</v>
    <v>242.57</v>
    <v>215.94</v>
    <v>214.4</v>
    <v>1054000000</v>
    <v>QCOM</v>
    <v>QUALCOMM INCORPORATED (XNAS:QCOM)</v>
    <v>24134590</v>
    <v>28705078</v>
    <v>1991</v>
  </rv>
  <rv s="2">
    <v>222</v>
  </rv>
  <rv s="0">
    <v>https://www.bing.com/financeapi/forcetrigger?t=a21m4c&amp;q=XNAS%3aQLYS&amp;form=skydnc</v>
    <v>Learn more on Bing</v>
  </rv>
  <rv s="1">
    <v>en-GB</v>
    <v>a21m4c</v>
    <v>268435456</v>
    <v>1</v>
    <v>Powered by Refinitiv</v>
    <v>0</v>
    <v>QUALYS, INC. (XNAS:QLYS)</v>
    <v>2</v>
    <v>3</v>
    <v>Finance</v>
    <v>26</v>
    <v>155.47</v>
    <v>74.510000000000005</v>
    <v>0.64910000000000001</v>
    <v>-1.625</v>
    <v>0</v>
    <v>-1.4571000000000001E-2</v>
    <v>0</v>
    <v>USD</v>
    <v>Qualys, Inc. is a provider of a cloud-based platform delivering information technology (IT), security and compliance solutions. The Company’s integrated suite of IT, security and compliance solutions delivered on Qualys' Enterprise TruRisk Platform enables its customers to identify and manage their IT and operational technology (OT) assets, collect, and analyze large amounts of IT security data, recommend, and implement remediation actions and verify the implementation of such actions. The Company provides its solutions through a software-as-a-service model, primarily with renewable annual subscriptions. Its cloud platform offers an integrated suite of solutions that automates the lifecycle of asset discovery and management, security and compliance assessments, and remediation for an organization’s IT infrastructure and assets, whether such infrastructure and assets reside inside the organization, on their network perimeter, on endpoints or in the cloud.</v>
    <v>2683</v>
    <v>Nasdaq Stock Market</v>
    <v>XNAS</v>
    <v>XNAS</v>
    <v>919 E. Hillsdale Blvd., FOSTER CITY, CA, 94404 US</v>
    <v>113.1</v>
    <v>Software &amp; IT Services</v>
    <v>Stock</v>
    <v>46178.843999258592</v>
    <v>224</v>
    <v>107.09910000000001</v>
    <v>3870349399</v>
    <v>QUALYS, INC.</v>
    <v>QUALYS, INC.</v>
    <v>112.02</v>
    <v>19.7346</v>
    <v>111.52500000000001</v>
    <v>109.9</v>
    <v>109.9</v>
    <v>35217010</v>
    <v>QLYS</v>
    <v>QUALYS, INC. (XNAS:QLYS)</v>
    <v>589306</v>
    <v>809737</v>
    <v>1999</v>
  </rv>
  <rv s="2">
    <v>225</v>
  </rv>
  <rv s="0">
    <v>https://www.bing.com/financeapi/forcetrigger?t=a21mim&amp;q=XNAS%3aQQQ&amp;form=skydnc</v>
    <v>Learn more on Bing</v>
  </rv>
  <rv s="8">
    <v>en-GB</v>
    <v>a21mim</v>
    <v>268435456</v>
    <v>1</v>
    <v>Powered by Refinitiv</v>
    <v>15</v>
    <v>Invesco QQQ Trust 1 (XNAS:QQQ)</v>
    <v>16</v>
    <v>17</v>
    <v>Finance</v>
    <v>18</v>
    <v>748.65</v>
    <v>522.66</v>
    <v>1.0089999999999999</v>
    <v>-35.549999999999997</v>
    <v>-2.5719999999999996E-3</v>
    <v>-4.8000999999999995E-2</v>
    <v>-1.8134999999999999</v>
    <v>USD</v>
    <v>Nasdaq Stock Market</v>
    <v>XNAS</v>
    <v>1.8E-3</v>
    <v>731.69</v>
    <v>ETF</v>
    <v>46178.903533599216</v>
    <v>227</v>
    <v>704.32</v>
    <v>493987523137.08002</v>
    <v>Invesco QQQ Trust 1</v>
    <v>730.06</v>
    <v>740.61</v>
    <v>705.06</v>
    <v>703.24649999999997</v>
    <v>QQQ</v>
    <v>Invesco QQQ Trust 1 (XNAS:QQQ)</v>
    <v>98922418</v>
    <v>38925183</v>
  </rv>
  <rv s="2">
    <v>228</v>
  </rv>
  <rv s="0">
    <v>https://www.bing.com/financeapi/forcetrigger?t=a226jc&amp;q=XNYS%3aROK&amp;form=skydnc</v>
    <v>Learn more on Bing</v>
  </rv>
  <rv s="1">
    <v>en-GB</v>
    <v>a226jc</v>
    <v>268435456</v>
    <v>1</v>
    <v>Powered by Refinitiv</v>
    <v>0</v>
    <v>ROCKWELL AUTOMATION, INC. (XNYS:ROK)</v>
    <v>2</v>
    <v>3</v>
    <v>Finance</v>
    <v>4</v>
    <v>468.11</v>
    <v>305.44009999999997</v>
    <v>1.5580000000000001</v>
    <v>-15.56</v>
    <v>-6.0670000000000003E-3</v>
    <v>-3.3661999999999997E-2</v>
    <v>-2.71</v>
    <v>USD</v>
    <v>Rockwell Automation, Inc. is engaged in industrial automation and digital transformation. The Company operates in three segments: Intelligent Devices, Software &amp; Control, and Lifecycle Services. The Intelligent Devices segment portfolio includes power control, motion control, safety, sensing, and industrial components, and micro control and distributed input/output. The Software &amp; Control operating segment contains a comprehensive portfolio of production automation and production operations platforms, including hardware and software. This integrated portfolio is merging information technology (IT) and operational technology (OT), bringing the benefits of the Connected Enterprise to the production system. The Lifecycle Services segment includes consulting services, including cybersecurity and digital transformation strategy and design and professional services, including global automation and information program and project management and delivery capabilities, and connected services.</v>
    <v>26000</v>
    <v>New York Stock Exchange</v>
    <v>XNYS</v>
    <v>XNYS</v>
    <v>1201 South 2Nd Street, MILWAUKEE, WI, 53204 US</v>
    <v>456.11500000000001</v>
    <v>Machinery, Equipment &amp; Components</v>
    <v>Stock</v>
    <v>46178.899622407029</v>
    <v>230</v>
    <v>441.2</v>
    <v>49703825652</v>
    <v>ROCKWELL AUTOMATION, INC.</v>
    <v>ROCKWELL AUTOMATION, INC.</v>
    <v>456.1</v>
    <v>48.019100000000002</v>
    <v>462.24</v>
    <v>446.68</v>
    <v>444</v>
    <v>111273900</v>
    <v>ROK</v>
    <v>ROCKWELL AUTOMATION, INC. (XNYS:ROK)</v>
    <v>843971</v>
    <v>807415</v>
    <v>1996</v>
  </rv>
  <rv s="2">
    <v>231</v>
  </rv>
  <rv s="0">
    <v>https://www.bing.com/financeapi/forcetrigger?t=c1db2w&amp;q=XNAS%3aRXRX&amp;form=skydnc</v>
    <v>Learn more on Bing</v>
  </rv>
  <rv s="1">
    <v>en-GB</v>
    <v>c1db2w</v>
    <v>268435456</v>
    <v>1</v>
    <v>Powered by Refinitiv</v>
    <v>0</v>
    <v>RECURSION PHARMACEUTICALS, INC. (XNAS:RXRX)</v>
    <v>2</v>
    <v>3</v>
    <v>Finance</v>
    <v>4</v>
    <v>7.18</v>
    <v>2.77</v>
    <v>0.99790000000000001</v>
    <v>-0.48499999999999999</v>
    <v>-1.5079999999999998E-3</v>
    <v>-0.127632</v>
    <v>-5.0000000000000001E-3</v>
    <v>USD</v>
    <v>Recursion Pharmaceuticals, Inc. is a clinical-stage TechBio company decoding biology and chemistry to industrialize drug discovery. Its Recursion Operating System (OS), a platform built across diverse technologies, enables the Company to map and navigate trillions of biological and chemical relationships within the Recursion Data Universe. The Company integrates physical and digital components as iterative loops of atoms and bits, scaling wet lab biology and chemistry data organized into virtuous cycles with computational tools to rapidly translate silico hypotheses into validated insights and novel chemistry. Its clinical programs in oncology and rare diseases include REC-617, REC-1245, REC-3565 and REC-4539. Its REC-617 is an orally bioavailable, cyclin-dependent kinase 7 (CDK7) inhibitor for the treatment of advanced solid tumors. Its REV102 program targets ectonucleotide pyrophosphatase/phosphodiesterase 1 (ENPP1), an enzyme implicated in the pathogenesis of HPP.</v>
    <v>600</v>
    <v>Nasdaq Stock Market</v>
    <v>XNAS</v>
    <v>XNAS</v>
    <v>41S Rio Grande Street, SALT LAKE CITY, UT, 84101 US</v>
    <v>3.7</v>
    <v>Biotechnology &amp; Medical Research</v>
    <v>Stock</v>
    <v>46178.902245450779</v>
    <v>233</v>
    <v>3.2050000000000001</v>
    <v>1756635738</v>
    <v>RECURSION PHARMACEUTICALS, INC.</v>
    <v>RECURSION PHARMACEUTICALS, INC.</v>
    <v>3.63</v>
    <v>0</v>
    <v>3.8</v>
    <v>3.3149999999999999</v>
    <v>3.31</v>
    <v>529905200</v>
    <v>RXRX</v>
    <v>RECURSION PHARMACEUTICALS, INC. (XNAS:RXRX)</v>
    <v>26796035</v>
    <v>18521126</v>
    <v>2013</v>
  </rv>
  <rv s="2">
    <v>234</v>
  </rv>
  <rv s="0">
    <v>https://www.bing.com/financeapi/forcetrigger?t=c2kadm&amp;q=XNYS%3aS&amp;form=skydnc</v>
    <v>Learn more on Bing</v>
  </rv>
  <rv s="1">
    <v>en-GB</v>
    <v>c2kadm</v>
    <v>268435456</v>
    <v>1</v>
    <v>Powered by Refinitiv</v>
    <v>0</v>
    <v>SENTINELONE, INC. (XNYS:S)</v>
    <v>2</v>
    <v>3</v>
    <v>Finance</v>
    <v>4</v>
    <v>21.4</v>
    <v>11.81</v>
    <v>0.83179999999999998</v>
    <v>-0.56999999999999995</v>
    <v>-1.0031000000000002E-2</v>
    <v>-3.4483E-2</v>
    <v>-0.16</v>
    <v>USD</v>
    <v>SentinelOne, Inc. is an artificial intelligence (AI)-powered cybersecurity provider. The Company’s Singularity Platform delivers AI-powered autonomous threat prevention, detection, response, and exposure management capabilities across an organization’s endpoints, cloud workloads, and identity credentials. The Company’s Singularity platform ingests, correlates, and queries petabytes of structured and unstructured data from a myriad of ever-expanding disparate external and internal sources in real time. Its distributed AI models run both locally on every endpoint and every cloud workload, as well as on its cloud platform. The Company through PingSafe Pte. Ltd. (PingSafe), which is a cloud native application protection platform (CNAPP) to bolster its cloud security product suite. By adding PingSafe’s CNAPP to its Cloud Workload Security (CWS), it provides enterprises with a comprehensive cloud security coverage that drives security, improved posture, and autonomous protection.</v>
    <v>2700</v>
    <v>New York Stock Exchange</v>
    <v>XNYS</v>
    <v>XNYS</v>
    <v>444 Castro Street, Suite 400, MOUNTAIN VIEW, CA, 94041 US</v>
    <v>16.61</v>
    <v>Software &amp; IT Services</v>
    <v>Stock</v>
    <v>46178.900013390623</v>
    <v>236</v>
    <v>15.640700000000001</v>
    <v>5471147052</v>
    <v>SENTINELONE, INC.</v>
    <v>SENTINELONE, INC.</v>
    <v>16.5</v>
    <v>0</v>
    <v>16.53</v>
    <v>15.96</v>
    <v>15.79</v>
    <v>342803700</v>
    <v>S</v>
    <v>SENTINELONE, INC. (XNYS:S)</v>
    <v>7571048</v>
    <v>9826033</v>
    <v>2013</v>
  </rv>
  <rv s="2">
    <v>237</v>
  </rv>
  <rv s="0">
    <v>https://www.bing.com/financeapi/forcetrigger?t=aftlr7&amp;q=XETR%3aSAP&amp;form=skydnc</v>
    <v>Learn more on Bing</v>
  </rv>
  <rv s="10">
    <v>en-GB</v>
    <v>aftlr7</v>
    <v>268435456</v>
    <v>1</v>
    <v>Powered by Refinitiv</v>
    <v>19</v>
    <v>SAP SE (XETR:SAP)</v>
    <v>2</v>
    <v>20</v>
    <v>Finance</v>
    <v>21</v>
    <v>273.55</v>
    <v>135.44</v>
    <v>1.0986</v>
    <v>-3.02</v>
    <v>-1.8359E-2</v>
    <v>EUR</v>
    <v>SAP SE (SAP) is a Germany-based application software company. The Company operates through two segments Applications, Technology &amp; Support (ATS) segment and its Core Services segment. The ATS segment covers the Company’s integrated product portfolio and includes cloud subscription offerings, support services, and training solutions. It also encompasses activities related to operating cloud technologies and delivering customer support associated with its software products. The Core Services segment complements the Company’s product portfolio by delivering consulting and premium support services to assist customers in adopting its innovations. Revenue in this segment is primarily derived from professional services and enhanced support offerings, while costs arise from the execution of these service activities.</v>
    <v>111038</v>
    <v>Xetra</v>
    <v>XETR</v>
    <v>XETR</v>
    <v>Dietmar-Hopp-Allee 16, WALLDORF, BADEN-WUERTTEMBERG, 69190 DE</v>
    <v>168.74</v>
    <v>Software &amp; IT Services</v>
    <v>Stock</v>
    <v>46178.836805555555</v>
    <v>239</v>
    <v>161.47999999999999</v>
    <v>262224200000</v>
    <v>SAP SE</v>
    <v>SAP SE</v>
    <v>163.74</v>
    <v>26.2151</v>
    <v>164.5</v>
    <v>161.47999999999999</v>
    <v>1228504000</v>
    <v>SAP</v>
    <v>SAP SE (XETR:SAP)</v>
    <v>2968649</v>
    <v>3118390</v>
    <v>2014</v>
  </rv>
  <rv s="2">
    <v>240</v>
  </rv>
  <rv s="0">
    <v>https://www.bing.com/financeapi/forcetrigger?t=a22n4c&amp;q=XNYS%3aSCHW&amp;form=skydnc</v>
    <v>Learn more on Bing</v>
  </rv>
  <rv s="1">
    <v>en-GB</v>
    <v>a22n4c</v>
    <v>268435456</v>
    <v>1</v>
    <v>Powered by Refinitiv</v>
    <v>0</v>
    <v>THE CHARLES SCHWAB CORPORATION (XNYS:SCHW)</v>
    <v>2</v>
    <v>3</v>
    <v>Finance</v>
    <v>4</v>
    <v>107.5</v>
    <v>83.96</v>
    <v>0.77229999999999999</v>
    <v>0.81</v>
    <v>-3.9283999999999999E-2</v>
    <v>9.2049999999999996E-3</v>
    <v>-3.49</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33500</v>
    <v>New York Stock Exchange</v>
    <v>XNYS</v>
    <v>XNYS</v>
    <v>3000 Schwab Way, WESTLAKE, TX, 76262 US</v>
    <v>88.94</v>
    <v>Investment Banking &amp; Investment Services</v>
    <v>Stock</v>
    <v>46178.899415474218</v>
    <v>242</v>
    <v>87.674999999999997</v>
    <v>154452579350</v>
    <v>THE CHARLES SCHWAB CORPORATION</v>
    <v>THE CHARLES SCHWAB CORPORATION</v>
    <v>88.46</v>
    <v>17.450700000000001</v>
    <v>88</v>
    <v>88.81</v>
    <v>85.35</v>
    <v>1739135000</v>
    <v>SCHW</v>
    <v>THE CHARLES SCHWAB CORPORATION (XNYS:SCHW)</v>
    <v>9211116</v>
    <v>11334281</v>
    <v>1986</v>
  </rv>
  <rv s="2">
    <v>243</v>
  </rv>
  <rv s="0">
    <v>https://www.bing.com/financeapi/forcetrigger?t=aodipr&amp;q=XLON%3aSGE&amp;form=skydnc</v>
    <v>Learn more on Bing</v>
  </rv>
  <rv s="1">
    <v>en-GB</v>
    <v>aodipr</v>
    <v>268435456</v>
    <v>1</v>
    <v>Powered by Refinitiv</v>
    <v>0</v>
    <v>THE SAGE GROUP PLC. (XLON:SGE)</v>
    <v>2</v>
    <v>27</v>
    <v>Finance</v>
    <v>28</v>
    <v>1335</v>
    <v>771.66</v>
    <v>0.3473</v>
    <v>-13.2</v>
    <v>1.8391000000000001E-2</v>
    <v>-1.4945999999999999E-2</v>
    <v>16</v>
    <v>GBp</v>
    <v>The Sage Group plc is a United Kingdom-based company. It provides accounting, financial, human resources (HR) and payroll technology for small and mid-sized businesses. Its segments include North America, United Kingdom, Ireland, Africa and APAC (UKIA) and Europe. Its products include Sage Accounting, Payroll software, Sage Intacct, Sage X3, Sage HR, Sage People, Sage Earth, Sage Ai and Payments and Banking. Sage Accounting is designed to enable small businesses operating in any industry, and accountants and bookkeepers, to manage customer data, accounts, and people in a single solution. Sage Intacct helps growing mid-sized organizations thrive in with digital world with solutions across accounting, planning, and analytics. Sage People is an HR and people management solution for mid-sized businesses. Sage Payroll is an intuitive solution that helps small businesses to run their payroll reliably and flexibly. Sage People is an HR and people management solution for mid-sized businesses.</v>
    <v>11074</v>
    <v>London Stock Exchange</v>
    <v>XLON</v>
    <v>XLON</v>
    <v>C23-5 &amp; 6 Cobalt Park Way, Cobalt Park, NEWCASTLE UPON TYNE, NORTHUMBERLAND, NE28 9EJ GB</v>
    <v>901.6</v>
    <v>Software &amp; IT Services</v>
    <v>Stock</v>
    <v>46178.664901712502</v>
    <v>245</v>
    <v>870</v>
    <v>10571700000</v>
    <v>THE SAGE GROUP PLC.</v>
    <v>THE SAGE GROUP PLC.</v>
    <v>886</v>
    <v>0</v>
    <v>883.2</v>
    <v>870</v>
    <v>886</v>
    <v>907731600</v>
    <v>SGE</v>
    <v>THE SAGE GROUP PLC. (XLON:SGE)</v>
    <v>7727115</v>
    <v>4696590</v>
    <v>1988</v>
  </rv>
  <rv s="2">
    <v>246</v>
  </rv>
  <rv s="0">
    <v>https://www.bing.com/financeapi/forcetrigger?t=c1db5r&amp;q=XNAS%3aSKYT&amp;form=skydnc</v>
    <v>Learn more on Bing</v>
  </rv>
  <rv s="1">
    <v>en-GB</v>
    <v>c1db5r</v>
    <v>268435456</v>
    <v>1</v>
    <v>Powered by Refinitiv</v>
    <v>0</v>
    <v>SKYWATER TECHNOLOGY, INC. (XNAS:SKYT)</v>
    <v>2</v>
    <v>3</v>
    <v>Finance</v>
    <v>4</v>
    <v>39.93</v>
    <v>8.18</v>
    <v>3.3264</v>
    <v>-2.98</v>
    <v>1.4299999999999998E-3</v>
    <v>-7.8523999999999997E-2</v>
    <v>0.05</v>
    <v>USD</v>
    <v>SkyWater Technology, Inc. is an independent, pure-play technology foundry that offers advanced semiconductor development and manufacturing services. The Company’s Technology-as-a-Service (TaaS) model leverages a foundation of proprietary technology, engineering know-how capabilities, and microelectronics manufacturing capacity to co-develop process technology intellectual property (IP) with its customers that enable disruptive concepts through its Advanced Technology Services (ATS) for diverse microelectronics (integrated circuits (ICs)) and related micro- and nanotechnology applications. In addition to differentiated technology development services, it supports customers with volume production of ICs for high-growth markets through its Wafer Services. Its Wafer Services include the manufacture of silicon-based analog and mixed-signal ICs for its end markets. Through its ATS model, it specializes in co-creating advanced solutions with its customers that directly serve its end markets.</v>
    <v>1551</v>
    <v>Nasdaq Stock Market</v>
    <v>XNAS</v>
    <v>XNAS</v>
    <v>2401 East 86Th Street, BLOOMINGTON, MN, 55425 US</v>
    <v>36.770000000000003</v>
    <v>Semiconductors &amp; Semiconductor Equipment</v>
    <v>Stock</v>
    <v>46178.895729560158</v>
    <v>248</v>
    <v>34.81</v>
    <v>1720684862</v>
    <v>SKYWATER TECHNOLOGY, INC.</v>
    <v>SKYWATER TECHNOLOGY, INC.</v>
    <v>36.630000000000003</v>
    <v>16.267199999999999</v>
    <v>37.950000000000003</v>
    <v>34.97</v>
    <v>35.020000000000003</v>
    <v>49204600</v>
    <v>SKYT</v>
    <v>SKYWATER TECHNOLOGY, INC. (XNAS:SKYT)</v>
    <v>1097087</v>
    <v>1173283</v>
    <v>2016</v>
  </rv>
  <rv s="2">
    <v>249</v>
  </rv>
  <rv s="0">
    <v>https://www.bing.com/financeapi/forcetrigger?t=a234r7&amp;q=XNAS%3aSMCI&amp;form=skydnc</v>
    <v>Learn more on Bing</v>
  </rv>
  <rv s="1">
    <v>en-GB</v>
    <v>a234r7</v>
    <v>268435456</v>
    <v>1</v>
    <v>Powered by Refinitiv</v>
    <v>0</v>
    <v>SUPER MICRO COMPUTER, INC. (XNAS:SMCI)</v>
    <v>2</v>
    <v>3</v>
    <v>Finance</v>
    <v>4</v>
    <v>62.357999999999997</v>
    <v>19.48</v>
    <v>1.8715999999999999</v>
    <v>-5.26</v>
    <v>-6.2439999999999996E-3</v>
    <v>-0.112154</v>
    <v>-0.26</v>
    <v>USD</v>
    <v>Super Micro Computer, Inc. is an application-optimized Total IT solutions provider including server, artificial intelligence (AI) systems, storage, Internet of Things (IoT) devices, switches, software, and support services. Total IT Solutions include complete servers, storage systems, modular blade servers, workstations, full-rack scale solutions, networking devices, server sub-systems, and server management. Its products are designed and manufactured in-house (in the United States, Taiwan, and the Netherlands). The Company's portfolio of Server Building Block Solutions allows customers to optimize for their exact workload and application by selecting from a broad family of systems built from the Company's flexible and reusable building blocks that support a comprehensive set of form factors, processors, memory, GPUs, storage, networking, power, and cooling solutions (air-conditioned, free air cooling or liquid cooling).</v>
    <v>6238</v>
    <v>Nasdaq Stock Market</v>
    <v>XNAS</v>
    <v>XNAS</v>
    <v>980 Rock Avenue, CA, 95131 US</v>
    <v>45.259900000000002</v>
    <v>Computers, Phones &amp; Household Electronics</v>
    <v>Stock</v>
    <v>46178.90346310156</v>
    <v>251</v>
    <v>41.040100000000002</v>
    <v>25043066340</v>
    <v>SUPER MICRO COMPUTER, INC.</v>
    <v>SUPER MICRO COMPUTER, INC.</v>
    <v>45</v>
    <v>25.555099999999999</v>
    <v>46.9</v>
    <v>41.64</v>
    <v>41.38</v>
    <v>601418500</v>
    <v>SMCI</v>
    <v>SUPER MICRO COMPUTER, INC. (XNAS:SMCI)</v>
    <v>48999521</v>
    <v>44861883</v>
    <v>2006</v>
  </rv>
  <rv s="2">
    <v>252</v>
  </rv>
  <rv s="0">
    <v>https://www.bing.com/financeapi/forcetrigger?t=a235f2&amp;q=XNAS%3aSMH&amp;form=skydnc</v>
    <v>Learn more on Bing</v>
  </rv>
  <rv s="8">
    <v>en-GB</v>
    <v>a235f2</v>
    <v>268435456</v>
    <v>1</v>
    <v>Powered by Refinitiv</v>
    <v>15</v>
    <v>VanEck:Semiconductor (XNAS:SMH)</v>
    <v>16</v>
    <v>17</v>
    <v>Finance</v>
    <v>18</v>
    <v>642.77</v>
    <v>249.76</v>
    <v>1.5567</v>
    <v>-57.84</v>
    <v>-2.8679999999999999E-3</v>
    <v>-9.2171000000000003E-2</v>
    <v>-1.6339999999999999</v>
    <v>USD</v>
    <v>Nasdaq Stock Market</v>
    <v>XNAS</v>
    <v>3.4999999999999996E-3</v>
    <v>607</v>
    <v>ETF</v>
    <v>46178.903555450779</v>
    <v>254</v>
    <v>569.69000000000005</v>
    <v>67822489502.050003</v>
    <v>VanEck:Semiconductor</v>
    <v>605.09</v>
    <v>627.53</v>
    <v>569.69000000000005</v>
    <v>568.05600000000004</v>
    <v>SMH</v>
    <v>VanEck:Semiconductor (XNAS:SMH)</v>
    <v>21985741</v>
    <v>9925831</v>
  </rv>
  <rv s="2">
    <v>255</v>
  </rv>
  <rv s="0">
    <v>https://www.bing.com/financeapi/forcetrigger?t=bx1rdm&amp;q=XNYS%3aSMR&amp;form=skydnc</v>
    <v>Learn more on Bing</v>
  </rv>
  <rv s="1">
    <v>en-GB</v>
    <v>bx1rdm</v>
    <v>268435456</v>
    <v>1</v>
    <v>Powered by Refinitiv</v>
    <v>0</v>
    <v>NUSCALE POWER CORPORATION (XNYS:SMR)</v>
    <v>2</v>
    <v>3</v>
    <v>Finance</v>
    <v>4</v>
    <v>57.42</v>
    <v>8.85</v>
    <v>2.2237</v>
    <v>-1.5049999999999999</v>
    <v>3.81E-3</v>
    <v>-0.125417</v>
    <v>0.04</v>
    <v>USD</v>
    <v>NuScale Power Corporation is a provider of proprietary advanced small modular reactor (SMR) nuclear technology. The NuScale Power Module, the Company's SMR technology, is a small pressurized water reactor that can generate approximately 77 megawatts of electricity (MWe) or 250 megawatts thermal (gross) and can be scaled to meet customer needs through an array of flexible configurations of up to 924 MWe (12 modules) of output. In addition to the sale of NPMs, it offers a diversified suite of services throughout the development and operating life of the power plant. The Company's suite of services is planned to include licensing support, testing, training, fuel supply services and program management, among others. It serves a range of customers consisting of domestic and international governments, utilities, state-owned enterprises and technology and industrial companies in need of carbon-free, reliable energy.</v>
    <v>428</v>
    <v>New York Stock Exchange</v>
    <v>XNYS</v>
    <v>XNYS</v>
    <v>1100 Ne Circle Blvd., Suite 350, CORVALLIS, OR, 97330 US</v>
    <v>12.24</v>
    <v>Electrical Utilities &amp; IPPs</v>
    <v>Stock</v>
    <v>46178.903532291406</v>
    <v>257</v>
    <v>10.15</v>
    <v>3835725193</v>
    <v>NUSCALE POWER CORPORATION</v>
    <v>NUSCALE POWER CORPORATION</v>
    <v>12.2</v>
    <v>0</v>
    <v>12</v>
    <v>10.494999999999999</v>
    <v>10.54</v>
    <v>365481200</v>
    <v>SMR</v>
    <v>NUSCALE POWER CORPORATION (XNYS:SMR)</v>
    <v>49643477</v>
    <v>34103479</v>
    <v>2022</v>
  </rv>
  <rv s="2">
    <v>258</v>
  </rv>
  <rv s="7">
    <v>en-GB</v>
    <v>cfwqww</v>
    <v>268435456</v>
    <v>1</v>
    <v>Powered by Refinitiv</v>
    <v>14</v>
    <v>SANDISK CORPORATION (XNAS:SNDK)</v>
    <v>11</v>
    <v>3</v>
    <v>Finance</v>
    <v>4</v>
    <v>1861</v>
    <v>37.33</v>
    <v>2.746</v>
    <v>-200.36</v>
    <v>-4.0530000000000002E-3</v>
    <v>-0.113862</v>
    <v>-6.32</v>
    <v>USD</v>
    <v>SanDisk Corporation is a developer, manufacturer and provider of data storage devices and solutions based on NAND flash technology and has consumer brands and franchises globally. The Company's solutions include a range of solid state drives (SSDs) embedded products, removable cards, universal serial bus (USB) drives, and wafers and components. Its broad portfolio of technology and products addresses multiple end markets of Datacenter, Edge and Consumer. Its Datacenter end market is composed primarily of products for public or private cloud environments and enterprise customers. The Company, through the Edge end market, provides original equipment manufacturer and channel customers a broad array of high-performance flash solutions across personal computer, mobile, gaming, automotive, virtual reality headsets, at-home entertainment, and industrial spaces. The Company serves the Consumer end market with a broad range of retail and other end-user products.</v>
    <v>11000</v>
    <v>Nasdaq Stock Market</v>
    <v>XNAS</v>
    <v>XNAS</v>
    <v>951 Sandisk Drive, MILPITAS, CA, 95035 US</v>
    <v>1681.9999</v>
    <v>Computers, Phones &amp; Household Electronics</v>
    <v>Stock</v>
    <v>46178.903556631252</v>
    <v>1514.36</v>
    <v>230919386936</v>
    <v>SANDISK CORPORATION</v>
    <v>SANDISK CORPORATION</v>
    <v>1678.88</v>
    <v>62.211199999999998</v>
    <v>1759.68</v>
    <v>1559.32</v>
    <v>1553</v>
    <v>148089800</v>
    <v>SNDK</v>
    <v>SANDISK CORPORATION (XNAS:SNDK)</v>
    <v>13139609</v>
    <v>13846622</v>
    <v>2024</v>
  </rv>
  <rv s="2">
    <v>260</v>
  </rv>
  <rv s="0">
    <v>https://www.bing.com/financeapi/forcetrigger?t=bvlqa2&amp;q=XNYS%3aSNOW&amp;form=skydnc</v>
    <v>Learn more on Bing</v>
  </rv>
  <rv s="1">
    <v>en-GB</v>
    <v>bvlqa2</v>
    <v>268435456</v>
    <v>1</v>
    <v>Powered by Refinitiv</v>
    <v>0</v>
    <v>SNOWFLAKE INC. (XNYS:SNOW)</v>
    <v>2</v>
    <v>3</v>
    <v>Finance</v>
    <v>4</v>
    <v>284.99</v>
    <v>118.3</v>
    <v>1.3585</v>
    <v>-5.95</v>
    <v>-7.6429999999999996E-3</v>
    <v>-2.4367E-2</v>
    <v>-1.821</v>
    <v>USD</v>
    <v>Snowflake Inc. is an artificial intelligence (AI) data cloud company. The Company provides a platform which powers the AI data cloud, enabling customers to consolidate data into a single source of truth to drive insights, apply AI to solve business problems, build data applications, and share data and data products. Its cloud-native architecture includes three independently scalable but logically integrated layers across storage, compute, and cloud services. The storage layer ingests massive amounts and varieties of structured, semi-structured, and unstructured data. The compute layer provides dedicated resources to enable users to simultaneously access common data sets for many use cases with minimal latency. The cloud services layer enables users to securely use AI within applications, tools, and processes. Its platform supports a wide range of product categories for customers’ business objectives, including analytics, data engineering, AI, applications and collaboration.</v>
    <v>9060</v>
    <v>New York Stock Exchange</v>
    <v>XNYS</v>
    <v>XNYS</v>
    <v>106 East Babcock Street, Suite 3A, BOZEMAN, MT, 59715 US</v>
    <v>247.55</v>
    <v>Software &amp; IT Services</v>
    <v>Stock</v>
    <v>46178.903320763282</v>
    <v>262</v>
    <v>235</v>
    <v>60745624254</v>
    <v>SNOWFLAKE INC.</v>
    <v>SNOWFLAKE INC.</v>
    <v>242.2</v>
    <v>0</v>
    <v>244.18</v>
    <v>238.23</v>
    <v>236.43899999999999</v>
    <v>346600000</v>
    <v>SNOW</v>
    <v>SNOWFLAKE INC. (XNYS:SNOW)</v>
    <v>7148731</v>
    <v>10883534</v>
    <v>2012</v>
  </rv>
  <rv s="2">
    <v>263</v>
  </rv>
  <rv s="0">
    <v>https://www.bing.com/financeapi/forcetrigger?t=a239hw&amp;q=XNAS%3aSNPS&amp;form=skydnc</v>
    <v>Learn more on Bing</v>
  </rv>
  <rv s="1">
    <v>en-GB</v>
    <v>a239hw</v>
    <v>268435456</v>
    <v>1</v>
    <v>Powered by Refinitiv</v>
    <v>0</v>
    <v>SYNOPSYS, INC. (XNAS:SNPS)</v>
    <v>2</v>
    <v>3</v>
    <v>Finance</v>
    <v>4</v>
    <v>651.73</v>
    <v>376.18</v>
    <v>1.2104999999999999</v>
    <v>-29.63</v>
    <v>-4.6470000000000001E-3</v>
    <v>-5.9922000000000003E-2</v>
    <v>-2.16</v>
    <v>USD</v>
    <v>Synopsys, Inc. is engaged in providing engineering solutions from silicon to systems, enabling customers to innovate artificial intelligence (AI)-powered products. It delivers silicon design, intellectual property (IP), simulation and analysis solutions, and design services. It supplies mission-critical electronic design automation (EDA) software that engineers use to design and test integrated circuits (ICs). Its Design Automation segment includes its silicon design, verification products and services, Ansys products, system integration products and services, digital, custom and field programmable gate array integrated circuit design software, verification software and hardware products, manufacturing software products and others. Its Design IP segment's portfolio includes logic libraries, embedded memories, interface IP, security IP, and subsystems that serve companies in the semiconductor and electronics industries.</v>
    <v>28000</v>
    <v>Nasdaq Stock Market</v>
    <v>XNAS</v>
    <v>XNAS</v>
    <v>675 Almanor Ave, SUNNYVALE, CA, 94085 US</v>
    <v>488.952</v>
    <v>Software &amp; IT Services</v>
    <v>Stock</v>
    <v>46178.902526296093</v>
    <v>265</v>
    <v>458.53</v>
    <v>89009152605</v>
    <v>SYNOPSYS, INC.</v>
    <v>SYNOPSYS, INC.</v>
    <v>487.98</v>
    <v>114.598</v>
    <v>494.48</v>
    <v>464.85</v>
    <v>462.69</v>
    <v>191479300</v>
    <v>SNPS</v>
    <v>SYNOPSYS, INC. (XNAS:SNPS)</v>
    <v>1837962</v>
    <v>1884765</v>
    <v>1987</v>
  </rv>
  <rv s="2">
    <v>266</v>
  </rv>
  <rv s="0">
    <v>https://www.bing.com/financeapi/forcetrigger?t=c62ogh&amp;q=XNAS%3aSOUN&amp;form=skydnc</v>
    <v>Learn more on Bing</v>
  </rv>
  <rv s="1">
    <v>en-GB</v>
    <v>c62ogh</v>
    <v>268435456</v>
    <v>1</v>
    <v>Powered by Refinitiv</v>
    <v>0</v>
    <v>SOUNDHOUND AI, INC. (XNAS:SOUN)</v>
    <v>2</v>
    <v>3</v>
    <v>Finance</v>
    <v>4</v>
    <v>22.17</v>
    <v>5.83</v>
    <v>2.7570999999999999</v>
    <v>-0.62</v>
    <v>1.34E-3</v>
    <v>-7.7403E-2</v>
    <v>9.9000000000000008E-3</v>
    <v>USD</v>
    <v>SoundHound AI, Inc. is engaged in conversational intelligence, offering voice and conversational artificial intelligence (AI) solutions that let businesses offer experiences to their customers. Through its proprietary technology, its voice AI delivers speed and accuracy in numerous languages to product creators and service providers across retail, financial services, healthcare, automotive, smart devices, and restaurants via AI-driven products, such as Smart Answering, Smart Ordering, Dynamic Drive Thru, and Amelia AI Agents. Along with SoundHound Chat AI, a voice assistant with integrated Generative AI, it powers various products and services, and processes billions of interactions each year for businesses. Its developer platform, Houndify, is an open-access platform that allows developers to leverage its Voice AI technology and a library of over 100 content domains, including commonly used domains for points of interest, weather, flight status, sports and more.</v>
    <v>954</v>
    <v>Nasdaq Stock Market</v>
    <v>XNAS</v>
    <v>XNAS</v>
    <v>5400 Betsy Ross Drive, SANTA CLARA, CA, 95054 US</v>
    <v>7.94</v>
    <v>Software &amp; IT Services</v>
    <v>Stock</v>
    <v>46178.903227464842</v>
    <v>268</v>
    <v>7.21</v>
    <v>3198167344</v>
    <v>SOUNDHOUND AI, INC.</v>
    <v>SOUNDHOUND AI, INC.</v>
    <v>7.9</v>
    <v>0</v>
    <v>8.01</v>
    <v>7.39</v>
    <v>7.3998999999999997</v>
    <v>432769600</v>
    <v>SOUN</v>
    <v>SOUNDHOUND AI, INC. (XNAS:SOUN)</v>
    <v>31706696</v>
    <v>30633277</v>
    <v>2020</v>
  </rv>
  <rv s="2">
    <v>269</v>
  </rv>
  <rv s="0">
    <v>https://www.bing.com/financeapi/forcetrigger?t=a23bxm&amp;q=XNAS%3aSOXX&amp;form=skydnc</v>
    <v>Learn more on Bing</v>
  </rv>
  <rv s="8">
    <v>en-GB</v>
    <v>a23bxm</v>
    <v>268435456</v>
    <v>1</v>
    <v>Powered by Refinitiv</v>
    <v>15</v>
    <v>iShares:Semiconductor (XNAS:SOXX)</v>
    <v>16</v>
    <v>17</v>
    <v>Finance</v>
    <v>18</v>
    <v>618.84</v>
    <v>214.41</v>
    <v>1.7036</v>
    <v>-62.95</v>
    <v>7.2249999999999994E-4</v>
    <v>-0.10444300000000001</v>
    <v>0.39</v>
    <v>USD</v>
    <v>Nasdaq Stock Market</v>
    <v>XNAS</v>
    <v>3.4000000000000002E-3</v>
    <v>580.5</v>
    <v>ETF</v>
    <v>46178.903428171092</v>
    <v>271</v>
    <v>539.57000000000005</v>
    <v>38373488686.160004</v>
    <v>iShares:Semiconductor</v>
    <v>577.86</v>
    <v>602.72</v>
    <v>539.77</v>
    <v>540.16</v>
    <v>SOXX</v>
    <v>iShares:Semiconductor (XNAS:SOXX)</v>
    <v>22286805</v>
    <v>8332202</v>
  </rv>
  <rv s="2">
    <v>272</v>
  </rv>
  <rv s="0">
    <v>https://www.bing.com/financeapi/forcetrigger?t=a23hqh&amp;q=ARCX%3aSPY&amp;form=skydnc</v>
    <v>Learn more on Bing</v>
  </rv>
  <rv s="8">
    <v>en-GB</v>
    <v>a23hqh</v>
    <v>268435456</v>
    <v>1</v>
    <v>Powered by Refinitiv</v>
    <v>15</v>
    <v>State Street SPDR S&amp;P500 (ARCX:SPY)</v>
    <v>16</v>
    <v>17</v>
    <v>Finance</v>
    <v>18</v>
    <v>760.4</v>
    <v>591.04999999999995</v>
    <v>0.99709999999999999</v>
    <v>-19.68</v>
    <v>-2.908E-3</v>
    <v>-2.5994000000000003E-2</v>
    <v>-2.145</v>
    <v>USD</v>
    <v>NYSE Arca</v>
    <v>ARCX</v>
    <v>9.4499999999999998E-4</v>
    <v>752.82</v>
    <v>ETF</v>
    <v>46178.903564582812</v>
    <v>274</v>
    <v>735.52499999999998</v>
    <v>783796407176.76001</v>
    <v>State Street SPDR S&amp;P500</v>
    <v>752.31</v>
    <v>757.09</v>
    <v>737.41</v>
    <v>735.40499999999997</v>
    <v>SPY</v>
    <v>State Street SPDR S&amp;P500 (ARCX:SPY)</v>
    <v>92040132</v>
    <v>44866988</v>
  </rv>
  <rv s="2">
    <v>275</v>
  </rv>
  <rv s="0">
    <v>https://www.bing.com/financeapi/forcetrigger?t=a23tz2&amp;q=XNAS%3aSWKS&amp;form=skydnc</v>
    <v>Learn more on Bing</v>
  </rv>
  <rv s="1">
    <v>en-GB</v>
    <v>a23tz2</v>
    <v>268435456</v>
    <v>1</v>
    <v>Powered by Refinitiv</v>
    <v>0</v>
    <v>SKYWORKS SOLUTIONS, INC. (XNAS:SWKS)</v>
    <v>2</v>
    <v>3</v>
    <v>Finance</v>
    <v>4</v>
    <v>90.9</v>
    <v>51.93</v>
    <v>1.4782</v>
    <v>-6.36</v>
    <v>-1.8894000000000001E-2</v>
    <v>-7.9570000000000002E-2</v>
    <v>-1.39</v>
    <v>USD</v>
    <v>Skyworks Solutions, Inc. provides wireless networking services. The Company’s analog and mixed-signal semiconductors are connecting people, places, and things, spanning a number of new applications within the aerospace, automotive, broadband, cellular infrastructure, connected home, defense, entertainment and gaming, industrial, medical, smartphone, tablet, and wearable markets. It operates engineering, manufacturing, sales, and service facilities throughout Asia, Europe, and North America. The Company offers a range of products, such as Amplifiers, Attenuators, Diodes, Audio And Radio, Clocks And Timing, Front-End Modules, Isolation, Modems And DAAs, Optocouplers, Power Management, Power Over Ethernet, RF Passives, Television (TV) And Video, Switches, and Voice. Its engineering, marketing, operations, sales, and support facilities are located throughout Asia, Europe, and North America.</v>
    <v>10000</v>
    <v>Nasdaq Stock Market</v>
    <v>XNAS</v>
    <v>XNAS</v>
    <v>5260 California Avenue, IRVINE, CA, 92617 US</v>
    <v>78.37</v>
    <v>Semiconductors &amp; Semiconductor Equipment</v>
    <v>Stock</v>
    <v>46178.900726203123</v>
    <v>277</v>
    <v>72.8</v>
    <v>11065362062</v>
    <v>SKYWORKS SOLUTIONS, INC.</v>
    <v>SKYWORKS SOLUTIONS, INC.</v>
    <v>78</v>
    <v>31.577400000000001</v>
    <v>79.930000000000007</v>
    <v>73.569999999999993</v>
    <v>72.180000000000007</v>
    <v>150405900</v>
    <v>SWKS</v>
    <v>SKYWORKS SOLUTIONS, INC. (XNAS:SWKS)</v>
    <v>7168503</v>
    <v>5532867</v>
    <v>2002</v>
  </rv>
  <rv s="2">
    <v>278</v>
  </rv>
  <rv s="0">
    <v>https://www.bing.com/financeapi/forcetrigger?t=bzwqf2&amp;q=XNAS%3aSYM&amp;form=skydnc</v>
    <v>Learn more on Bing</v>
  </rv>
  <rv s="1">
    <v>en-GB</v>
    <v>bzwqf2</v>
    <v>268435456</v>
    <v>1</v>
    <v>Powered by Refinitiv</v>
    <v>0</v>
    <v>SYMBOTIC INC. (XNAS:SYM)</v>
    <v>2</v>
    <v>3</v>
    <v>Finance</v>
    <v>4</v>
    <v>87.88</v>
    <v>27.26</v>
    <v>1.9272</v>
    <v>-3.39</v>
    <v>4.0889999999999998E-3</v>
    <v>-7.1503999999999998E-2</v>
    <v>0.18</v>
    <v>USD</v>
    <v>Symbotic Inc. is an automation technology company, which focuses on reimagining the supply chain with its end-to-end, artificial intelligence-powered robotic and software platform. It is engaged in developing, commercializing, and deploying innovative and comprehensive technology solutions that improve supply chain operations. The Company automates the processing of pallets, cases and individual items in warehouses. Its systems enhance operations at the front end of the supply chain and therefore benefit all supply partners further down the chain, irrespective of fulfillment strategy. Its robotic-based automation systems, which include hardware and essential software, move, store and sort cases and reach in warehouses. Its systems are operational in a number of retailers, including Walmart, wholesale distributors, including C&amp;S Wholesale Grocers, and are being deployed in GreenBox Systems LLC, which is doing business as Exol (Exol), its warehouse-as-a-service joint venture.</v>
    <v>2000</v>
    <v>Nasdaq Stock Market</v>
    <v>XNAS</v>
    <v>XNAS</v>
    <v>200 Research Drive, WILMINGTON, MA, 01887 US</v>
    <v>46.75</v>
    <v>Machinery, Equipment &amp; Components</v>
    <v>Stock</v>
    <v>46178.903448541409</v>
    <v>280</v>
    <v>43.29</v>
    <v>26531153336</v>
    <v>SYMBOTIC INC.</v>
    <v>SYMBOTIC INC.</v>
    <v>46.505000000000003</v>
    <v>0</v>
    <v>47.41</v>
    <v>44.02</v>
    <v>44.2</v>
    <v>602706800</v>
    <v>SYM</v>
    <v>SYMBOTIC INC. (XNAS:SYM)</v>
    <v>2842944</v>
    <v>2544090</v>
    <v>2022</v>
  </rv>
  <rv s="2">
    <v>281</v>
  </rv>
  <rv s="7">
    <v>en-GB</v>
    <v>cd9jsm</v>
    <v>268435456</v>
    <v>1</v>
    <v>Powered by Refinitiv</v>
    <v>14</v>
    <v>TEMPUS AI, INC. (XNAS:TEM)</v>
    <v>11</v>
    <v>3</v>
    <v>Finance</v>
    <v>4</v>
    <v>104.32</v>
    <v>41.73</v>
    <v>3.121</v>
    <v>-5.83</v>
    <v>-3.4069999999999999E-3</v>
    <v>-0.11155799999999999</v>
    <v>-0.15820000000000001</v>
    <v>USD</v>
    <v>Tempus AI, Inc. is a technology company advancing precision medicine through the practical application of artificial intelligence in healthcare. It offers AI-enabled precision medicine solutions to physicians to deliver personalized patient care and, in parallel, facilitates discovery, development and delivery of optimal therapeutics. It provides three product lines: Genomics, Data and artificial intelligence applications (AI). The Genomics product line leverages its laboratories to provide next generation sequencing (NGS) diagnostics, polymerase chain reaction, profiling, molecular genotyping and other anatomic and molecular pathology testing. The data generated in its lab or ingested into its platform is structured and de-identified, prior to commercialization. Its AI Applications is focused on developing and providing diagnostics that are algorithmic in nature, implementing new software as a medical device, and building and deploying clinical decision support tools.</v>
    <v>3800</v>
    <v>Nasdaq Stock Market</v>
    <v>XNAS</v>
    <v>XNAS</v>
    <v>600 West Chicago Avenue, Suite 510, CHICAGO, IL, 60654 US</v>
    <v>52.23</v>
    <v>Biotechnology &amp; Medical Research</v>
    <v>Stock</v>
    <v>46178.903331365625</v>
    <v>45.84</v>
    <v>8337193664</v>
    <v>TEMPUS AI, INC.</v>
    <v>TEMPUS AI, INC.</v>
    <v>50.82</v>
    <v>0</v>
    <v>52.26</v>
    <v>46.43</v>
    <v>46.271799999999999</v>
    <v>179564800</v>
    <v>TEM</v>
    <v>TEMPUS AI, INC. (XNAS:TEM)</v>
    <v>8819522</v>
    <v>7115978</v>
    <v>2025</v>
  </rv>
  <rv s="2">
    <v>283</v>
  </rv>
  <rv s="0">
    <v>https://www.bing.com/financeapi/forcetrigger?t=a244ur&amp;q=XNAS%3aTER&amp;form=skydnc</v>
    <v>Learn more on Bing</v>
  </rv>
  <rv s="1">
    <v>en-GB</v>
    <v>a244ur</v>
    <v>268435456</v>
    <v>1</v>
    <v>Powered by Refinitiv</v>
    <v>0</v>
    <v>TERADYNE, INC. (XNAS:TER)</v>
    <v>2</v>
    <v>3</v>
    <v>Finance</v>
    <v>4</v>
    <v>422.11</v>
    <v>81.069999999999993</v>
    <v>1.7878000000000001</v>
    <v>-48.93</v>
    <v>-1.3969999999999998E-3</v>
    <v>-0.12026199999999999</v>
    <v>-0.5</v>
    <v>USD</v>
    <v>Teradyne, Inc. is a global supplier of automated test equipment and robotics solutions. It designs, develops, manufactures and sells automated test systems and robotics products. Its segment includes Semiconductor Test, Robotics, and Product Test. The Semiconductor Test segment includes operations related to the design, manufacturing and marketing of semiconductor test products and services, inclusive of storage and system level test products. The Robotics segment includes operations related to the design, manufacturing and marketing of collaborative robotic arms and autonomous mobile robots. The Product Test segment includes operations related to the design, manufacturing and marketing of products and services for defense/aerospace test, circuit-board test, wireless test systems, and silicon photonics testing. Its offerings also include defense/aerospace test instrumentation and systems, circuit-board test and inspection (production board test) systems, and wireless test systems.</v>
    <v>6600</v>
    <v>Nasdaq Stock Market</v>
    <v>XNAS</v>
    <v>XNAS</v>
    <v>600 Riverpark Dr, NORTH READING, MA, 01864-2634 US</v>
    <v>392.92</v>
    <v>Semiconductors &amp; Semiconductor Equipment</v>
    <v>Stock</v>
    <v>46178.90289351852</v>
    <v>285</v>
    <v>354.13</v>
    <v>56031149646</v>
    <v>TERADYNE, INC.</v>
    <v>TERADYNE, INC.</v>
    <v>389.54</v>
    <v>75.301900000000003</v>
    <v>406.86</v>
    <v>357.93</v>
    <v>357.43</v>
    <v>156542200</v>
    <v>TER</v>
    <v>TERADYNE, INC. (XNAS:TER)</v>
    <v>5466474</v>
    <v>3817823</v>
    <v>1960</v>
  </rv>
  <rv s="2">
    <v>286</v>
  </rv>
  <rv s="0">
    <v>https://www.bing.com/financeapi/forcetrigger?t=a24kar&amp;q=XNAS%3aTSLA&amp;form=skydnc</v>
    <v>Learn more on Bing</v>
  </rv>
  <rv s="1">
    <v>en-GB</v>
    <v>a24kar</v>
    <v>268435456</v>
    <v>1</v>
    <v>Powered by Refinitiv</v>
    <v>0</v>
    <v>TESLA, INC. (XNAS:TSLA)</v>
    <v>2</v>
    <v>3</v>
    <v>Finance</v>
    <v>4</v>
    <v>498.83</v>
    <v>273.20999999999998</v>
    <v>1.802</v>
    <v>-27.45</v>
    <v>1.611E-3</v>
    <v>-6.5599000000000005E-2</v>
    <v>0.63</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424.67989999999998</v>
    <v>Automobiles &amp; Auto Parts</v>
    <v>Stock</v>
    <v>46178.90356746484</v>
    <v>288</v>
    <v>388.59</v>
    <v>1468488084000</v>
    <v>TESLA, INC.</v>
    <v>TESLA, INC.</v>
    <v>420.5</v>
    <v>382.47449999999998</v>
    <v>418.45</v>
    <v>391</v>
    <v>391.63</v>
    <v>3755724000</v>
    <v>TSLA</v>
    <v>TESLA, INC. (XNAS:TSLA)</v>
    <v>63032456</v>
    <v>50602142</v>
    <v>2024</v>
  </rv>
  <rv s="2">
    <v>289</v>
  </rv>
  <rv s="0">
    <v>https://www.bing.com/financeapi/forcetrigger?t=a24kjc&amp;q=XNYS%3aTSM&amp;form=skydnc</v>
    <v>Learn more on Bing</v>
  </rv>
  <rv s="1">
    <v>en-GB</v>
    <v>a24kjc</v>
    <v>268435456</v>
    <v>1</v>
    <v>Powered by Refinitiv</v>
    <v>0</v>
    <v>Taiwan Semiconductor Manufacturing Company Limited (XNYS:TSM)</v>
    <v>2</v>
    <v>29</v>
    <v>Finance</v>
    <v>4</v>
    <v>450.16359999999997</v>
    <v>202.28</v>
    <v>1.2762</v>
    <v>-29.72</v>
    <v>-9.5620000000000011E-3</v>
    <v>-6.6798999999999997E-2</v>
    <v>-3.97</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433.9</v>
    <v>Semiconductors &amp; Semiconductor Equipment</v>
    <v>Stock</v>
    <v>46178.90356491875</v>
    <v>291</v>
    <v>412.79</v>
    <v>2264881331060</v>
    <v>Taiwan Semiconductor Manufacturing Company Limited</v>
    <v>Taiwan Semiconductor Manufacturing Company Limited</v>
    <v>429.77</v>
    <v>37.644300000000001</v>
    <v>444.92</v>
    <v>415.2</v>
    <v>411.2</v>
    <v>25932370000</v>
    <v>TSM</v>
    <v>Taiwan Semiconductor Manufacturing Company Limited (XNYS:TSM)</v>
    <v>19467361</v>
    <v>12807836</v>
    <v>1987</v>
  </rv>
  <rv s="2">
    <v>292</v>
  </rv>
  <rv s="0">
    <v>https://www.bing.com/financeapi/forcetrigger?t=a24nyc&amp;q=XNYS%3aTWLO&amp;form=skydnc</v>
    <v>Learn more on Bing</v>
  </rv>
  <rv s="1">
    <v>en-GB</v>
    <v>a24nyc</v>
    <v>268435456</v>
    <v>1</v>
    <v>Powered by Refinitiv</v>
    <v>0</v>
    <v>TWILIO INC. (XNYS:TWLO)</v>
    <v>2</v>
    <v>3</v>
    <v>Finance</v>
    <v>4</v>
    <v>238.47989999999999</v>
    <v>91.84</v>
    <v>1.3594999999999999</v>
    <v>-10.52</v>
    <v>-6.6820000000000004E-3</v>
    <v>-4.4455999999999996E-2</v>
    <v>-1.51</v>
    <v>USD</v>
    <v>Twilio Inc. provides a customer engagement platform to build direct, personalized relationships with their customers everywhere in the world. Its platform provides developers with tools to build, scale, and deploy real-time communications within software applications. Its segments include Twilio Communications (Communications) and Twilio Segment (Segment). The Communications segment consists of a variety of application programming interfaces (APIs) and software solutions to optimize communications between its customers and their end users. Its key offerings in its Communications segment include Messaging, Voice, Email (includes Marketing Campaigns), Flex and User Authentication and Identity. Its Twilio Flex is a digital engagement center for the entire customer journey. Twilio Segment is a customer data platform that provides businesses with the tools to harness the power of contextual data by unifying real-time information collected throughout each customer’s journey into a profile.</v>
    <v>5558</v>
    <v>New York Stock Exchange</v>
    <v>XNYS</v>
    <v>XNYS</v>
    <v>101 Spear Street, Fifth Floor, SAN FRANCISCO, CA, 94105 US</v>
    <v>237.3</v>
    <v>Software &amp; IT Services</v>
    <v>Stock</v>
    <v>46178.898249791404</v>
    <v>294</v>
    <v>224.23</v>
    <v>34319114268</v>
    <v>TWILIO INC.</v>
    <v>TWILIO INC.</v>
    <v>233.79499999999999</v>
    <v>367.84750000000003</v>
    <v>236.64</v>
    <v>226.12</v>
    <v>224.48</v>
    <v>151773900</v>
    <v>TWLO</v>
    <v>TWILIO INC. (XNYS:TWLO)</v>
    <v>3384902</v>
    <v>3392471</v>
    <v>2008</v>
  </rv>
  <rv s="2">
    <v>295</v>
  </rv>
  <rv s="0">
    <v>https://www.bing.com/financeapi/forcetrigger?t=b19hc7&amp;q=XNYS%3aVRT&amp;form=skydnc</v>
    <v>Learn more on Bing</v>
  </rv>
  <rv s="1">
    <v>en-GB</v>
    <v>b19hc7</v>
    <v>268435456</v>
    <v>1</v>
    <v>Powered by Refinitiv</v>
    <v>0</v>
    <v>VERTIV HOLDINGS CO (XNYS:VRT)</v>
    <v>2</v>
    <v>3</v>
    <v>Finance</v>
    <v>4</v>
    <v>379.935</v>
    <v>107.38</v>
    <v>2.0377000000000001</v>
    <v>-23.48</v>
    <v>-3.96E-3</v>
    <v>-7.248700000000001E-2</v>
    <v>-1.19</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315</v>
    <v>Machinery, Equipment &amp; Components</v>
    <v>Stock</v>
    <v>46178.903557638281</v>
    <v>297</v>
    <v>294.39499999999998</v>
    <v>115401647872</v>
    <v>VERTIV HOLDINGS CO</v>
    <v>VERTIV HOLDINGS CO</v>
    <v>313.755</v>
    <v>81.325199999999995</v>
    <v>323.92</v>
    <v>300.44</v>
    <v>299.32</v>
    <v>384108800</v>
    <v>VRT</v>
    <v>VERTIV HOLDINGS CO (XNYS:VRT)</v>
    <v>7295984</v>
    <v>5671869</v>
    <v>2016</v>
  </rv>
  <rv s="2">
    <v>298</v>
  </rv>
  <rv s="0">
    <v>https://www.bing.com/financeapi/forcetrigger?t=a25rkr&amp;q=XNAS%3aWDAY&amp;form=skydnc</v>
    <v>Learn more on Bing</v>
  </rv>
  <rv s="1">
    <v>en-GB</v>
    <v>a25rkr</v>
    <v>268435456</v>
    <v>1</v>
    <v>Powered by Refinitiv</v>
    <v>0</v>
    <v>WORKDAY, INC. (XNAS:WDAY)</v>
    <v>2</v>
    <v>3</v>
    <v>Finance</v>
    <v>4</v>
    <v>257.08999999999997</v>
    <v>110.36</v>
    <v>1.0787</v>
    <v>-3.63</v>
    <v>-4.4390000000000002E-3</v>
    <v>-2.4542000000000001E-2</v>
    <v>-0.64039999999999997</v>
    <v>USD</v>
    <v>Workday, Inc. is an enterprise artificial intelligence (AI) platform for managing people, money, and agents. The Company provides organizations with cloud solutions powered by artificial intelligence (AI) to solve business challenges, including supporting and empowering the workforce, managing finances and spending. It offers a suite of cloud-based enterprise solutions that address the needs of the C-suite on a platform designed to be open, extensible, and configurable, allowing integration with other applications and the ability for customers and partners to build custom applications. It offers Workday Build, which is an open developer platform that provides customers and partners with the ability to create and share AI-powered solutions. It serves financial services, government, healthcare, higher education, hospitality, manufacturing, professional and business services, retail, technology and media, and transportation.</v>
    <v>20834</v>
    <v>Nasdaq Stock Market</v>
    <v>XNAS</v>
    <v>XNAS</v>
    <v>6110 Stoneridge Mall Road, PLEASANTON, CA, 94588 US</v>
    <v>151.5</v>
    <v>Software &amp; IT Services</v>
    <v>Stock</v>
    <v>46178.902455821095</v>
    <v>300</v>
    <v>143.53</v>
    <v>35637160000</v>
    <v>WORKDAY, INC.</v>
    <v>WORKDAY, INC.</v>
    <v>149.32</v>
    <v>46.171399999999998</v>
    <v>147.91</v>
    <v>144.28</v>
    <v>143.6396</v>
    <v>247000000</v>
    <v>WDAY</v>
    <v>WORKDAY, INC. (XNAS:WDAY)</v>
    <v>4594660</v>
    <v>5505662</v>
    <v>2012</v>
  </rv>
  <rv s="2">
    <v>301</v>
  </rv>
  <rv s="0">
    <v>https://www.bing.com/financeapi/forcetrigger?t=azbtyc&amp;q=XNAS%3aZS&amp;form=skydnc</v>
    <v>Learn more on Bing</v>
  </rv>
  <rv s="1">
    <v>en-GB</v>
    <v>azbtyc</v>
    <v>268435456</v>
    <v>1</v>
    <v>Powered by Refinitiv</v>
    <v>0</v>
    <v>ZSCALER, INC. (XNAS:ZS)</v>
    <v>2</v>
    <v>3</v>
    <v>Finance</v>
    <v>4</v>
    <v>336.99</v>
    <v>114.625</v>
    <v>0.9647</v>
    <v>-4.4800000000000004</v>
    <v>-3.9760000000000004E-3</v>
    <v>-3.3120999999999998E-2</v>
    <v>-0.52</v>
    <v>USD</v>
    <v>Zscaler, Inc. is a cloud security company. The Company has developed a platform incorporating core security functionalities needed to enable fast and secure access to cloud resources based on identity, context and an organization's policies. Its Zscaler Zero Trust Exchange is a cloud-native platform that securely connects users, devices, applications and workloads, including artificial intelligence (AI) agents, without relying on hub-and-spoke network architecture and firewall-centric security. It delivers its solutions using a software-as-a-service (SaaS) business model and sells subscriptions to customers to access its cloud platform, together with related support services. Its services include Zscaler Internet Access (ZIA), Zscaler Private Access (ZPA), and Zscaler Digital Experience (ZDX). ZIA provides secure access to externally managed applications, including SaaS applications and internet destinations, regardless of device, location or network.</v>
    <v>7923</v>
    <v>Nasdaq Stock Market</v>
    <v>XNAS</v>
    <v>XNAS</v>
    <v>120 Holger Way, SAN JOSE, CA, 95134 US</v>
    <v>137.2099</v>
    <v>Software &amp; IT Services</v>
    <v>Stock</v>
    <v>46178.903391226566</v>
    <v>303</v>
    <v>128.97999999999999</v>
    <v>21148368410</v>
    <v>ZSCALER, INC.</v>
    <v>ZSCALER, INC.</v>
    <v>133.755</v>
    <v>0</v>
    <v>135.26</v>
    <v>130.78</v>
    <v>130.26</v>
    <v>161709500</v>
    <v>ZS</v>
    <v>ZSCALER, INC. (XNAS:ZS)</v>
    <v>4598738</v>
    <v>6283847</v>
    <v>2007</v>
  </rv>
  <rv s="2">
    <v>304</v>
  </rv>
  <rv s="13">
    <v>en-GB</v>
    <v>avyu4c</v>
    <v>268435456</v>
    <v>1</v>
    <v>Powered by Refinitiv</v>
    <v>30</v>
    <v>USD/GBP</v>
    <v>31</v>
    <v>32</v>
    <v>Finance</v>
    <v>33</v>
    <v>0.76859999999999995</v>
    <v>0.72099999999999997</v>
    <v>4.7569999999999999E-3</v>
    <v>6.3880000000000004E-3</v>
    <v>GBP</v>
    <v>USD</v>
    <v>Currency Pair</v>
    <v>46178.875</v>
    <v>US Dollar/UK Pound Sterling FX Cross Rate</v>
    <v>0.74470000000000003</v>
    <v>0.74950000000000006</v>
    <v>USDGBP</v>
    <v>USD/GBP</v>
  </rv>
  <rv s="2">
    <v>306</v>
  </rv>
</rvData>
</file>

<file path=xl/richData/rdrichvaluestructure.xml><?xml version="1.0" encoding="utf-8"?>
<rvStructures xmlns="http://schemas.microsoft.com/office/spreadsheetml/2017/richdata" count="14">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Exchange" t="s"/>
    <k n="Exchange abbreviation" t="s"/>
    <k n="Expense ratio"/>
    <k n="High"/>
    <k n="Instrument type" t="s"/>
    <k n="Last trade time"/>
    <k n="LearnMoreOnLink" t="r"/>
    <k n="Low"/>
    <k n="Market cap"/>
    <k n="Name" t="s"/>
    <k n="Open"/>
    <k n="Previous close"/>
    <k n="Price"/>
    <k n="Price (Extended hours)"/>
    <k n="Ticker symbol" t="s"/>
    <k n="UniqueName" t="s"/>
    <k n="Volume"/>
    <k n="Volume average"/>
  </s>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Instrument type" t="s"/>
    <k n="Last trade time"/>
    <k n="Name" t="s"/>
    <k n="Previous close"/>
    <k n="Price"/>
    <k n="Ticker symbol" t="s"/>
    <k n="UniqueName" t="s"/>
  </s>
</rvStructures>
</file>

<file path=xl/richData/rdsupportingpropertybag.xml><?xml version="1.0" encoding="utf-8"?>
<supportingPropertyBags xmlns="http://schemas.microsoft.com/office/spreadsheetml/2017/richdata2">
  <spbArrays count="9">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Price</v>
      <v t="s">Exchange</v>
      <v t="s">Official name</v>
      <v t="s">_SubLabel</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37">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Beta</v>
      <v t="s">Instrument type</v>
      <v t="s">_Flags</v>
      <v t="s">UniqueName</v>
      <v t="s">_DisplayString</v>
      <v t="s">LearnMoreOnLink</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4">
      <v t="s">%EntityServiceId</v>
      <v t="s">_Format</v>
      <v t="s">%IsRefreshable</v>
      <v t="s">%EntityCulture</v>
      <v t="s">%EntityId</v>
      <v t="s">_Icon</v>
      <v t="s">_Display</v>
      <v t="s">Name</v>
      <v t="s">Price</v>
      <v t="s">_SubLabel</v>
      <v t="s">Last trade time</v>
      <v t="s">Ticker symbol</v>
      <v t="s">Change</v>
      <v t="s">Change (%)</v>
      <v t="s">Currency</v>
      <v t="s">From currency</v>
      <v t="s">Previous close</v>
      <v t="s">52 week high</v>
      <v t="s">52 week low</v>
      <v t="s">Instrument type</v>
      <v t="s">_Flags</v>
      <v t="s">UniqueName</v>
      <v t="s">_DisplayString</v>
      <v t="s">%ProviderInfo</v>
    </a>
  </spbArrays>
  <spbData count="34">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0</v>
      <v>0</v>
    </spb>
    <spb s="6">
      <v>6</v>
      <v>1</v>
      <v>1</v>
      <v>1</v>
      <v>1</v>
    </spb>
    <spb s="7">
      <v>1</v>
      <v>2</v>
      <v>2</v>
      <v>1</v>
      <v>3</v>
      <v>1</v>
      <v>10</v>
      <v>1</v>
      <v>1</v>
      <v>4</v>
      <v>4</v>
      <v>5</v>
      <v>6</v>
      <v>1</v>
      <v>1</v>
      <v>1</v>
      <v>4</v>
      <v>7</v>
      <v>8</v>
      <v>9</v>
      <v>4</v>
      <v>1</v>
      <v>1</v>
      <v>5</v>
    </spb>
    <spb s="8">
      <v>Powered by Refinitiv</v>
    </spb>
    <spb s="9">
      <v>2</v>
      <v>Name</v>
    </spb>
    <spb s="10">
      <v>1</v>
      <v>1</v>
      <v>1</v>
    </spb>
    <spb s="11">
      <v>11</v>
      <v>2</v>
      <v>2</v>
      <v>11</v>
      <v>3</v>
      <v>11</v>
      <v>11</v>
      <v>11</v>
      <v>4</v>
      <v>4</v>
      <v>5</v>
      <v>12</v>
      <v>11</v>
      <v>11</v>
      <v>11</v>
      <v>4</v>
      <v>7</v>
      <v>8</v>
      <v>9</v>
      <v>4</v>
    </spb>
    <spb s="12">
      <v>from previous close</v>
      <v>from previous close</v>
      <v>GMT</v>
    </spb>
    <spb s="9">
      <v>3</v>
      <v>Name</v>
    </spb>
    <spb s="0">
      <v>4</v>
      <v>Name</v>
      <v>LearnMoreOnLink</v>
    </spb>
    <spb s="13">
      <v>1</v>
      <v>1</v>
      <v>1</v>
    </spb>
    <spb s="14">
      <v>1</v>
      <v>2</v>
      <v>1</v>
      <v>3</v>
      <v>1</v>
      <v>1</v>
      <v>1</v>
      <v>4</v>
      <v>5</v>
      <v>6</v>
      <v>1</v>
      <v>1</v>
      <v>5</v>
      <v>1</v>
      <v>4</v>
      <v>7</v>
      <v>9</v>
      <v>1</v>
      <v>1</v>
      <v>5</v>
    </spb>
    <spb s="15">
      <v>at close</v>
      <v>from previous close</v>
      <v>Source: Nasdaq Last Sale</v>
      <v>from previous close</v>
      <v>GMT</v>
      <v>Real-Time Nasdaq Last Sale</v>
      <v>from close</v>
      <v>from close</v>
    </spb>
    <spb s="0">
      <v>5</v>
      <v>Name</v>
      <v>LearnMoreOnLink</v>
    </spb>
    <spb s="11">
      <v>13</v>
      <v>2</v>
      <v>2</v>
      <v>13</v>
      <v>3</v>
      <v>13</v>
      <v>13</v>
      <v>13</v>
      <v>4</v>
      <v>4</v>
      <v>5</v>
      <v>14</v>
      <v>13</v>
      <v>13</v>
      <v>13</v>
      <v>4</v>
      <v>7</v>
      <v>8</v>
      <v>9</v>
      <v>4</v>
    </spb>
    <spb s="16">
      <v>Delayed 15 minutes</v>
      <v>from previous close</v>
      <v>from previous close</v>
      <v>GMT</v>
    </spb>
    <spb s="0">
      <v>6</v>
      <v>Name</v>
      <v>LearnMoreOnLink</v>
    </spb>
    <spb s="17">
      <v>1</v>
      <v>2</v>
      <v>2</v>
      <v>1</v>
      <v>3</v>
      <v>1</v>
      <v>1</v>
      <v>1</v>
      <v>4</v>
      <v>4</v>
      <v>5</v>
      <v>6</v>
      <v>1</v>
      <v>1</v>
      <v>1</v>
      <v>4</v>
      <v>7</v>
      <v>9</v>
      <v>4</v>
      <v>1</v>
      <v>1</v>
      <v>5</v>
    </spb>
    <spb s="0">
      <v>7</v>
      <v>Name</v>
      <v>LearnMoreOnLink</v>
    </spb>
    <spb s="18">
      <v>13</v>
      <v>2</v>
      <v>2</v>
      <v>13</v>
      <v>3</v>
      <v>13</v>
      <v>13</v>
      <v>13</v>
      <v>4</v>
      <v>4</v>
      <v>5</v>
      <v>6</v>
      <v>13</v>
      <v>4</v>
      <v>7</v>
      <v>8</v>
      <v>9</v>
      <v>4</v>
    </spb>
    <spb s="4">
      <v>at close</v>
      <v>from previous close</v>
      <v>from previous close</v>
      <v>Source: Nasdaq</v>
      <v>GMT</v>
      <v>Delayed 15 minutes</v>
      <v>from close</v>
      <v>from close</v>
    </spb>
    <spb s="3">
      <v>15</v>
      <v>2</v>
      <v>2</v>
      <v>15</v>
      <v>3</v>
      <v>15</v>
      <v>15</v>
      <v>15</v>
      <v>4</v>
      <v>4</v>
      <v>5</v>
      <v>16</v>
      <v>15</v>
      <v>15</v>
      <v>15</v>
      <v>4</v>
      <v>7</v>
      <v>8</v>
      <v>9</v>
      <v>4</v>
      <v>15</v>
      <v>15</v>
      <v>5</v>
    </spb>
    <spb s="4">
      <v>at close</v>
      <v>from previous close</v>
      <v>from previous close</v>
      <v>LSE</v>
      <v>GMT</v>
      <v>Delayed 15 minutes</v>
      <v>from close</v>
      <v>from close</v>
    </spb>
    <spb s="3">
      <v>1</v>
      <v>2</v>
      <v>2</v>
      <v>1</v>
      <v>3</v>
      <v>1</v>
      <v>1</v>
      <v>1</v>
      <v>4</v>
      <v>4</v>
      <v>5</v>
      <v>17</v>
      <v>1</v>
      <v>1</v>
      <v>1</v>
      <v>4</v>
      <v>7</v>
      <v>8</v>
      <v>9</v>
      <v>4</v>
      <v>1</v>
      <v>1</v>
      <v>5</v>
    </spb>
    <spb s="9">
      <v>8</v>
      <v>Name</v>
    </spb>
    <spb s="19">
      <v>1</v>
      <v>1</v>
    </spb>
    <spb s="20">
      <v>3</v>
      <v>18</v>
      <v>18</v>
      <v>5</v>
      <v>18</v>
      <v>18</v>
      <v>18</v>
      <v>7</v>
      <v>9</v>
    </spb>
    <spb s="21">
      <v>GMT</v>
    </spb>
  </spbData>
</supportingPropertyBags>
</file>

<file path=xl/richData/rdsupportingpropertybagstructure.xml><?xml version="1.0" encoding="utf-8"?>
<spbStructures xmlns="http://schemas.microsoft.com/office/spreadsheetml/2017/richdata2" count="22">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Change" t="s"/>
    <k n="Change (%)" t="s"/>
    <k n="Last trade time" t="s"/>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k n="Price (Extended hours)" t="i"/>
    <k n="Change (Extended hours)" t="i"/>
    <k n="Change % (Extended hours)" t="i"/>
  </s>
  <s>
    <k n="Price" t="s"/>
    <k n="Change" t="s"/>
    <k n="Exchange" t="s"/>
    <k n="Change (%)" t="s"/>
    <k n="Last trade time" t="s"/>
    <k n="Price (Extended hours)" t="s"/>
    <k n="Change (Extended hours)" t="s"/>
    <k n="Change % (Extended hours)" t="s"/>
  </s>
  <s>
    <k n="Price" t="s"/>
    <k n="Change" t="s"/>
    <k n="Change (%)" t="s"/>
    <k n="Last trade time" t="s"/>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UniqueName" t="spb"/>
    <k n="`%ProviderInfo" t="spb"/>
  </s>
  <s>
    <k n="Name"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35" formatCode="_-* #,##0.00_-;\-* #,##0.00_-;_-* &quot;-&quot;??_-;_-@_-"/>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1">
      <rpv i="0">_-[$$-en-CA]* #,##0.00_-;-[$$-en-CA]* #,##0.00_-;_-[$$-en-CA]* "-"??_-;_-@_-</rpv>
    </rSty>
    <rSty dxfid="1">
      <rpv i="0">_-[$$-en-CA]* #,##0_-;-[$$-en-CA]* #,##0_-;_-[$$-en-CA]* "-"_-;_-@_-</rpv>
    </rSty>
    <rSty dxfid="1">
      <rpv i="0">_([$€-x-euro2] * #,##0.00_);_([$€-x-euro2] * (#,##0.00);_([$€-x-euro2] * "-"??_);_(@_)</rpv>
    </rSty>
    <rSty dxfid="1">
      <rpv i="0">_([$€-x-euro2] * #,##0_);_([$€-x-euro2] * (#,##0);_([$€-x-euro2] * "-"_);_(@_)</rpv>
    </rSty>
    <rSty dxfid="7">
      <rpv i="0">_(* #,##0.00_);_(* (#,##0.00);_(* "-"??_);_(@_)</rpv>
    </rSty>
    <rSty dxfid="1">
      <rpv i="0">_-[$£-en-GB]* #,##0_-;-[$£-en-GB]* #,##0_-;_-[$£-en-GB]* "-"_-;_-@_-</rpv>
    </rSty>
    <rSty dxfid="1">
      <rpv i="0">_-[$NT$-zh-TW]* #,##0_-;-[$NT$-zh-TW]* #,##0_-;_-[$NT$-zh-TW]* "-"_-;_-@_-</rpv>
    </rSty>
    <rSty dxfid="1">
      <rpv i="0">_-[$£-en-GB]* #,##0.00_-;-[$£-en-GB]* #,##0.00_-;_-[$£-en-GB]*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2495E7-9F34-4C1F-83EC-FA45D59FA2BD}" name="tblContributions" displayName="tblContributions" ref="A1:C2" totalsRowShown="0">
  <autoFilter ref="A1:C2" xr:uid="{F82495E7-9F34-4C1F-83EC-FA45D59FA2BD}"/>
  <tableColumns count="3">
    <tableColumn id="1" xr3:uid="{EAE9033F-E950-4D8F-AC60-78CCDA7A0C9E}" name="DATE" dataDxfId="44"/>
    <tableColumn id="2" xr3:uid="{1D40F1FF-D66C-4703-9DEC-93C768793D8F}" name="AMMOUNT"/>
    <tableColumn id="3" xr3:uid="{49855D82-DE07-4257-837D-DD0BE41E988B}"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5D2F70-2765-43A5-94CB-6AA0CBF0815D}" name="tblCashReserve" displayName="tblCashReserve" ref="A1:B6" totalsRowShown="0">
  <autoFilter ref="A1:B6" xr:uid="{0F5D2F70-2765-43A5-94CB-6AA0CBF0815D}"/>
  <tableColumns count="2">
    <tableColumn id="1" xr3:uid="{A6D3B042-E459-4CE1-A73F-81F35D8391E9}" name="ACCOUNT"/>
    <tableColumn id="2" xr3:uid="{451C6194-1379-4F9D-9B38-9F46572D49A1}" name="CASH_BALAN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3C696C-9B9A-4DF4-8083-AEEF5BFB0BEF}" name="tblPortfolioHistory" displayName="tblPortfolioHistory" ref="A1:G2" insertRow="1" totalsRowShown="0">
  <autoFilter ref="A1:G2" xr:uid="{B03C696C-9B9A-4DF4-8083-AEEF5BFB0BEF}"/>
  <tableColumns count="7">
    <tableColumn id="1" xr3:uid="{6C62F8CF-E181-45AD-8AD9-36C86E98B4C2}" name="snapshot_date"/>
    <tableColumn id="2" xr3:uid="{E6A148BC-2B70-4684-B956-DC22D11A8698}" name="portfolio_value"/>
    <tableColumn id="3" xr3:uid="{E8F619ED-6945-43D0-A62B-D247D8DED2E4}" name="invested_value"/>
    <tableColumn id="4" xr3:uid="{AB349802-7A2A-4AB2-B41A-BE9C4FF30ABB}" name="cash"/>
    <tableColumn id="5" xr3:uid="{440B81BE-0BF2-4664-869C-00A1528E8ED0}" name="cash_contributions"/>
    <tableColumn id="6" xr3:uid="{8C5EF52E-CD35-41F5-A473-3AE9322B6A8D}" name="capital_status"/>
    <tableColumn id="7" xr3:uid="{7CF9F54C-328F-4A6D-9387-8AB88F9C04B8}" name="cash_funding_ratio"/>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Watchlist" displayName="tblWatchlist" ref="A1:AE95" totalsRowShown="0">
  <autoFilter ref="A1:AE95" xr:uid="{00000000-0009-0000-0100-000001000000}"/>
  <sortState xmlns:xlrd2="http://schemas.microsoft.com/office/spreadsheetml/2017/richdata2" ref="A2:AE95">
    <sortCondition ref="A1:A95"/>
  </sortState>
  <tableColumns count="31">
    <tableColumn id="1" xr3:uid="{00000000-0010-0000-0000-000001000000}" name="symbol"/>
    <tableColumn id="2" xr3:uid="{00000000-0010-0000-0000-000002000000}" name="StockName"/>
    <tableColumn id="3" xr3:uid="{00000000-0010-0000-0000-000003000000}" name="LastTradeTime" dataDxfId="43">
      <calculatedColumnFormula array="1">_FV(B2,"Last trade time",TRUE)</calculatedColumnFormula>
    </tableColumn>
    <tableColumn id="4" xr3:uid="{00000000-0010-0000-0000-000004000000}" name="TradeCurrency">
      <calculatedColumnFormula array="1">_FV(B2,"Currency")</calculatedColumnFormula>
    </tableColumn>
    <tableColumn id="5" xr3:uid="{00000000-0010-0000-0000-000005000000}" name="StockPrice" dataDxfId="42">
      <calculatedColumnFormula array="1">_FV(B2,"Price")</calculatedColumnFormula>
    </tableColumn>
    <tableColumn id="6" xr3:uid="{00000000-0010-0000-0000-000006000000}" name="ChangePercent" dataDxfId="41">
      <calculatedColumnFormula array="1">_FV(B2,"Change (%)",TRUE)</calculatedColumnFormula>
    </tableColumn>
    <tableColumn id="7" xr3:uid="{00000000-0010-0000-0000-000007000000}" name="Change" dataDxfId="40">
      <calculatedColumnFormula array="1">_FV(B2,"Change")</calculatedColumnFormula>
    </tableColumn>
    <tableColumn id="8" xr3:uid="{00000000-0010-0000-0000-000008000000}" name="P/E" dataDxfId="39">
      <calculatedColumnFormula array="1">_FV(B2,"P/E",TRUE)</calculatedColumnFormula>
    </tableColumn>
    <tableColumn id="9" xr3:uid="{00000000-0010-0000-0000-000009000000}" name="Beta" dataDxfId="38">
      <calculatedColumnFormula array="1">_FV(B2,"Beta")</calculatedColumnFormula>
    </tableColumn>
    <tableColumn id="10" xr3:uid="{00000000-0010-0000-0000-00000A000000}" name="52WkHigh" dataDxfId="37">
      <calculatedColumnFormula array="1">_FV(B2,"52 week high",TRUE)</calculatedColumnFormula>
    </tableColumn>
    <tableColumn id="11" xr3:uid="{00000000-0010-0000-0000-00000B000000}" name="52WkLow" dataDxfId="36">
      <calculatedColumnFormula array="1">_FV(B2,"52 week low",TRUE)</calculatedColumnFormula>
    </tableColumn>
    <tableColumn id="12" xr3:uid="{00000000-0010-0000-0000-00000C000000}" name="DayHigh" dataDxfId="35">
      <calculatedColumnFormula array="1">_FV(B2,"High")</calculatedColumnFormula>
    </tableColumn>
    <tableColumn id="13" xr3:uid="{00000000-0010-0000-0000-00000D000000}" name="DayLow" dataDxfId="34">
      <calculatedColumnFormula array="1">_FV(B2,"Low")</calculatedColumnFormula>
    </tableColumn>
    <tableColumn id="14" xr3:uid="{00000000-0010-0000-0000-00000E000000}" name="Open" dataDxfId="33">
      <calculatedColumnFormula array="1">_FV(B2,"Open")</calculatedColumnFormula>
    </tableColumn>
    <tableColumn id="15" xr3:uid="{00000000-0010-0000-0000-00000F000000}" name="PreviousClose" dataDxfId="32">
      <calculatedColumnFormula array="1">_FV(B2,"Previous close",TRUE)</calculatedColumnFormula>
    </tableColumn>
    <tableColumn id="16" xr3:uid="{00000000-0010-0000-0000-000010000000}" name="Volume" dataDxfId="31">
      <calculatedColumnFormula array="1">_FV(B2,"Volume")</calculatedColumnFormula>
    </tableColumn>
    <tableColumn id="17" xr3:uid="{00000000-0010-0000-0000-000011000000}" name="AverageVolume" dataDxfId="30">
      <calculatedColumnFormula array="1">_FV(B2,"Volume average",TRUE)</calculatedColumnFormula>
    </tableColumn>
    <tableColumn id="18" xr3:uid="{00000000-0010-0000-0000-000012000000}" name="YearIncorported" dataDxfId="29">
      <calculatedColumnFormula array="1">_FV(B2,"Year incorporated",TRUE)</calculatedColumnFormula>
    </tableColumn>
    <tableColumn id="19" xr3:uid="{00000000-0010-0000-0000-000013000000}" name="Employees" dataDxfId="28">
      <calculatedColumnFormula array="1">_FV(B2,"Employees")</calculatedColumnFormula>
    </tableColumn>
    <tableColumn id="20" xr3:uid="{00000000-0010-0000-0000-000014000000}" name="Industry">
      <calculatedColumnFormula array="1">_FV(B2,"Industry")</calculatedColumnFormula>
    </tableColumn>
    <tableColumn id="21" xr3:uid="{00000000-0010-0000-0000-000015000000}" name="MarketCap" dataDxfId="27">
      <calculatedColumnFormula array="1">_FV(B2,"Market cap",TRUE)</calculatedColumnFormula>
    </tableColumn>
    <tableColumn id="22" xr3:uid="{00000000-0010-0000-0000-000016000000}" name="SharesOutstanding" dataDxfId="26">
      <calculatedColumnFormula array="1">_FV(B2,"Shares outstanding",TRUE)</calculatedColumnFormula>
    </tableColumn>
    <tableColumn id="23" xr3:uid="{00000000-0010-0000-0000-000017000000}" name="50SMA"/>
    <tableColumn id="24" xr3:uid="{00000000-0010-0000-0000-000018000000}" name="100SMA"/>
    <tableColumn id="25" xr3:uid="{00000000-0010-0000-0000-000019000000}" name="150SMA"/>
    <tableColumn id="26" xr3:uid="{00000000-0010-0000-0000-00001A000000}" name="200SMA"/>
    <tableColumn id="27" xr3:uid="{00000000-0010-0000-0000-00001B000000}" name="EMA"/>
    <tableColumn id="28" xr3:uid="{00000000-0010-0000-0000-00001C000000}" name="RSI"/>
    <tableColumn id="29" xr3:uid="{00000000-0010-0000-0000-00001D000000}" name="MACD"/>
    <tableColumn id="30" xr3:uid="{00000000-0010-0000-0000-00001E000000}" name="UpperBB"/>
    <tableColumn id="31" xr3:uid="{00000000-0010-0000-0000-00001F000000}" name="LowerBB"/>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39CE96F-8D2C-4A60-A43A-B3602E27FDC2}" name="tblHoldings" displayName="tblHoldings" ref="A1:N10" totalsRowShown="0" headerRowDxfId="25" dataDxfId="24" tableBorderDxfId="23">
  <autoFilter ref="A1:N10" xr:uid="{D39CE96F-8D2C-4A60-A43A-B3602E27FDC2}"/>
  <tableColumns count="14">
    <tableColumn id="1" xr3:uid="{AE3CE10F-629F-414E-93DE-8949C4E58E7D}" name="Symbol" dataDxfId="22"/>
    <tableColumn id="2" xr3:uid="{40700DF4-EB97-4DB9-BA32-772C3F8E34CC}" name="StockName" dataDxfId="21"/>
    <tableColumn id="3" xr3:uid="{BED1527E-0498-4FF1-8E69-ECDB2EB30C25}" name="TradeCurrency" dataDxfId="20">
      <calculatedColumnFormula>_FV(B2,"Currency")</calculatedColumnFormula>
    </tableColumn>
    <tableColumn id="4" xr3:uid="{2218CAC2-8A57-48EA-B1D3-CD7E0BA08ECA}" name="TotalBought" dataDxfId="19"/>
    <tableColumn id="5" xr3:uid="{77160EAF-769F-4559-B5AE-C08A0AC76566}" name="TotalSold" dataDxfId="18"/>
    <tableColumn id="6" xr3:uid="{324BA50C-3A95-4946-A384-C4EF731BD7F3}" name="NetPosition" dataDxfId="17"/>
    <tableColumn id="7" xr3:uid="{24A211AE-9FE1-4D72-98D4-96F240F7DCFD}" name="AvgCost" dataDxfId="16"/>
    <tableColumn id="8" xr3:uid="{E1C8BF44-8957-447E-B3C1-A76A00A619B8}" name="AvgBuyCost" dataDxfId="15">
      <calculatedColumnFormula>F2*G2</calculatedColumnFormula>
    </tableColumn>
    <tableColumn id="9" xr3:uid="{73ED87C5-FB66-49D5-B1EF-4BE32DC6D51F}" name="StockPrice" dataDxfId="14">
      <calculatedColumnFormula>_FV(B2,"Price")</calculatedColumnFormula>
    </tableColumn>
    <tableColumn id="10" xr3:uid="{1E08B942-A194-43F5-A7DB-404EC54A5C02}" name="FXRate" dataDxfId="13">
      <calculatedColumnFormula>Config!$C$1</calculatedColumnFormula>
    </tableColumn>
    <tableColumn id="14" xr3:uid="{42171935-FB72-4173-A1EB-132DDE8201DD}" name="ChangePercent" dataDxfId="12">
      <calculatedColumnFormula array="1">_FV(B2,"Change (%)",TRUE)</calculatedColumnFormula>
    </tableColumn>
    <tableColumn id="11" xr3:uid="{96D6E4C8-F5BD-4A3E-88A2-BF403C882136}" name="MarketValue" dataDxfId="11">
      <calculatedColumnFormula>F2*I2*J2</calculatedColumnFormula>
    </tableColumn>
    <tableColumn id="12" xr3:uid="{E928C781-D2C4-42A1-A053-38B541581BCB}" name="P&amp;L" dataDxfId="10">
      <calculatedColumnFormula>L2-H2</calculatedColumnFormula>
    </tableColumn>
    <tableColumn id="13" xr3:uid="{53BE744D-B35A-4E6B-8EA9-E422203F974E}" name="P&amp;LPercent" dataDxfId="9">
      <calculatedColumnFormula>IF(H2=0,"",M2/H2)</calculatedColumnFormula>
    </tableColumn>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8651C-E5A5-45D7-803C-513765CEA831}">
  <dimension ref="A1:C2"/>
  <sheetViews>
    <sheetView topLeftCell="A1048562" workbookViewId="0">
      <selection activeCell="B6" sqref="B6"/>
    </sheetView>
  </sheetViews>
  <sheetFormatPr defaultRowHeight="14.25"/>
  <cols>
    <col min="1" max="1" width="9.9296875" bestFit="1" customWidth="1"/>
    <col min="2" max="2" width="11.06640625" customWidth="1"/>
  </cols>
  <sheetData>
    <row r="1" spans="1:3">
      <c r="A1" t="s">
        <v>592</v>
      </c>
      <c r="B1" t="s">
        <v>593</v>
      </c>
      <c r="C1" t="s">
        <v>594</v>
      </c>
    </row>
    <row r="2" spans="1:3">
      <c r="A2" s="1">
        <v>46170</v>
      </c>
      <c r="B2">
        <v>33738.31</v>
      </c>
      <c r="C2" t="s">
        <v>595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C0B5F-D414-47E1-932F-9CDB777530FB}">
  <dimension ref="A1:I15"/>
  <sheetViews>
    <sheetView workbookViewId="0">
      <selection activeCell="C18" sqref="C18"/>
    </sheetView>
  </sheetViews>
  <sheetFormatPr defaultRowHeight="14.25"/>
  <cols>
    <col min="1" max="1" width="24.19921875" customWidth="1"/>
    <col min="2" max="2" width="14.46484375" bestFit="1" customWidth="1"/>
    <col min="3" max="3" width="14.9296875" bestFit="1" customWidth="1"/>
    <col min="4" max="4" width="15.73046875" bestFit="1" customWidth="1"/>
    <col min="5" max="5" width="14.46484375" customWidth="1"/>
    <col min="7" max="7" width="14.73046875" bestFit="1" customWidth="1"/>
  </cols>
  <sheetData>
    <row r="1" spans="1:9">
      <c r="A1" t="s">
        <v>590</v>
      </c>
      <c r="B1" t="s">
        <v>591</v>
      </c>
      <c r="C1" t="s">
        <v>455</v>
      </c>
      <c r="D1" t="s">
        <v>453</v>
      </c>
      <c r="E1" t="s">
        <v>454</v>
      </c>
    </row>
    <row r="2" spans="1:9">
      <c r="A2" t="s">
        <v>602</v>
      </c>
      <c r="B2">
        <v>20000</v>
      </c>
      <c r="C2">
        <v>11.84</v>
      </c>
      <c r="D2">
        <v>19.654800000000002</v>
      </c>
      <c r="E2">
        <v>27.814800000000002</v>
      </c>
      <c r="G2" t="s">
        <v>458</v>
      </c>
      <c r="H2">
        <v>6833.0347999999976</v>
      </c>
      <c r="I2" s="4">
        <v>0.31723937685273945</v>
      </c>
    </row>
    <row r="3" spans="1:9">
      <c r="A3" t="s">
        <v>603</v>
      </c>
      <c r="B3">
        <v>12000</v>
      </c>
      <c r="C3">
        <v>21527.21</v>
      </c>
      <c r="D3">
        <v>28153.17</v>
      </c>
      <c r="E3">
        <v>28344.269999999997</v>
      </c>
      <c r="G3" t="s">
        <v>456</v>
      </c>
      <c r="H3">
        <v>12199.26</v>
      </c>
    </row>
    <row r="4" spans="1:9">
      <c r="A4" t="s">
        <v>604</v>
      </c>
      <c r="B4">
        <v>12000</v>
      </c>
      <c r="G4" t="s">
        <v>457</v>
      </c>
      <c r="H4">
        <f>+E5</f>
        <v>28372.084799999997</v>
      </c>
    </row>
    <row r="5" spans="1:9">
      <c r="A5" t="s">
        <v>605</v>
      </c>
      <c r="B5">
        <v>21539.08</v>
      </c>
      <c r="C5">
        <v>21539.05</v>
      </c>
      <c r="D5">
        <v>28172.824799999999</v>
      </c>
      <c r="E5">
        <v>28372.084799999997</v>
      </c>
      <c r="G5" t="s">
        <v>459</v>
      </c>
      <c r="H5" t="s">
        <v>460</v>
      </c>
      <c r="I5" t="s">
        <v>460</v>
      </c>
    </row>
    <row r="6" spans="1:9">
      <c r="A6" t="s">
        <v>606</v>
      </c>
      <c r="B6">
        <v>70</v>
      </c>
    </row>
    <row r="7" spans="1:9">
      <c r="D7">
        <f>+C5/D9</f>
        <v>0.64220753819126819</v>
      </c>
      <c r="G7" t="s">
        <v>461</v>
      </c>
      <c r="H7">
        <f>+H4+H3</f>
        <v>40571.344799999999</v>
      </c>
    </row>
    <row r="9" spans="1:9">
      <c r="A9" s="33" t="s">
        <v>446</v>
      </c>
      <c r="B9" s="34">
        <v>8.16</v>
      </c>
      <c r="C9">
        <f>SUM(B7:B7)</f>
        <v>0</v>
      </c>
      <c r="D9">
        <f>+B5+B4</f>
        <v>33539.08</v>
      </c>
    </row>
    <row r="10" spans="1:9">
      <c r="A10" s="32" t="s">
        <v>322</v>
      </c>
      <c r="B10" s="35">
        <v>191.1</v>
      </c>
    </row>
    <row r="11" spans="1:9">
      <c r="A11" t="s">
        <v>596</v>
      </c>
      <c r="B11">
        <v>10000</v>
      </c>
      <c r="F11" t="s">
        <v>597</v>
      </c>
    </row>
    <row r="12" spans="1:9">
      <c r="B12">
        <f>SUM(B9:B11)</f>
        <v>10199.26</v>
      </c>
      <c r="C12">
        <f>SUM(C2:C3)</f>
        <v>21539.05</v>
      </c>
      <c r="F12" t="s">
        <v>598</v>
      </c>
    </row>
    <row r="13" spans="1:9">
      <c r="C13">
        <f>SUM(B7:B7)</f>
        <v>0</v>
      </c>
      <c r="D13">
        <f>+SUM(C12:C13)</f>
        <v>21539.05</v>
      </c>
      <c r="E13">
        <f>+C5/D13</f>
        <v>1</v>
      </c>
      <c r="F13" t="s">
        <v>599</v>
      </c>
    </row>
    <row r="14" spans="1:9">
      <c r="F14" t="s">
        <v>600</v>
      </c>
    </row>
    <row r="15" spans="1:9">
      <c r="F15" t="s">
        <v>601</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
  <sheetViews>
    <sheetView workbookViewId="0">
      <selection activeCell="F9" sqref="F9"/>
    </sheetView>
  </sheetViews>
  <sheetFormatPr defaultRowHeight="14.25"/>
  <cols>
    <col min="1" max="1" width="10.46484375" style="1" bestFit="1" customWidth="1"/>
    <col min="2" max="2" width="10.46484375" bestFit="1" customWidth="1"/>
    <col min="9" max="9" width="13.53125" bestFit="1" customWidth="1"/>
  </cols>
  <sheetData>
    <row r="1" spans="1:10">
      <c r="A1" s="1" t="s">
        <v>82</v>
      </c>
      <c r="B1" t="s">
        <v>83</v>
      </c>
      <c r="C1" t="s">
        <v>3</v>
      </c>
      <c r="D1" t="s">
        <v>84</v>
      </c>
      <c r="E1" t="s">
        <v>85</v>
      </c>
      <c r="F1" t="s">
        <v>4</v>
      </c>
      <c r="G1" t="s">
        <v>86</v>
      </c>
      <c r="H1" t="s">
        <v>87</v>
      </c>
      <c r="I1" t="s">
        <v>88</v>
      </c>
      <c r="J1" t="s">
        <v>89</v>
      </c>
    </row>
    <row r="2" spans="1:10">
      <c r="A2" s="1">
        <v>45716</v>
      </c>
      <c r="B2" t="s">
        <v>322</v>
      </c>
      <c r="C2" t="s">
        <v>41</v>
      </c>
      <c r="D2" t="s">
        <v>90</v>
      </c>
      <c r="E2">
        <v>6</v>
      </c>
      <c r="F2" t="s">
        <v>91</v>
      </c>
      <c r="G2">
        <v>527.97666700000002</v>
      </c>
      <c r="I2">
        <v>1</v>
      </c>
    </row>
    <row r="3" spans="1:10">
      <c r="A3" s="1">
        <v>45716</v>
      </c>
      <c r="B3" t="s">
        <v>322</v>
      </c>
      <c r="C3" t="s">
        <v>60</v>
      </c>
      <c r="D3" t="s">
        <v>90</v>
      </c>
      <c r="E3">
        <v>44</v>
      </c>
      <c r="F3" t="s">
        <v>91</v>
      </c>
      <c r="G3">
        <v>38.896999999999998</v>
      </c>
      <c r="I3">
        <v>1</v>
      </c>
    </row>
    <row r="4" spans="1:10">
      <c r="A4" s="1">
        <v>46059</v>
      </c>
      <c r="B4" t="s">
        <v>322</v>
      </c>
      <c r="C4" t="s">
        <v>63</v>
      </c>
      <c r="D4" t="s">
        <v>90</v>
      </c>
      <c r="E4">
        <v>12</v>
      </c>
      <c r="F4" t="s">
        <v>91</v>
      </c>
      <c r="G4">
        <v>154.96</v>
      </c>
      <c r="I4">
        <v>1</v>
      </c>
    </row>
    <row r="5" spans="1:10">
      <c r="A5" s="1">
        <v>46059</v>
      </c>
      <c r="B5" t="s">
        <v>322</v>
      </c>
      <c r="C5" t="s">
        <v>70</v>
      </c>
      <c r="D5" t="s">
        <v>90</v>
      </c>
      <c r="E5">
        <v>31</v>
      </c>
      <c r="F5" t="s">
        <v>91</v>
      </c>
      <c r="G5">
        <v>66.906129000000007</v>
      </c>
      <c r="I5">
        <v>1</v>
      </c>
    </row>
    <row r="6" spans="1:10">
      <c r="A6" s="1">
        <v>46059</v>
      </c>
      <c r="B6" t="s">
        <v>322</v>
      </c>
      <c r="C6" t="s">
        <v>60</v>
      </c>
      <c r="D6" t="s">
        <v>90</v>
      </c>
      <c r="E6">
        <v>31</v>
      </c>
      <c r="F6" t="s">
        <v>91</v>
      </c>
      <c r="G6">
        <v>62.462299999999999</v>
      </c>
      <c r="I6">
        <v>1</v>
      </c>
    </row>
    <row r="7" spans="1:10">
      <c r="A7" s="1">
        <v>46125</v>
      </c>
      <c r="B7" t="s">
        <v>322</v>
      </c>
      <c r="C7" t="s">
        <v>76</v>
      </c>
      <c r="D7" t="s">
        <v>90</v>
      </c>
      <c r="E7">
        <v>80</v>
      </c>
      <c r="F7" t="s">
        <v>91</v>
      </c>
      <c r="G7">
        <v>8.8163710000000002</v>
      </c>
      <c r="I7">
        <v>1</v>
      </c>
    </row>
    <row r="8" spans="1:10">
      <c r="A8" s="1">
        <v>46125</v>
      </c>
      <c r="B8" t="s">
        <v>322</v>
      </c>
      <c r="C8" t="s">
        <v>76</v>
      </c>
      <c r="D8" t="s">
        <v>90</v>
      </c>
      <c r="E8">
        <v>44</v>
      </c>
      <c r="F8" t="s">
        <v>91</v>
      </c>
      <c r="G8">
        <v>8.8163710000000002</v>
      </c>
      <c r="I8">
        <v>1</v>
      </c>
    </row>
    <row r="9" spans="1:10">
      <c r="A9" s="1">
        <v>46125</v>
      </c>
      <c r="B9" t="s">
        <v>322</v>
      </c>
      <c r="C9" t="s">
        <v>80</v>
      </c>
      <c r="D9" t="s">
        <v>90</v>
      </c>
      <c r="E9">
        <v>444</v>
      </c>
      <c r="F9" t="s">
        <v>91</v>
      </c>
      <c r="G9">
        <v>5.6261940000000008</v>
      </c>
      <c r="I9">
        <v>1</v>
      </c>
    </row>
    <row r="10" spans="1:10">
      <c r="A10" s="1">
        <v>46139</v>
      </c>
      <c r="B10" t="s">
        <v>92</v>
      </c>
      <c r="C10" t="s">
        <v>80</v>
      </c>
      <c r="D10" t="s">
        <v>90</v>
      </c>
      <c r="E10">
        <v>2</v>
      </c>
      <c r="F10" t="s">
        <v>91</v>
      </c>
      <c r="G10">
        <v>5.92</v>
      </c>
      <c r="H10">
        <v>0.12</v>
      </c>
      <c r="I10">
        <v>1</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21A197-83AF-4FAF-8918-48B07A372EC8}">
  <dimension ref="A1:G1"/>
  <sheetViews>
    <sheetView workbookViewId="0">
      <selection activeCell="D6" sqref="D6"/>
    </sheetView>
  </sheetViews>
  <sheetFormatPr defaultRowHeight="14.25"/>
  <cols>
    <col min="1" max="1" width="14.19921875" customWidth="1"/>
    <col min="2" max="2" width="14.59765625" customWidth="1"/>
    <col min="3" max="3" width="14.53125" customWidth="1"/>
    <col min="4" max="4" width="6.33203125" customWidth="1"/>
    <col min="5" max="5" width="17.73046875" customWidth="1"/>
    <col min="6" max="6" width="13.6640625" customWidth="1"/>
    <col min="7" max="7" width="17.53125" customWidth="1"/>
    <col min="8" max="8" width="15.59765625" bestFit="1" customWidth="1"/>
  </cols>
  <sheetData>
    <row r="1" spans="1:7">
      <c r="A1" t="s">
        <v>607</v>
      </c>
      <c r="B1" t="s">
        <v>608</v>
      </c>
      <c r="C1" t="s">
        <v>609</v>
      </c>
      <c r="D1" t="s">
        <v>602</v>
      </c>
      <c r="E1" t="s">
        <v>605</v>
      </c>
      <c r="F1" t="s">
        <v>610</v>
      </c>
      <c r="G1" t="s">
        <v>611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95"/>
  <sheetViews>
    <sheetView topLeftCell="A22" workbookViewId="0">
      <pane xSplit="1" topLeftCell="B1" activePane="topRight" state="frozen"/>
      <selection pane="topRight" activeCell="A17" sqref="A17:XFD17"/>
    </sheetView>
  </sheetViews>
  <sheetFormatPr defaultRowHeight="14.25"/>
  <cols>
    <col min="1" max="1" width="9.86328125" customWidth="1"/>
    <col min="2" max="2" width="28.06640625" customWidth="1"/>
    <col min="3" max="3" width="16.33203125" customWidth="1"/>
    <col min="4" max="4" width="16.6640625" bestFit="1" customWidth="1"/>
    <col min="5" max="5" width="12.6640625" customWidth="1"/>
    <col min="6" max="6" width="17" customWidth="1"/>
    <col min="7" max="7" width="10" customWidth="1"/>
    <col min="10" max="10" width="12.1328125" customWidth="1"/>
    <col min="11" max="11" width="11.53125" customWidth="1"/>
    <col min="12" max="12" width="10.6640625" customWidth="1"/>
    <col min="13" max="13" width="10.1328125" customWidth="1"/>
    <col min="15" max="15" width="16.33203125" customWidth="1"/>
    <col min="16" max="16" width="11.1328125" bestFit="1" customWidth="1"/>
    <col min="17" max="17" width="17.1328125" customWidth="1"/>
    <col min="18" max="18" width="17.6640625" customWidth="1"/>
    <col min="19" max="19" width="13.1328125" customWidth="1"/>
    <col min="20" max="20" width="43.33203125" bestFit="1" customWidth="1"/>
    <col min="21" max="21" width="16.46484375" bestFit="1" customWidth="1"/>
    <col min="22" max="22" width="20.33203125" customWidth="1"/>
    <col min="24" max="26" width="10" customWidth="1"/>
    <col min="30" max="31" width="10.86328125" customWidth="1"/>
  </cols>
  <sheetData>
    <row r="1" spans="1:31">
      <c r="A1" t="s">
        <v>3</v>
      </c>
      <c r="B1" t="s">
        <v>93</v>
      </c>
      <c r="C1" t="s">
        <v>94</v>
      </c>
      <c r="D1" t="s">
        <v>95</v>
      </c>
      <c r="E1" t="s">
        <v>96</v>
      </c>
      <c r="F1" t="s">
        <v>97</v>
      </c>
      <c r="G1" t="s">
        <v>98</v>
      </c>
      <c r="H1" t="s">
        <v>99</v>
      </c>
      <c r="I1" t="s">
        <v>100</v>
      </c>
      <c r="J1" t="s">
        <v>101</v>
      </c>
      <c r="K1" t="s">
        <v>102</v>
      </c>
      <c r="L1" t="s">
        <v>103</v>
      </c>
      <c r="M1" t="s">
        <v>104</v>
      </c>
      <c r="N1" t="s">
        <v>105</v>
      </c>
      <c r="O1" t="s">
        <v>106</v>
      </c>
      <c r="P1" t="s">
        <v>107</v>
      </c>
      <c r="Q1" t="s">
        <v>108</v>
      </c>
      <c r="R1" t="s">
        <v>109</v>
      </c>
      <c r="S1" t="s">
        <v>110</v>
      </c>
      <c r="T1" t="s">
        <v>111</v>
      </c>
      <c r="U1" t="s">
        <v>112</v>
      </c>
      <c r="V1" t="s">
        <v>113</v>
      </c>
      <c r="W1" t="s">
        <v>114</v>
      </c>
      <c r="X1" t="s">
        <v>115</v>
      </c>
      <c r="Y1" t="s">
        <v>116</v>
      </c>
      <c r="Z1" t="s">
        <v>117</v>
      </c>
      <c r="AA1" t="s">
        <v>118</v>
      </c>
      <c r="AB1" t="s">
        <v>119</v>
      </c>
      <c r="AC1" t="s">
        <v>120</v>
      </c>
      <c r="AD1" t="s">
        <v>121</v>
      </c>
      <c r="AE1" t="s">
        <v>122</v>
      </c>
    </row>
    <row r="2" spans="1:31">
      <c r="A2" t="s">
        <v>73</v>
      </c>
      <c r="B2" t="e" vm="1">
        <v>#VALUE!</v>
      </c>
      <c r="C2" s="2">
        <f t="array" aca="1" ref="C2" ca="1">_FV(B2,"Last trade time",TRUE)</f>
        <v>46178.903395763278</v>
      </c>
      <c r="D2" t="str">
        <f t="array" aca="1" ref="D2" ca="1">_FV(B2,"Currency")</f>
        <v>USD</v>
      </c>
      <c r="E2" s="3">
        <f t="array" aca="1" ref="E2" ca="1">_FV(B2,"Price")</f>
        <v>177</v>
      </c>
      <c r="F2" s="4">
        <f t="array" aca="1" ref="F2" ca="1">_FV(B2,"Change (%)",TRUE)</f>
        <v>-0.127606</v>
      </c>
      <c r="G2" s="5">
        <f t="array" aca="1" ref="G2" ca="1">_FV(B2,"Change")</f>
        <v>-25.89</v>
      </c>
      <c r="H2" s="6">
        <f t="array" aca="1" ref="H2" ca="1">_FV(B2,"P/E",TRUE)</f>
        <v>0</v>
      </c>
      <c r="I2" s="6">
        <f t="array" aca="1" ref="I2" ca="1">_FV(B2,"Beta")</f>
        <v>3.6524999999999999</v>
      </c>
      <c r="J2" s="3">
        <f t="array" aca="1" ref="J2" ca="1">_FV(B2,"52 week high",TRUE)</f>
        <v>233.67</v>
      </c>
      <c r="K2" s="3">
        <f t="array" aca="1" ref="K2" ca="1">_FV(B2,"52 week low",TRUE)</f>
        <v>15.29</v>
      </c>
      <c r="L2" s="3">
        <f t="array" aca="1" ref="L2" ca="1">_FV(B2,"High")</f>
        <v>208.5</v>
      </c>
      <c r="M2" s="3">
        <f t="array" aca="1" ref="M2" ca="1">_FV(B2,"Low")</f>
        <v>174.23</v>
      </c>
      <c r="N2" s="3">
        <f t="array" aca="1" ref="N2" ca="1">_FV(B2,"Open")</f>
        <v>191.42</v>
      </c>
      <c r="O2" s="3">
        <f t="array" aca="1" ref="O2" ca="1">_FV(B2,"Previous close",TRUE)</f>
        <v>202.89</v>
      </c>
      <c r="P2" s="7">
        <f t="array" aca="1" ref="P2" ca="1">_FV(B2,"Volume")</f>
        <v>19683738</v>
      </c>
      <c r="Q2" s="7">
        <f t="array" aca="1" ref="Q2" ca="1">_FV(B2,"Volume average",TRUE)</f>
        <v>12222923</v>
      </c>
      <c r="R2" s="8">
        <f t="array" aca="1" ref="R2" ca="1">_FV(B2,"Year incorporated",TRUE)</f>
        <v>2013</v>
      </c>
      <c r="S2" s="7">
        <f t="array" aca="1" ref="S2" ca="1">_FV(B2,"Employees")</f>
        <v>4691</v>
      </c>
      <c r="T2" t="str">
        <f t="array" aca="1" ref="T2" ca="1">_FV(B2,"Industry")</f>
        <v>Electronic Equipment &amp; Parts</v>
      </c>
      <c r="U2" s="7">
        <f t="array" aca="1" ref="U2" ca="1">_FV(B2,"Market cap",TRUE)</f>
        <v>14202970290</v>
      </c>
      <c r="V2" s="7">
        <f t="array" aca="1" ref="V2" ca="1">_FV(B2,"Shares outstanding",TRUE)</f>
        <v>80242770</v>
      </c>
    </row>
    <row r="3" spans="1:31">
      <c r="A3" t="s">
        <v>35</v>
      </c>
      <c r="B3" t="e" vm="2">
        <v>#VALUE!</v>
      </c>
      <c r="C3" s="2">
        <f t="array" aca="1" ref="C3" ca="1">_FV(B3,"Last trade time",TRUE)</f>
        <v>46178.903317210155</v>
      </c>
      <c r="D3" t="str">
        <f t="array" aca="1" ref="D3" ca="1">_FV(B3,"Currency")</f>
        <v>USD</v>
      </c>
      <c r="E3" s="3">
        <f t="array" aca="1" ref="E3" ca="1">_FV(B3,"Price")</f>
        <v>307.33999999999997</v>
      </c>
      <c r="F3" s="4">
        <f t="array" aca="1" ref="F3" ca="1">_FV(B3,"Change (%)",TRUE)</f>
        <v>-1.2499E-2</v>
      </c>
      <c r="G3" s="5">
        <f t="array" aca="1" ref="G3" ca="1">_FV(B3,"Change")</f>
        <v>-3.89</v>
      </c>
      <c r="H3" s="6">
        <f t="array" aca="1" ref="H3" ca="1">_FV(B3,"P/E",TRUE)</f>
        <v>37.326599999999999</v>
      </c>
      <c r="I3" s="6">
        <f t="array" aca="1" ref="I3" ca="1">_FV(B3,"Beta")</f>
        <v>1.0863</v>
      </c>
      <c r="J3" s="3">
        <f t="array" aca="1" ref="J3" ca="1">_FV(B3,"52 week high",TRUE)</f>
        <v>316.94</v>
      </c>
      <c r="K3" s="3">
        <f t="array" aca="1" ref="K3" ca="1">_FV(B3,"52 week low",TRUE)</f>
        <v>195.07</v>
      </c>
      <c r="L3" s="3">
        <f t="array" aca="1" ref="L3" ca="1">_FV(B3,"High")</f>
        <v>315.17</v>
      </c>
      <c r="M3" s="3">
        <f t="array" aca="1" ref="M3" ca="1">_FV(B3,"Low")</f>
        <v>307.14999999999998</v>
      </c>
      <c r="N3" s="3">
        <f t="array" aca="1" ref="N3" ca="1">_FV(B3,"Open")</f>
        <v>312.86</v>
      </c>
      <c r="O3" s="3">
        <f t="array" aca="1" ref="O3" ca="1">_FV(B3,"Previous close",TRUE)</f>
        <v>311.23</v>
      </c>
      <c r="P3" s="7">
        <f t="array" aca="1" ref="P3" ca="1">_FV(B3,"Volume")</f>
        <v>65217745</v>
      </c>
      <c r="Q3" s="7">
        <f t="array" aca="1" ref="Q3" ca="1">_FV(B3,"Volume average",TRUE)</f>
        <v>50489004</v>
      </c>
      <c r="R3" s="8">
        <f t="array" aca="1" ref="R3" ca="1">_FV(B3,"Year incorporated",TRUE)</f>
        <v>1977</v>
      </c>
      <c r="S3" s="7">
        <f t="array" aca="1" ref="S3" ca="1">_FV(B3,"Employees")</f>
        <v>166000</v>
      </c>
      <c r="T3" t="str">
        <f t="array" aca="1" ref="T3" ca="1">_FV(B3,"Industry")</f>
        <v>Computers, Phones &amp; Household Electronics</v>
      </c>
      <c r="U3" s="7">
        <f t="array" aca="1" ref="U3" ca="1">_FV(B3,"Market cap",TRUE)</f>
        <v>4514013222400</v>
      </c>
      <c r="V3" s="7">
        <f t="array" aca="1" ref="V3" ca="1">_FV(B3,"Shares outstanding",TRUE)</f>
        <v>14687360000</v>
      </c>
    </row>
    <row r="4" spans="1:31">
      <c r="A4" t="s">
        <v>19</v>
      </c>
      <c r="B4" t="e" vm="3">
        <v>#VALUE!</v>
      </c>
      <c r="C4" s="2">
        <f t="array" aca="1" ref="C4" ca="1">_FV(B4,"Last trade time",TRUE)</f>
        <v>46178.903395647656</v>
      </c>
      <c r="D4" t="str">
        <f t="array" aca="1" ref="D4" ca="1">_FV(B4,"Currency")</f>
        <v>USD</v>
      </c>
      <c r="E4" s="3">
        <f t="array" aca="1" ref="E4" ca="1">_FV(B4,"Price")</f>
        <v>251.44</v>
      </c>
      <c r="F4" s="4">
        <f t="array" aca="1" ref="F4" ca="1">_FV(B4,"Change (%)",TRUE)</f>
        <v>-2.7009999999999999E-2</v>
      </c>
      <c r="G4" s="5">
        <f t="array" aca="1" ref="G4" ca="1">_FV(B4,"Change")</f>
        <v>-6.98</v>
      </c>
      <c r="H4" s="6">
        <f t="array" aca="1" ref="H4" ca="1">_FV(B4,"P/E",TRUE)</f>
        <v>15.0618</v>
      </c>
      <c r="I4" s="6">
        <f t="array" aca="1" ref="I4" ca="1">_FV(B4,"Beta")</f>
        <v>1.4020999999999999</v>
      </c>
      <c r="J4" s="3">
        <f t="array" aca="1" ref="J4" ca="1">_FV(B4,"52 week high",TRUE)</f>
        <v>421.48</v>
      </c>
      <c r="K4" s="3">
        <f t="array" aca="1" ref="K4" ca="1">_FV(B4,"52 week low",TRUE)</f>
        <v>224.13</v>
      </c>
      <c r="L4" s="3">
        <f t="array" aca="1" ref="L4" ca="1">_FV(B4,"High")</f>
        <v>262.52999999999997</v>
      </c>
      <c r="M4" s="3">
        <f t="array" aca="1" ref="M4" ca="1">_FV(B4,"Low")</f>
        <v>249.05</v>
      </c>
      <c r="N4" s="3">
        <f t="array" aca="1" ref="N4" ca="1">_FV(B4,"Open")</f>
        <v>259.27999999999997</v>
      </c>
      <c r="O4" s="3">
        <f t="array" aca="1" ref="O4" ca="1">_FV(B4,"Previous close",TRUE)</f>
        <v>258.42</v>
      </c>
      <c r="P4" s="7">
        <f t="array" aca="1" ref="P4" ca="1">_FV(B4,"Volume")</f>
        <v>4900885</v>
      </c>
      <c r="Q4" s="7">
        <f t="array" aca="1" ref="Q4" ca="1">_FV(B4,"Volume average",TRUE)</f>
        <v>4936048</v>
      </c>
      <c r="R4" s="8">
        <f t="array" aca="1" ref="R4" ca="1">_FV(B4,"Year incorporated",TRUE)</f>
        <v>1997</v>
      </c>
      <c r="S4" s="7">
        <f t="array" aca="1" ref="S4" ca="1">_FV(B4,"Employees")</f>
        <v>31360</v>
      </c>
      <c r="T4" t="str">
        <f t="array" aca="1" ref="T4" ca="1">_FV(B4,"Industry")</f>
        <v>Software &amp; IT Services</v>
      </c>
      <c r="U4" s="7">
        <f t="array" aca="1" ref="U4" ca="1">_FV(B4,"Market cap",TRUE)</f>
        <v>101632048000</v>
      </c>
      <c r="V4" s="7">
        <f t="array" aca="1" ref="V4" ca="1">_FV(B4,"Shares outstanding",TRUE)</f>
        <v>404200000</v>
      </c>
    </row>
    <row r="5" spans="1:31">
      <c r="A5" t="s">
        <v>75</v>
      </c>
      <c r="B5" t="e" vm="4">
        <v>#VALUE!</v>
      </c>
      <c r="C5" s="2">
        <f t="array" aca="1" ref="C5" ca="1">_FV(B5,"Last trade time",TRUE)</f>
        <v>46178.903194525003</v>
      </c>
      <c r="D5" t="str">
        <f t="array" aca="1" ref="D5" ca="1">_FV(B5,"Currency")</f>
        <v>USD</v>
      </c>
      <c r="E5" s="3">
        <f t="array" aca="1" ref="E5" ca="1">_FV(B5,"Price")</f>
        <v>98.45</v>
      </c>
      <c r="F5" s="4">
        <f t="array" aca="1" ref="F5" ca="1">_FV(B5,"Change (%)",TRUE)</f>
        <v>-0.15551600000000002</v>
      </c>
      <c r="G5" s="5">
        <f t="array" aca="1" ref="G5" ca="1">_FV(B5,"Change")</f>
        <v>-18.13</v>
      </c>
      <c r="H5" s="6">
        <f t="array" aca="1" ref="H5" ca="1">_FV(B5,"P/E",TRUE)</f>
        <v>0</v>
      </c>
      <c r="I5" s="6">
        <f t="array" aca="1" ref="I5" ca="1">_FV(B5,"Beta")</f>
        <v>3.1669</v>
      </c>
      <c r="J5" s="3">
        <f t="array" aca="1" ref="J5" ca="1">_FV(B5,"52 week high",TRUE)</f>
        <v>121.8</v>
      </c>
      <c r="K5" s="3">
        <f t="array" aca="1" ref="K5" ca="1">_FV(B5,"52 week low",TRUE)</f>
        <v>10.887499999999999</v>
      </c>
      <c r="L5" s="3">
        <f t="array" aca="1" ref="L5" ca="1">_FV(B5,"High")</f>
        <v>111.7855</v>
      </c>
      <c r="M5" s="3">
        <f t="array" aca="1" ref="M5" ca="1">_FV(B5,"Low")</f>
        <v>96.9</v>
      </c>
      <c r="N5" s="3">
        <f t="array" aca="1" ref="N5" ca="1">_FV(B5,"Open")</f>
        <v>110.32</v>
      </c>
      <c r="O5" s="3">
        <f t="array" aca="1" ref="O5" ca="1">_FV(B5,"Previous close",TRUE)</f>
        <v>116.58</v>
      </c>
      <c r="P5" s="7">
        <f t="array" aca="1" ref="P5" ca="1">_FV(B5,"Volume")</f>
        <v>2338404</v>
      </c>
      <c r="Q5" s="7">
        <f t="array" aca="1" ref="Q5" ca="1">_FV(B5,"Volume average",TRUE)</f>
        <v>2549949</v>
      </c>
      <c r="R5" s="8">
        <f t="array" aca="1" ref="R5" ca="1">_FV(B5,"Year incorporated",TRUE)</f>
        <v>1977</v>
      </c>
      <c r="S5" s="7">
        <f t="array" aca="1" ref="S5" ca="1">_FV(B5,"Employees")</f>
        <v>136</v>
      </c>
      <c r="T5" t="str">
        <f t="array" aca="1" ref="T5" ca="1">_FV(B5,"Industry")</f>
        <v>Semiconductors &amp; Semiconductor Equipment</v>
      </c>
      <c r="U5" s="7">
        <f t="array" aca="1" ref="U5" ca="1">_FV(B5,"Market cap",TRUE)</f>
        <v>3096572462</v>
      </c>
      <c r="V5" s="7">
        <f t="array" aca="1" ref="V5" ca="1">_FV(B5,"Shares outstanding",TRUE)</f>
        <v>31453250</v>
      </c>
    </row>
    <row r="6" spans="1:31">
      <c r="A6" t="s">
        <v>56</v>
      </c>
      <c r="B6" t="e" vm="5">
        <v>#VALUE!</v>
      </c>
      <c r="C6" s="2">
        <f t="array" aca="1" ref="C6" ca="1">_FV(B6,"Last trade time",TRUE)</f>
        <v>46178.827190300784</v>
      </c>
      <c r="D6" t="str">
        <f t="array" aca="1" ref="D6" ca="1">_FV(B6,"Currency")</f>
        <v>CAD</v>
      </c>
      <c r="E6" s="3">
        <f t="array" aca="1" ref="E6" ca="1">_FV(B6,"Price")</f>
        <v>11.74</v>
      </c>
      <c r="F6" s="4">
        <f t="array" aca="1" ref="F6" ca="1">_FV(B6,"Change (%)",TRUE)</f>
        <v>-1.701E-3</v>
      </c>
      <c r="G6" s="5">
        <f t="array" aca="1" ref="G6" ca="1">_FV(B6,"Change")</f>
        <v>-0.02</v>
      </c>
      <c r="H6" s="6">
        <f t="array" aca="1" ref="H6" ca="1">_FV(B6,"P/E",TRUE)</f>
        <v>11.156499999999999</v>
      </c>
      <c r="I6" s="6">
        <f t="array" aca="1" ref="I6" ca="1">_FV(B6,"Beta")</f>
        <v>0.83899999999999997</v>
      </c>
      <c r="J6" s="3">
        <f t="array" aca="1" ref="J6" ca="1">_FV(B6,"52 week high",TRUE)</f>
        <v>12.24</v>
      </c>
      <c r="K6" s="3">
        <f t="array" aca="1" ref="K6" ca="1">_FV(B6,"52 week low",TRUE)</f>
        <v>10.99</v>
      </c>
      <c r="L6" s="3">
        <f t="array" aca="1" ref="L6" ca="1">_FV(B6,"High")</f>
        <v>11.76</v>
      </c>
      <c r="M6" s="3">
        <f t="array" aca="1" ref="M6" ca="1">_FV(B6,"Low")</f>
        <v>11.68</v>
      </c>
      <c r="N6" s="3">
        <f t="array" aca="1" ref="N6" ca="1">_FV(B6,"Open")</f>
        <v>11.76</v>
      </c>
      <c r="O6" s="3">
        <f t="array" aca="1" ref="O6" ca="1">_FV(B6,"Previous close",TRUE)</f>
        <v>11.76</v>
      </c>
      <c r="P6" s="7">
        <f t="array" aca="1" ref="P6" ca="1">_FV(B6,"Volume")</f>
        <v>6010</v>
      </c>
      <c r="Q6" s="7">
        <f t="array" aca="1" ref="Q6" ca="1">_FV(B6,"Volume average",TRUE)</f>
        <v>122500</v>
      </c>
      <c r="R6" s="8">
        <f t="array" aca="1" ref="R6" ca="1">_FV(B6,"Year incorporated",TRUE)</f>
        <v>2001</v>
      </c>
      <c r="S6" s="7">
        <f t="array" aca="1" ref="S6" ca="1">_FV(B6,"Employees")</f>
        <v>0</v>
      </c>
      <c r="T6" t="str">
        <f t="array" aca="1" ref="T6" ca="1">_FV(B6,"Industry")</f>
        <v>Banking Services</v>
      </c>
      <c r="U6" s="7">
        <f t="array" aca="1" ref="U6" ca="1">_FV(B6,"Market cap",TRUE)</f>
        <v>566333960</v>
      </c>
      <c r="V6" s="7">
        <f t="array" aca="1" ref="V6" ca="1">_FV(B6,"Shares outstanding",TRUE)</f>
        <v>48239690</v>
      </c>
    </row>
    <row r="7" spans="1:31">
      <c r="A7" t="s">
        <v>27</v>
      </c>
      <c r="B7" t="e" vm="6">
        <v>#VALUE!</v>
      </c>
      <c r="C7" s="2">
        <f t="array" aca="1" ref="C7" ca="1">_FV(B7,"Last trade time",TRUE)</f>
        <v>46178.903431978906</v>
      </c>
      <c r="D7" t="str">
        <f t="array" aca="1" ref="D7" ca="1">_FV(B7,"Currency")</f>
        <v>USD</v>
      </c>
      <c r="E7" s="3">
        <f t="array" aca="1" ref="E7" ca="1">_FV(B7,"Price")</f>
        <v>317.06</v>
      </c>
      <c r="F7" s="4">
        <f t="array" aca="1" ref="F7" ca="1">_FV(B7,"Change (%)",TRUE)</f>
        <v>-0.114481</v>
      </c>
      <c r="G7" s="5">
        <f t="array" aca="1" ref="G7" ca="1">_FV(B7,"Change")</f>
        <v>-40.99</v>
      </c>
      <c r="H7" s="6">
        <f t="array" aca="1" ref="H7" ca="1">_FV(B7,"P/E",TRUE)</f>
        <v>241.36949999999999</v>
      </c>
      <c r="I7" s="6">
        <f t="array" aca="1" ref="I7" ca="1">_FV(B7,"Beta")</f>
        <v>2.64</v>
      </c>
      <c r="J7" s="3">
        <f t="array" aca="1" ref="J7" ca="1">_FV(B7,"52 week high",TRUE)</f>
        <v>372.37</v>
      </c>
      <c r="K7" s="3">
        <f t="array" aca="1" ref="K7" ca="1">_FV(B7,"52 week low",TRUE)</f>
        <v>84.78</v>
      </c>
      <c r="L7" s="3">
        <f t="array" aca="1" ref="L7" ca="1">_FV(B7,"High")</f>
        <v>349</v>
      </c>
      <c r="M7" s="3">
        <f t="array" aca="1" ref="M7" ca="1">_FV(B7,"Low")</f>
        <v>314.83999999999997</v>
      </c>
      <c r="N7" s="3">
        <f t="array" aca="1" ref="N7" ca="1">_FV(B7,"Open")</f>
        <v>342.75</v>
      </c>
      <c r="O7" s="3" cm="1">
        <f t="array" aca="1" ref="O7" ca="1">_FV(B7,"Previous close",TRUE)</f>
        <v>358.05</v>
      </c>
      <c r="P7" s="7">
        <f t="array" aca="1" ref="P7" ca="1">_FV(B7,"Volume")</f>
        <v>7300236</v>
      </c>
      <c r="Q7" s="7">
        <f t="array" aca="1" ref="Q7" ca="1">_FV(B7,"Volume average",TRUE)</f>
        <v>6145101</v>
      </c>
      <c r="R7" s="8">
        <f t="array" aca="1" ref="R7" ca="1">_FV(B7,"Year incorporated",TRUE)</f>
        <v>2017</v>
      </c>
      <c r="S7" s="7">
        <f t="array" aca="1" ref="S7" ca="1">_FV(B7,"Employees")</f>
        <v>756</v>
      </c>
      <c r="T7" t="str">
        <f t="array" aca="1" ref="T7" ca="1">_FV(B7,"Industry")</f>
        <v>Semiconductors &amp; Semiconductor Equipment</v>
      </c>
      <c r="U7" s="7">
        <f t="array" aca="1" ref="U7" ca="1">_FV(B7,"Market cap",TRUE)</f>
        <v>54346588774</v>
      </c>
      <c r="V7" s="7">
        <f t="array" aca="1" ref="V7" ca="1">_FV(B7,"Shares outstanding",TRUE)</f>
        <v>171407900</v>
      </c>
    </row>
    <row r="8" spans="1:31">
      <c r="A8" t="s">
        <v>39</v>
      </c>
      <c r="B8" t="e" vm="7">
        <v>#VALUE!</v>
      </c>
      <c r="C8" s="2">
        <f t="array" aca="1" ref="C8" ca="1">_FV(B8,"Last trade time",TRUE)</f>
        <v>46178.902898587497</v>
      </c>
      <c r="D8" t="str">
        <f t="array" aca="1" ref="D8" ca="1">_FV(B8,"Currency")</f>
        <v>USD</v>
      </c>
      <c r="E8" s="3">
        <f t="array" aca="1" ref="E8" ca="1">_FV(B8,"Price")</f>
        <v>63.52</v>
      </c>
      <c r="F8" s="4">
        <f t="array" aca="1" ref="F8" ca="1">_FV(B8,"Change (%)",TRUE)</f>
        <v>-0.11839000000000001</v>
      </c>
      <c r="G8" s="5">
        <f t="array" aca="1" ref="G8" ca="1">_FV(B8,"Change")</f>
        <v>-8.5299999999999994</v>
      </c>
      <c r="H8" s="6">
        <f t="array" aca="1" ref="H8" ca="1">_FV(B8,"P/E",TRUE)</f>
        <v>0</v>
      </c>
      <c r="I8" s="6">
        <f t="array" aca="1" ref="I8" ca="1">_FV(B8,"Beta")</f>
        <v>2.145</v>
      </c>
      <c r="J8" s="3">
        <f t="array" aca="1" ref="J8" ca="1">_FV(B8,"52 week high",TRUE)</f>
        <v>96.69</v>
      </c>
      <c r="K8" s="3">
        <f t="array" aca="1" ref="K8" ca="1">_FV(B8,"52 week low",TRUE)</f>
        <v>48.3</v>
      </c>
      <c r="L8" s="3">
        <f t="array" aca="1" ref="L8" ca="1">_FV(B8,"High")</f>
        <v>70.260000000000005</v>
      </c>
      <c r="M8" s="3">
        <f t="array" aca="1" ref="M8" ca="1">_FV(B8,"Low")</f>
        <v>63.253500000000003</v>
      </c>
      <c r="N8" s="3">
        <f t="array" aca="1" ref="N8" ca="1">_FV(B8,"Open")</f>
        <v>69.89</v>
      </c>
      <c r="O8" s="3">
        <f t="array" aca="1" ref="O8" ca="1">_FV(B8,"Previous close",TRUE)</f>
        <v>72.05</v>
      </c>
      <c r="P8" s="7">
        <f t="array" aca="1" ref="P8" ca="1">_FV(B8,"Volume")</f>
        <v>2111285</v>
      </c>
      <c r="Q8" s="7">
        <f t="array" aca="1" ref="Q8" ca="1">_FV(B8,"Volume average",TRUE)</f>
        <v>1545901</v>
      </c>
      <c r="R8" s="8">
        <f t="array" aca="1" ref="R8" ca="1">_FV(B8,"Year incorporated",TRUE)</f>
        <v>2004</v>
      </c>
      <c r="S8" s="7">
        <f t="array" aca="1" ref="S8" ca="1">_FV(B8,"Employees")</f>
        <v>959</v>
      </c>
      <c r="T8" t="str">
        <f t="array" aca="1" ref="T8" ca="1">_FV(B8,"Industry")</f>
        <v>Semiconductors &amp; Semiconductor Equipment</v>
      </c>
      <c r="U8" s="7">
        <f t="array" aca="1" ref="U8" ca="1">_FV(B8,"Market cap",TRUE)</f>
        <v>2786506793</v>
      </c>
      <c r="V8" s="7">
        <f t="array" aca="1" ref="V8" ca="1">_FV(B8,"Shares outstanding",TRUE)</f>
        <v>43868180</v>
      </c>
    </row>
    <row r="9" spans="1:31">
      <c r="A9" t="s">
        <v>63</v>
      </c>
      <c r="B9" t="e" vm="8">
        <v>#VALUE!</v>
      </c>
      <c r="C9" s="2">
        <f t="array" aca="1" ref="C9" ca="1">_FV(B9,"Last trade time",TRUE)</f>
        <v>46178.903431481252</v>
      </c>
      <c r="D9" t="str">
        <f t="array" aca="1" ref="D9" ca="1">_FV(B9,"Currency")</f>
        <v>USD</v>
      </c>
      <c r="E9" s="3">
        <f t="array" aca="1" ref="E9" ca="1">_FV(B9,"Price")</f>
        <v>466.38</v>
      </c>
      <c r="F9" s="4">
        <f t="array" aca="1" ref="F9" ca="1">_FV(B9,"Change (%)",TRUE)</f>
        <v>-0.10860099999999999</v>
      </c>
      <c r="G9" s="5">
        <f t="array" aca="1" ref="G9" ca="1">_FV(B9,"Change")</f>
        <v>-56.82</v>
      </c>
      <c r="H9" s="6">
        <f t="array" aca="1" ref="H9" ca="1">_FV(B9,"P/E",TRUE)</f>
        <v>174.4058</v>
      </c>
      <c r="I9" s="6">
        <f t="array" aca="1" ref="I9" ca="1">_FV(B9,"Beta")</f>
        <v>2.4918999999999998</v>
      </c>
      <c r="J9" s="3">
        <f t="array" aca="1" ref="J9" ca="1">_FV(B9,"52 week high",TRUE)</f>
        <v>546.44000000000005</v>
      </c>
      <c r="K9" s="3">
        <f t="array" aca="1" ref="K9" ca="1">_FV(B9,"52 week low",TRUE)</f>
        <v>114.71</v>
      </c>
      <c r="L9" s="3">
        <f t="array" aca="1" ref="L9" ca="1">_FV(B9,"High")</f>
        <v>505.62</v>
      </c>
      <c r="M9" s="3">
        <f t="array" aca="1" ref="M9" ca="1">_FV(B9,"Low")</f>
        <v>463.95</v>
      </c>
      <c r="N9" s="3">
        <f t="array" aca="1" ref="N9" ca="1">_FV(B9,"Open")</f>
        <v>499.52499999999998</v>
      </c>
      <c r="O9" s="3">
        <f t="array" aca="1" ref="O9" ca="1">_FV(B9,"Previous close",TRUE)</f>
        <v>523.20000000000005</v>
      </c>
      <c r="P9" s="7">
        <f t="array" aca="1" ref="P9" ca="1">_FV(B9,"Volume")</f>
        <v>46690771</v>
      </c>
      <c r="Q9" s="7">
        <f t="array" aca="1" ref="Q9" ca="1">_FV(B9,"Volume average",TRUE)</f>
        <v>38161677</v>
      </c>
      <c r="R9" s="8">
        <f t="array" aca="1" ref="R9" ca="1">_FV(B9,"Year incorporated",TRUE)</f>
        <v>1969</v>
      </c>
      <c r="S9" s="7">
        <f t="array" aca="1" ref="S9" ca="1">_FV(B9,"Employees")</f>
        <v>31000</v>
      </c>
      <c r="T9" t="str">
        <f t="array" aca="1" ref="T9" ca="1">_FV(B9,"Industry")</f>
        <v>Semiconductors &amp; Semiconductor Equipment</v>
      </c>
      <c r="U9" s="7">
        <f t="array" aca="1" ref="U9" ca="1">_FV(B9,"Market cap",TRUE)</f>
        <v>760479694380</v>
      </c>
      <c r="V9" s="7">
        <f t="array" aca="1" ref="V9" ca="1">_FV(B9,"Shares outstanding",TRUE)</f>
        <v>1630601000</v>
      </c>
    </row>
    <row r="10" spans="1:31">
      <c r="A10" t="s">
        <v>46</v>
      </c>
      <c r="B10" t="e" vm="9">
        <v>#VALUE!</v>
      </c>
      <c r="C10" s="2">
        <f t="array" aca="1" ref="C10" ca="1">_FV(B10,"Last trade time",TRUE)</f>
        <v>46178.903375948437</v>
      </c>
      <c r="D10" t="str">
        <f t="array" aca="1" ref="D10" ca="1">_FV(B10,"Currency")</f>
        <v>USD</v>
      </c>
      <c r="E10" s="3">
        <f t="array" aca="1" ref="E10" ca="1">_FV(B10,"Price")</f>
        <v>246.03</v>
      </c>
      <c r="F10" s="4">
        <f t="array" aca="1" ref="F10" ca="1">_FV(B10,"Change (%)",TRUE)</f>
        <v>-3.0575999999999999E-2</v>
      </c>
      <c r="G10" s="5">
        <f t="array" aca="1" ref="G10" ca="1">_FV(B10,"Change")</f>
        <v>-7.76</v>
      </c>
      <c r="H10" s="6">
        <f t="array" aca="1" ref="H10" ca="1">_FV(B10,"P/E",TRUE)</f>
        <v>30.329699999999999</v>
      </c>
      <c r="I10" s="6">
        <f t="array" aca="1" ref="I10" ca="1">_FV(B10,"Beta")</f>
        <v>1.4490000000000001</v>
      </c>
      <c r="J10" s="3">
        <f t="array" aca="1" ref="J10" ca="1">_FV(B10,"52 week high",TRUE)</f>
        <v>278.56</v>
      </c>
      <c r="K10" s="3">
        <f t="array" aca="1" ref="K10" ca="1">_FV(B10,"52 week low",TRUE)</f>
        <v>196</v>
      </c>
      <c r="L10" s="3">
        <f t="array" aca="1" ref="L10" ca="1">_FV(B10,"High")</f>
        <v>256.38</v>
      </c>
      <c r="M10" s="3">
        <f t="array" aca="1" ref="M10" ca="1">_FV(B10,"Low")</f>
        <v>245.78</v>
      </c>
      <c r="N10" s="3">
        <f t="array" aca="1" ref="N10" ca="1">_FV(B10,"Open")</f>
        <v>254.255</v>
      </c>
      <c r="O10" s="3">
        <f t="array" aca="1" ref="O10" ca="1">_FV(B10,"Previous close",TRUE)</f>
        <v>253.79</v>
      </c>
      <c r="P10" s="7">
        <f t="array" aca="1" ref="P10" ca="1">_FV(B10,"Volume")</f>
        <v>55469366</v>
      </c>
      <c r="Q10" s="7">
        <f t="array" aca="1" ref="Q10" ca="1">_FV(B10,"Volume average",TRUE)</f>
        <v>42947346</v>
      </c>
      <c r="R10" s="8">
        <f t="array" aca="1" ref="R10" ca="1">_FV(B10,"Year incorporated",TRUE)</f>
        <v>1996</v>
      </c>
      <c r="S10" s="7">
        <f t="array" aca="1" ref="S10" ca="1">_FV(B10,"Employees")</f>
        <v>1575000</v>
      </c>
      <c r="T10" t="str">
        <f t="array" aca="1" ref="T10" ca="1">_FV(B10,"Industry")</f>
        <v>Diversified Retail</v>
      </c>
      <c r="U10" s="7">
        <f t="array" aca="1" ref="U10" ca="1">_FV(B10,"Market cap",TRUE)</f>
        <v>2646571773300</v>
      </c>
      <c r="V10" s="7">
        <f t="array" aca="1" ref="V10" ca="1">_FV(B10,"Shares outstanding",TRUE)</f>
        <v>10757110000</v>
      </c>
    </row>
    <row r="11" spans="1:31">
      <c r="A11" t="s">
        <v>57</v>
      </c>
      <c r="B11" t="e" vm="10">
        <v>#VALUE!</v>
      </c>
      <c r="C11" s="2">
        <f t="array" aca="1" ref="C11" ca="1">_FV(B11,"Last trade time",TRUE)</f>
        <v>46178.903462823437</v>
      </c>
      <c r="D11" t="str">
        <f t="array" aca="1" ref="D11" ca="1">_FV(B11,"Currency")</f>
        <v>USD</v>
      </c>
      <c r="E11" s="3">
        <f t="array" aca="1" ref="E11" ca="1">_FV(B11,"Price")</f>
        <v>154.20500000000001</v>
      </c>
      <c r="F11" s="4">
        <f t="array" aca="1" ref="F11" ca="1">_FV(B11,"Change (%)",TRUE)</f>
        <v>-7.1109999999999993E-2</v>
      </c>
      <c r="G11" s="5">
        <f t="array" aca="1" ref="G11" ca="1">_FV(B11,"Change")</f>
        <v>-11.805</v>
      </c>
      <c r="H11" s="6">
        <f t="array" aca="1" ref="H11" ca="1">_FV(B11,"P/E",TRUE)</f>
        <v>56.859900000000003</v>
      </c>
      <c r="I11" s="6">
        <f t="array" aca="1" ref="I11" ca="1">_FV(B11,"Beta")</f>
        <v>1.6099000000000001</v>
      </c>
      <c r="J11" s="3">
        <f t="array" aca="1" ref="J11" ca="1">_FV(B11,"52 week high",TRUE)</f>
        <v>179.8</v>
      </c>
      <c r="K11" s="3">
        <f t="array" aca="1" ref="K11" ca="1">_FV(B11,"52 week low",TRUE)</f>
        <v>85.58</v>
      </c>
      <c r="L11" s="3">
        <f t="array" aca="1" ref="L11" ca="1">_FV(B11,"High")</f>
        <v>161.19319999999999</v>
      </c>
      <c r="M11" s="3">
        <f t="array" aca="1" ref="M11" ca="1">_FV(B11,"Low")</f>
        <v>152.19</v>
      </c>
      <c r="N11" s="3">
        <f t="array" aca="1" ref="N11" ca="1">_FV(B11,"Open")</f>
        <v>159.46</v>
      </c>
      <c r="O11" s="3">
        <f t="array" aca="1" ref="O11" ca="1">_FV(B11,"Previous close",TRUE)</f>
        <v>166.01</v>
      </c>
      <c r="P11" s="7">
        <f t="array" aca="1" ref="P11" ca="1">_FV(B11,"Volume")</f>
        <v>9075002</v>
      </c>
      <c r="Q11" s="7">
        <f t="array" aca="1" ref="Q11" ca="1">_FV(B11,"Volume average",TRUE)</f>
        <v>12440510</v>
      </c>
      <c r="R11" s="8">
        <f t="array" aca="1" ref="R11" ca="1">_FV(B11,"Year incorporated",TRUE)</f>
        <v>2011</v>
      </c>
      <c r="S11" s="7">
        <f t="array" aca="1" ref="S11" ca="1">_FV(B11,"Employees")</f>
        <v>5115</v>
      </c>
      <c r="T11" t="str">
        <f t="array" aca="1" ref="T11" ca="1">_FV(B11,"Industry")</f>
        <v>Communications &amp; Networking</v>
      </c>
      <c r="U11" s="7">
        <f t="array" aca="1" ref="U11" ca="1">_FV(B11,"Market cap",TRUE)</f>
        <v>194175398615</v>
      </c>
      <c r="V11" s="7">
        <f t="array" aca="1" ref="V11" ca="1">_FV(B11,"Shares outstanding",TRUE)</f>
        <v>1259203000</v>
      </c>
    </row>
    <row r="12" spans="1:31">
      <c r="A12" t="s">
        <v>24</v>
      </c>
      <c r="B12" t="e" vm="11">
        <v>#VALUE!</v>
      </c>
      <c r="C12" s="2">
        <f t="array" aca="1" ref="C12" ca="1">_FV(B12,"Last trade time",TRUE)</f>
        <v>46178.90282993047</v>
      </c>
      <c r="D12" t="str">
        <f t="array" aca="1" ref="D12" ca="1">_FV(B12,"Currency")</f>
        <v>USD</v>
      </c>
      <c r="E12" s="3">
        <f t="array" aca="1" ref="E12" ca="1">_FV(B12,"Price")</f>
        <v>557.20000000000005</v>
      </c>
      <c r="F12" s="4">
        <f t="array" aca="1" ref="F12" ca="1">_FV(B12,"Change (%)",TRUE)</f>
        <v>-2.9880000000000002E-3</v>
      </c>
      <c r="G12" s="5">
        <f t="array" aca="1" ref="G12" ca="1">_FV(B12,"Change")</f>
        <v>-1.67</v>
      </c>
      <c r="H12" s="6">
        <f t="array" aca="1" ref="H12" ca="1">_FV(B12,"P/E",TRUE)</f>
        <v>48.565600000000003</v>
      </c>
      <c r="I12" s="6">
        <f t="array" aca="1" ref="I12" ca="1">_FV(B12,"Beta")</f>
        <v>2.4645999999999999</v>
      </c>
      <c r="J12" s="3">
        <f t="array" aca="1" ref="J12" ca="1">_FV(B12,"52 week high",TRUE)</f>
        <v>745.61</v>
      </c>
      <c r="K12" s="3">
        <f t="array" aca="1" ref="K12" ca="1">_FV(B12,"52 week low",TRUE)</f>
        <v>320</v>
      </c>
      <c r="L12" s="3">
        <f t="array" aca="1" ref="L12" ca="1">_FV(B12,"High")</f>
        <v>595</v>
      </c>
      <c r="M12" s="3">
        <f t="array" aca="1" ref="M12" ca="1">_FV(B12,"Low")</f>
        <v>548.78</v>
      </c>
      <c r="N12" s="3">
        <f t="array" aca="1" ref="N12" ca="1">_FV(B12,"Open")</f>
        <v>577.91499999999996</v>
      </c>
      <c r="O12" s="3">
        <f t="array" aca="1" ref="O12" ca="1">_FV(B12,"Previous close",TRUE)</f>
        <v>558.87</v>
      </c>
      <c r="P12" s="7">
        <f t="array" aca="1" ref="P12" ca="1">_FV(B12,"Volume")</f>
        <v>5542167</v>
      </c>
      <c r="Q12" s="7">
        <f t="array" aca="1" ref="Q12" ca="1">_FV(B12,"Volume average",TRUE)</f>
        <v>5064206</v>
      </c>
      <c r="R12" s="8">
        <f t="array" aca="1" ref="R12" ca="1">_FV(B12,"Year incorporated",TRUE)</f>
        <v>2011</v>
      </c>
      <c r="S12" s="7">
        <f t="array" aca="1" ref="S12" ca="1">_FV(B12,"Employees")</f>
        <v>898</v>
      </c>
      <c r="T12" t="str">
        <f t="array" aca="1" ref="T12" ca="1">_FV(B12,"Industry")</f>
        <v>Software &amp; IT Services</v>
      </c>
      <c r="U12" s="7">
        <f t="array" aca="1" ref="U12" ca="1">_FV(B12,"Market cap",TRUE)</f>
        <v>187185768000</v>
      </c>
      <c r="V12" s="7">
        <f t="array" aca="1" ref="V12" ca="1">_FV(B12,"Shares outstanding",TRUE)</f>
        <v>335940000</v>
      </c>
    </row>
    <row r="13" spans="1:31">
      <c r="A13" t="s">
        <v>156</v>
      </c>
      <c r="B13" t="e" vm="12">
        <v>#VALUE!</v>
      </c>
      <c r="C13" s="2" cm="1">
        <f t="array" aca="1" ref="C13" ca="1">_FV(B13,"Last trade time",TRUE)</f>
        <v>46178.902926515628</v>
      </c>
      <c r="D13" t="str" cm="1">
        <f t="array" aca="1" ref="D13" ca="1">_FV(B13,"Currency")</f>
        <v>USD</v>
      </c>
      <c r="E13" s="3" cm="1">
        <f t="array" aca="1" ref="E13" ca="1">_FV(B13,"Price")</f>
        <v>74.55</v>
      </c>
      <c r="F13" s="4" cm="1">
        <f t="array" aca="1" ref="F13" ca="1">_FV(B13,"Change (%)",TRUE)</f>
        <v>-6.8940000000000001E-2</v>
      </c>
      <c r="G13" s="5" cm="1">
        <f t="array" aca="1" ref="G13" ca="1">_FV(B13,"Change")</f>
        <v>-5.52</v>
      </c>
      <c r="H13" s="6" t="e" vm="13">
        <f t="array" ref="H13">_FV(B13,"P/E",TRUE)</f>
        <v>#VALUE!</v>
      </c>
      <c r="I13" s="6" cm="1">
        <f t="array" aca="1" ref="I13" ca="1">_FV(B13,"Beta")</f>
        <v>2.0400999999999998</v>
      </c>
      <c r="J13" s="3" cm="1">
        <f t="array" aca="1" ref="J13" ca="1">_FV(B13,"52 week high",TRUE)</f>
        <v>92.65</v>
      </c>
      <c r="K13" s="3" cm="1">
        <f t="array" aca="1" ref="K13" ca="1">_FV(B13,"52 week low",TRUE)</f>
        <v>55.64</v>
      </c>
      <c r="L13" s="3" cm="1">
        <f t="array" aca="1" ref="L13" ca="1">_FV(B13,"High")</f>
        <v>78.75</v>
      </c>
      <c r="M13" s="3" cm="1">
        <f t="array" aca="1" ref="M13" ca="1">_FV(B13,"Low")</f>
        <v>73.61</v>
      </c>
      <c r="N13" s="3" cm="1">
        <f t="array" aca="1" ref="N13" ca="1">_FV(B13,"Open")</f>
        <v>78.59</v>
      </c>
      <c r="O13" s="3" cm="1">
        <f t="array" aca="1" ref="O13" ca="1">_FV(B13,"Previous close",TRUE)</f>
        <v>80.069999999999993</v>
      </c>
      <c r="P13" s="7" cm="1">
        <f t="array" aca="1" ref="P13" ca="1">_FV(B13,"Volume")</f>
        <v>13976817</v>
      </c>
      <c r="Q13" s="7" cm="1">
        <f t="array" aca="1" ref="Q13" ca="1">_FV(B13,"Volume average",TRUE)</f>
        <v>7182449</v>
      </c>
      <c r="R13" s="8" t="e" cm="1" vm="14">
        <f t="array" ref="R13">_FV(B13,"Year incorporated",TRUE)</f>
        <v>#VALUE!</v>
      </c>
      <c r="S13" s="7" t="e" cm="1" vm="15">
        <f t="array" ref="S13">_FV(B13,"Employees")</f>
        <v>#VALUE!</v>
      </c>
      <c r="T13" t="e" cm="1" vm="16">
        <f t="array" ref="T13">_FV(B13,"Industry")</f>
        <v>#VALUE!</v>
      </c>
      <c r="U13" s="7" cm="1">
        <f t="array" aca="1" ref="U13" ca="1">_FV(B13,"Market cap",TRUE)</f>
        <v>7262198811.6000004</v>
      </c>
      <c r="V13" s="7" t="e" cm="1" vm="17">
        <f t="array" ref="V13">_FV(B13,"Shares outstanding",TRUE)</f>
        <v>#VALUE!</v>
      </c>
    </row>
    <row r="14" spans="1:31">
      <c r="A14" t="s">
        <v>78</v>
      </c>
      <c r="B14" t="e" vm="18">
        <v>#VALUE!</v>
      </c>
      <c r="C14" s="2">
        <f t="array" aca="1" ref="C14" ca="1">_FV(B14,"Last trade time",TRUE)</f>
        <v>46178.903495253908</v>
      </c>
      <c r="D14" t="str">
        <f t="array" aca="1" ref="D14" ca="1">_FV(B14,"Currency")</f>
        <v>USD</v>
      </c>
      <c r="E14" s="3">
        <f t="array" aca="1" ref="E14" ca="1">_FV(B14,"Price")</f>
        <v>342.93</v>
      </c>
      <c r="F14" s="4">
        <f t="array" aca="1" ref="F14" ca="1">_FV(B14,"Change (%)",TRUE)</f>
        <v>-0.12837999999999999</v>
      </c>
      <c r="G14" s="5">
        <f t="array" aca="1" ref="G14" ca="1">_FV(B14,"Change")</f>
        <v>-50.51</v>
      </c>
      <c r="H14" s="6">
        <f t="array" aca="1" ref="H14" ca="1">_FV(B14,"P/E",TRUE)</f>
        <v>405.16300000000001</v>
      </c>
      <c r="I14" s="6">
        <f t="array" aca="1" ref="I14" ca="1">_FV(B14,"Beta")</f>
        <v>1.421</v>
      </c>
      <c r="J14" s="3">
        <f t="array" aca="1" ref="J14" ca="1">_FV(B14,"52 week high",TRUE)</f>
        <v>427.99</v>
      </c>
      <c r="K14" s="3">
        <f t="array" aca="1" ref="K14" ca="1">_FV(B14,"52 week low",TRUE)</f>
        <v>100.02</v>
      </c>
      <c r="L14" s="3">
        <f t="array" aca="1" ref="L14" ca="1">_FV(B14,"High")</f>
        <v>373.74</v>
      </c>
      <c r="M14" s="3">
        <f t="array" aca="1" ref="M14" ca="1">_FV(B14,"Low")</f>
        <v>337.55130000000003</v>
      </c>
      <c r="N14" s="3">
        <f t="array" aca="1" ref="N14" ca="1">_FV(B14,"Open")</f>
        <v>369.75</v>
      </c>
      <c r="O14" s="3">
        <f t="array" aca="1" ref="O14" ca="1">_FV(B14,"Previous close",TRUE)</f>
        <v>393.44</v>
      </c>
      <c r="P14" s="7">
        <f t="array" aca="1" ref="P14" ca="1">_FV(B14,"Volume")</f>
        <v>14787010</v>
      </c>
      <c r="Q14" s="7">
        <f t="array" aca="1" ref="Q14" ca="1">_FV(B14,"Volume average",TRUE)</f>
        <v>12457415</v>
      </c>
      <c r="R14" s="8">
        <f t="array" aca="1" ref="R14" ca="1">_FV(B14,"Year incorporated",TRUE)</f>
        <v>2018</v>
      </c>
      <c r="S14" s="7">
        <f t="array" aca="1" ref="S14" ca="1">_FV(B14,"Employees")</f>
        <v>9584</v>
      </c>
      <c r="T14" t="str">
        <f t="array" aca="1" ref="T14" ca="1">_FV(B14,"Industry")</f>
        <v>Semiconductors &amp; Semiconductor Equipment</v>
      </c>
      <c r="U14" s="7">
        <f t="array" aca="1" ref="U14" ca="1">_FV(B14,"Market cap",TRUE)</f>
        <v>366276331470</v>
      </c>
      <c r="V14" s="7">
        <f t="array" aca="1" ref="V14" ca="1">_FV(B14,"Shares outstanding",TRUE)</f>
        <v>1068079000</v>
      </c>
    </row>
    <row r="15" spans="1:31">
      <c r="A15" t="s">
        <v>66</v>
      </c>
      <c r="B15" t="e" vm="19">
        <v>#VALUE!</v>
      </c>
      <c r="C15" s="2">
        <f t="array" aca="1" ref="C15" ca="1">_FV(B15,"Last trade time",TRUE)</f>
        <v>46178.903399675779</v>
      </c>
      <c r="D15" t="str">
        <f t="array" aca="1" ref="D15" ca="1">_FV(B15,"Currency")</f>
        <v>USD</v>
      </c>
      <c r="E15" s="3">
        <f t="array" aca="1" ref="E15" ca="1">_FV(B15,"Price")</f>
        <v>1641.74</v>
      </c>
      <c r="F15" s="4">
        <f t="array" aca="1" ref="F15" ca="1">_FV(B15,"Change (%)",TRUE)</f>
        <v>-6.5850000000000006E-2</v>
      </c>
      <c r="G15" s="5">
        <f t="array" aca="1" ref="G15" ca="1">_FV(B15,"Change")</f>
        <v>-115.73</v>
      </c>
      <c r="H15" s="6">
        <f t="array" aca="1" ref="H15" ca="1">_FV(B15,"P/E",TRUE)</f>
        <v>60.421500000000002</v>
      </c>
      <c r="I15" s="6">
        <f t="array" aca="1" ref="I15" ca="1">_FV(B15,"Beta")</f>
        <v>1.8173999999999999</v>
      </c>
      <c r="J15" s="3">
        <f t="array" aca="1" ref="J15" ca="1">_FV(B15,"52 week high",TRUE)</f>
        <v>1779.2850000000001</v>
      </c>
      <c r="K15" s="3">
        <f t="array" aca="1" ref="K15" ca="1">_FV(B15,"52 week low",TRUE)</f>
        <v>683.48</v>
      </c>
      <c r="L15" s="3">
        <f t="array" aca="1" ref="L15" ca="1">_FV(B15,"High")</f>
        <v>1705.4791</v>
      </c>
      <c r="M15" s="3">
        <f t="array" aca="1" ref="M15" ca="1">_FV(B15,"Low")</f>
        <v>1638.38</v>
      </c>
      <c r="N15" s="3">
        <f t="array" aca="1" ref="N15" ca="1">_FV(B15,"Open")</f>
        <v>1685.36</v>
      </c>
      <c r="O15" s="3">
        <f t="array" aca="1" ref="O15" ca="1">_FV(B15,"Previous close",TRUE)</f>
        <v>1757.47</v>
      </c>
      <c r="P15" s="7">
        <f t="array" aca="1" ref="P15" ca="1">_FV(B15,"Volume")</f>
        <v>2730988</v>
      </c>
      <c r="Q15" s="7">
        <f t="array" aca="1" ref="Q15" ca="1">_FV(B15,"Volume average",TRUE)</f>
        <v>1611416</v>
      </c>
      <c r="R15" s="8">
        <f t="array" aca="1" ref="R15" ca="1">_FV(B15,"Year incorporated",TRUE)</f>
        <v>1994</v>
      </c>
      <c r="S15" s="7">
        <f t="array" aca="1" ref="S15" ca="1">_FV(B15,"Employees")</f>
        <v>43882</v>
      </c>
      <c r="T15" t="str">
        <f t="array" aca="1" ref="T15" ca="1">_FV(B15,"Industry")</f>
        <v>Semiconductors &amp; Semiconductor Equipment</v>
      </c>
      <c r="U15" s="7">
        <f t="array" aca="1" ref="U15" ca="1">_FV(B15,"Market cap",TRUE)</f>
        <v>637237604998</v>
      </c>
      <c r="V15" s="7">
        <f t="array" aca="1" ref="V15" ca="1">_FV(B15,"Shares outstanding",TRUE)</f>
        <v>388147700</v>
      </c>
    </row>
    <row r="16" spans="1:31">
      <c r="A16" t="s">
        <v>54</v>
      </c>
      <c r="B16" t="e" vm="20">
        <v>#VALUE!</v>
      </c>
      <c r="C16" s="2">
        <f t="array" aca="1" ref="C16" ca="1">_FV(B16,"Last trade time",TRUE)</f>
        <v>46178.90349016172</v>
      </c>
      <c r="D16" t="str">
        <f t="array" aca="1" ref="D16" ca="1">_FV(B16,"Currency")</f>
        <v>USD</v>
      </c>
      <c r="E16" s="3">
        <f t="array" aca="1" ref="E16" ca="1">_FV(B16,"Price")</f>
        <v>385.73</v>
      </c>
      <c r="F16" s="4">
        <f t="array" aca="1" ref="F16" ca="1">_FV(B16,"Change (%)",TRUE)</f>
        <v>-7.9205999999999999E-2</v>
      </c>
      <c r="G16" s="5">
        <f t="array" aca="1" ref="G16" ca="1">_FV(B16,"Change")</f>
        <v>-33.18</v>
      </c>
      <c r="H16" s="6">
        <f t="array" aca="1" ref="H16" ca="1">_FV(B16,"P/E",TRUE)</f>
        <v>69.777900000000002</v>
      </c>
      <c r="I16" s="6">
        <f t="array" aca="1" ref="I16" ca="1">_FV(B16,"Beta")</f>
        <v>1.4407000000000001</v>
      </c>
      <c r="J16" s="3">
        <f t="array" aca="1" ref="J16" ca="1">_FV(B16,"52 week high",TRUE)</f>
        <v>495</v>
      </c>
      <c r="K16" s="3">
        <f t="array" aca="1" ref="K16" ca="1">_FV(B16,"52 week low",TRUE)</f>
        <v>241.11</v>
      </c>
      <c r="L16" s="3">
        <f t="array" aca="1" ref="L16" ca="1">_FV(B16,"High")</f>
        <v>410.5</v>
      </c>
      <c r="M16" s="3">
        <f t="array" aca="1" ref="M16" ca="1">_FV(B16,"Low")</f>
        <v>385.59</v>
      </c>
      <c r="N16" s="3">
        <f t="array" aca="1" ref="N16" ca="1">_FV(B16,"Open")</f>
        <v>407.60500000000002</v>
      </c>
      <c r="O16" s="3">
        <f t="array" aca="1" ref="O16" ca="1">_FV(B16,"Previous close",TRUE)</f>
        <v>418.91</v>
      </c>
      <c r="P16" s="7">
        <f t="array" aca="1" ref="P16" ca="1">_FV(B16,"Volume")</f>
        <v>50908163</v>
      </c>
      <c r="Q16" s="7">
        <f t="array" aca="1" ref="Q16" ca="1">_FV(B16,"Volume average",TRUE)</f>
        <v>24527113</v>
      </c>
      <c r="R16" s="8">
        <f t="array" aca="1" ref="R16" ca="1">_FV(B16,"Year incorporated",TRUE)</f>
        <v>2018</v>
      </c>
      <c r="S16" s="7">
        <f t="array" aca="1" ref="S16" ca="1">_FV(B16,"Employees")</f>
        <v>33000</v>
      </c>
      <c r="T16" t="str">
        <f t="array" aca="1" ref="T16" ca="1">_FV(B16,"Industry")</f>
        <v>Semiconductors &amp; Semiconductor Equipment</v>
      </c>
      <c r="U16" s="7">
        <f t="array" aca="1" ref="U16" ca="1">_FV(B16,"Market cap",TRUE)</f>
        <v>1826303487640</v>
      </c>
      <c r="V16" s="7">
        <f t="array" aca="1" ref="V16" ca="1">_FV(B16,"Shares outstanding",TRUE)</f>
        <v>4734668000</v>
      </c>
    </row>
    <row r="17" spans="1:22">
      <c r="A17" t="s">
        <v>68</v>
      </c>
      <c r="B17" t="e" vm="21">
        <v>#VALUE!</v>
      </c>
      <c r="C17" s="2">
        <f t="array" aca="1" ref="C17" ca="1">_FV(B17,"Last trade time",TRUE)</f>
        <v>46178.903381064061</v>
      </c>
      <c r="D17" t="str">
        <f t="array" aca="1" ref="D17" ca="1">_FV(B17,"Currency")</f>
        <v>USD</v>
      </c>
      <c r="E17" s="3">
        <f t="array" aca="1" ref="E17" ca="1">_FV(B17,"Price")</f>
        <v>4.2</v>
      </c>
      <c r="F17" s="4">
        <f t="array" aca="1" ref="F17" ca="1">_FV(B17,"Change (%)",TRUE)</f>
        <v>-0.11949700000000001</v>
      </c>
      <c r="G17" s="5">
        <f t="array" aca="1" ref="G17" ca="1">_FV(B17,"Change")</f>
        <v>-0.56999999999999995</v>
      </c>
      <c r="H17" s="6">
        <f t="array" aca="1" ref="H17" ca="1">_FV(B17,"P/E",TRUE)</f>
        <v>0</v>
      </c>
      <c r="I17" s="6">
        <f t="array" aca="1" ref="I17" ca="1">_FV(B17,"Beta")</f>
        <v>3.089</v>
      </c>
      <c r="J17" s="3">
        <f t="array" aca="1" ref="J17" ca="1">_FV(B17,"52 week high",TRUE)</f>
        <v>9.39</v>
      </c>
      <c r="K17" s="3">
        <f t="array" aca="1" ref="K17" ca="1">_FV(B17,"52 week low",TRUE)</f>
        <v>3.01</v>
      </c>
      <c r="L17" s="3">
        <f t="array" aca="1" ref="L17" ca="1">_FV(B17,"High")</f>
        <v>4.67</v>
      </c>
      <c r="M17" s="3">
        <f t="array" aca="1" ref="M17" ca="1">_FV(B17,"Low")</f>
        <v>4.1100000000000003</v>
      </c>
      <c r="N17" s="3">
        <f t="array" aca="1" ref="N17" ca="1">_FV(B17,"Open")</f>
        <v>4.62</v>
      </c>
      <c r="O17" s="3">
        <f t="array" aca="1" ref="O17" ca="1">_FV(B17,"Previous close",TRUE)</f>
        <v>4.7699999999999996</v>
      </c>
      <c r="P17" s="7">
        <f t="array" aca="1" ref="P17" ca="1">_FV(B17,"Volume")</f>
        <v>37855966</v>
      </c>
      <c r="Q17" s="7">
        <f t="array" aca="1" ref="Q17" ca="1">_FV(B17,"Volume average",TRUE)</f>
        <v>49035400</v>
      </c>
      <c r="R17" s="8">
        <f t="array" aca="1" ref="R17" ca="1">_FV(B17,"Year incorporated",TRUE)</f>
        <v>2020</v>
      </c>
      <c r="S17" s="7">
        <f t="array" aca="1" ref="S17" ca="1">_FV(B17,"Employees")</f>
        <v>579</v>
      </c>
      <c r="T17" t="str">
        <f t="array" aca="1" ref="T17" ca="1">_FV(B17,"Industry")</f>
        <v>Software &amp; IT Services</v>
      </c>
      <c r="U17" s="7">
        <f t="array" aca="1" ref="U17" ca="1">_FV(B17,"Market cap",TRUE)</f>
        <v>2011587900</v>
      </c>
      <c r="V17" s="7">
        <f t="array" aca="1" ref="V17" ca="1">_FV(B17,"Shares outstanding",TRUE)</f>
        <v>478949500</v>
      </c>
    </row>
    <row r="18" spans="1:22">
      <c r="A18" t="s">
        <v>613</v>
      </c>
      <c r="B18" t="e" vm="22">
        <v>#VALUE!</v>
      </c>
      <c r="C18" s="2" cm="1">
        <f t="array" aca="1" ref="C18" ca="1">_FV(B18,"Last trade time",TRUE)</f>
        <v>46178.836805555555</v>
      </c>
      <c r="D18" t="str" cm="1">
        <f t="array" aca="1" ref="D18" ca="1">_FV(B18,"Currency")</f>
        <v>EUR</v>
      </c>
      <c r="E18" s="3" cm="1">
        <f t="array" aca="1" ref="E18" ca="1">_FV(B18,"Price")</f>
        <v>70.5</v>
      </c>
      <c r="F18" s="4" cm="1">
        <f t="array" aca="1" ref="F18" ca="1">_FV(B18,"Change (%)",TRUE)</f>
        <v>-1.1329999999999999E-3</v>
      </c>
      <c r="G18" s="5" cm="1">
        <f t="array" aca="1" ref="G18" ca="1">_FV(B18,"Change")</f>
        <v>-0.08</v>
      </c>
      <c r="H18" s="6" cm="1">
        <f t="array" aca="1" ref="H18" ca="1">_FV(B18,"P/E",TRUE)</f>
        <v>6.3513999999999999</v>
      </c>
      <c r="I18" s="6" cm="1">
        <f t="array" aca="1" ref="I18" ca="1">_FV(B18,"Beta")</f>
        <v>0.96250000000000002</v>
      </c>
      <c r="J18" s="3" cm="1">
        <f t="array" aca="1" ref="J18" ca="1">_FV(B18,"52 week high",TRUE)</f>
        <v>115.25</v>
      </c>
      <c r="K18" s="3" cm="1">
        <f t="array" aca="1" ref="K18" ca="1">_FV(B18,"52 week low",TRUE)</f>
        <v>36.884999999999998</v>
      </c>
      <c r="L18" s="3" cm="1">
        <f t="array" aca="1" ref="L18" ca="1">_FV(B18,"High")</f>
        <v>71.02</v>
      </c>
      <c r="M18" s="3" cm="1">
        <f t="array" aca="1" ref="M18" ca="1">_FV(B18,"Low")</f>
        <v>70.040000000000006</v>
      </c>
      <c r="N18" s="3" cm="1">
        <f t="array" aca="1" ref="N18" ca="1">_FV(B18,"Open")</f>
        <v>70.040000000000006</v>
      </c>
      <c r="O18" s="3" cm="1">
        <f t="array" aca="1" ref="O18" ca="1">_FV(B18,"Previous close",TRUE)</f>
        <v>70.58</v>
      </c>
      <c r="P18" s="7" cm="1">
        <f t="array" aca="1" ref="P18" ca="1">_FV(B18,"Volume")</f>
        <v>1155</v>
      </c>
      <c r="Q18" s="7" cm="1">
        <f t="array" aca="1" ref="Q18" ca="1">_FV(B18,"Volume average",TRUE)</f>
        <v>1234380</v>
      </c>
      <c r="R18" s="8" cm="1">
        <f t="array" aca="1" ref="R18" ca="1">_FV(B18,"Year incorporated",TRUE)</f>
        <v>1995</v>
      </c>
      <c r="S18" s="7" cm="1">
        <f t="array" aca="1" ref="S18" ca="1">_FV(B18,"Employees")</f>
        <v>154540</v>
      </c>
      <c r="T18" t="str" cm="1">
        <f t="array" aca="1" ref="T18" ca="1">_FV(B18,"Industry")</f>
        <v>Automobiles &amp; Auto Parts</v>
      </c>
      <c r="U18" s="7" cm="1">
        <f t="array" aca="1" ref="U18" ca="1">_FV(B18,"Market cap",TRUE)</f>
        <v>54471310000</v>
      </c>
      <c r="V18" s="7" cm="1">
        <f t="array" aca="1" ref="V18" ca="1">_FV(B18,"Shares outstanding",TRUE)</f>
        <v>615810400</v>
      </c>
    </row>
    <row r="19" spans="1:22">
      <c r="A19" t="s">
        <v>304</v>
      </c>
      <c r="B19" t="e" vm="23">
        <v>#VALUE!</v>
      </c>
      <c r="C19" s="2" cm="1">
        <f t="array" aca="1" ref="C19" ca="1">_FV(B19,"Last trade time",TRUE)</f>
        <v>46178.90310594844</v>
      </c>
      <c r="D19" t="str" cm="1">
        <f t="array" aca="1" ref="D19" ca="1">_FV(B19,"Currency")</f>
        <v>USD</v>
      </c>
      <c r="E19" s="3" cm="1">
        <f t="array" aca="1" ref="E19" ca="1">_FV(B19,"Price")</f>
        <v>376.19</v>
      </c>
      <c r="F19" s="4" cm="1">
        <f t="array" aca="1" ref="F19" ca="1">_FV(B19,"Change (%)",TRUE)</f>
        <v>-8.6207999999999993E-2</v>
      </c>
      <c r="G19" s="5" cm="1">
        <f t="array" aca="1" ref="G19" ca="1">_FV(B19,"Change")</f>
        <v>-35.49</v>
      </c>
      <c r="H19" s="6" cm="1">
        <f t="array" aca="1" ref="H19" ca="1">_FV(B19,"P/E",TRUE)</f>
        <v>96.107600000000005</v>
      </c>
      <c r="I19" s="6" cm="1">
        <f t="array" aca="1" ref="I19" ca="1">_FV(B19,"Beta")</f>
        <v>1.1415999999999999</v>
      </c>
      <c r="J19" s="3" cm="1">
        <f t="array" aca="1" ref="J19" ca="1">_FV(B19,"52 week high",TRUE)</f>
        <v>416.69</v>
      </c>
      <c r="K19" s="3" cm="1">
        <f t="array" aca="1" ref="K19" ca="1">_FV(B19,"52 week low",TRUE)</f>
        <v>262.74900000000002</v>
      </c>
      <c r="L19" s="3" cm="1">
        <f t="array" aca="1" ref="L19" ca="1">_FV(B19,"High")</f>
        <v>407</v>
      </c>
      <c r="M19" s="3" cm="1">
        <f t="array" aca="1" ref="M19" ca="1">_FV(B19,"Low")</f>
        <v>373.54</v>
      </c>
      <c r="N19" s="3" cm="1">
        <f t="array" aca="1" ref="N19" ca="1">_FV(B19,"Open")</f>
        <v>402.00200000000001</v>
      </c>
      <c r="O19" s="3" cm="1">
        <f t="array" aca="1" ref="O19" ca="1">_FV(B19,"Previous close",TRUE)</f>
        <v>411.68</v>
      </c>
      <c r="P19" s="7" cm="1">
        <f t="array" aca="1" ref="P19" ca="1">_FV(B19,"Volume")</f>
        <v>3518659</v>
      </c>
      <c r="Q19" s="7" cm="1">
        <f t="array" aca="1" ref="Q19" ca="1">_FV(B19,"Volume average",TRUE)</f>
        <v>2336395</v>
      </c>
      <c r="R19" s="8" cm="1">
        <f t="array" aca="1" ref="R19" ca="1">_FV(B19,"Year incorporated",TRUE)</f>
        <v>1987</v>
      </c>
      <c r="S19" s="7" cm="1">
        <f t="array" aca="1" ref="S19" ca="1">_FV(B19,"Employees")</f>
        <v>13800</v>
      </c>
      <c r="T19" t="str" cm="1">
        <f t="array" aca="1" ref="T19" ca="1">_FV(B19,"Industry")</f>
        <v>Software &amp; IT Services</v>
      </c>
      <c r="U19" s="7" cm="1">
        <f t="array" aca="1" ref="U19" ca="1">_FV(B19,"Market cap",TRUE)</f>
        <v>103759221040</v>
      </c>
      <c r="V19" s="7" cm="1">
        <f t="array" aca="1" ref="V19" ca="1">_FV(B19,"Shares outstanding",TRUE)</f>
        <v>275816000</v>
      </c>
    </row>
    <row r="20" spans="1:22">
      <c r="A20" t="s">
        <v>150</v>
      </c>
      <c r="B20" t="e" vm="24">
        <v>#VALUE!</v>
      </c>
      <c r="C20" s="2" cm="1">
        <f t="array" aca="1" ref="C20" ca="1">_FV(B20,"Last trade time",TRUE)</f>
        <v>46178.90344726797</v>
      </c>
      <c r="D20" t="str" cm="1">
        <f t="array" aca="1" ref="D20" ca="1">_FV(B20,"Currency")</f>
        <v>USD</v>
      </c>
      <c r="E20" s="3" cm="1">
        <f t="array" aca="1" ref="E20" ca="1">_FV(B20,"Price")</f>
        <v>254.83</v>
      </c>
      <c r="F20" s="4" cm="1">
        <f t="array" aca="1" ref="F20" ca="1">_FV(B20,"Change (%)",TRUE)</f>
        <v>-3.6886999999999996E-2</v>
      </c>
      <c r="G20" s="5" cm="1">
        <f t="array" aca="1" ref="G20" ca="1">_FV(B20,"Change")</f>
        <v>-9.76</v>
      </c>
      <c r="H20" s="6" cm="1">
        <f t="array" aca="1" ref="H20" ca="1">_FV(B20,"P/E",TRUE)</f>
        <v>22.986699999999999</v>
      </c>
      <c r="I20" s="6" cm="1">
        <f t="array" aca="1" ref="I20" ca="1">_FV(B20,"Beta")</f>
        <v>1.1014999999999999</v>
      </c>
      <c r="J20" s="3" cm="1">
        <f t="array" aca="1" ref="J20" ca="1">_FV(B20,"52 week high",TRUE)</f>
        <v>412.7</v>
      </c>
      <c r="K20" s="3" cm="1">
        <f t="array" aca="1" ref="K20" ca="1">_FV(B20,"52 week low",TRUE)</f>
        <v>243.3</v>
      </c>
      <c r="L20" s="3" cm="1">
        <f t="array" aca="1" ref="L20" ca="1">_FV(B20,"High")</f>
        <v>261.86500000000001</v>
      </c>
      <c r="M20" s="3" cm="1">
        <f t="array" aca="1" ref="M20" ca="1">_FV(B20,"Low")</f>
        <v>253.68</v>
      </c>
      <c r="N20" s="3" cm="1">
        <f t="array" aca="1" ref="N20" ca="1">_FV(B20,"Open")</f>
        <v>261</v>
      </c>
      <c r="O20" s="3" cm="1">
        <f t="array" aca="1" ref="O20" ca="1">_FV(B20,"Previous close",TRUE)</f>
        <v>264.58999999999997</v>
      </c>
      <c r="P20" s="7" cm="1">
        <f t="array" aca="1" ref="P20" ca="1">_FV(B20,"Volume")</f>
        <v>4118632</v>
      </c>
      <c r="Q20" s="7" cm="1">
        <f t="array" aca="1" ref="Q20" ca="1">_FV(B20,"Volume average",TRUE)</f>
        <v>3928221</v>
      </c>
      <c r="R20" s="8" cm="1">
        <f t="array" aca="1" ref="R20" ca="1">_FV(B20,"Year incorporated",TRUE)</f>
        <v>2021</v>
      </c>
      <c r="S20" s="7" cm="1">
        <f t="array" aca="1" ref="S20" ca="1">_FV(B20,"Employees")</f>
        <v>15291</v>
      </c>
      <c r="T20" t="str" cm="1">
        <f t="array" aca="1" ref="T20" ca="1">_FV(B20,"Industry")</f>
        <v>Electrical Utilities &amp; IPPs</v>
      </c>
      <c r="U20" s="7" cm="1">
        <f t="array" aca="1" ref="U20" ca="1">_FV(B20,"Market cap",TRUE)</f>
        <v>91509962660</v>
      </c>
      <c r="V20" s="7" cm="1">
        <f t="array" aca="1" ref="V20" ca="1">_FV(B20,"Shares outstanding",TRUE)</f>
        <v>359102000</v>
      </c>
    </row>
    <row r="21" spans="1:22">
      <c r="A21" t="s">
        <v>69</v>
      </c>
      <c r="B21" t="e" vm="25">
        <v>#VALUE!</v>
      </c>
      <c r="C21" s="2">
        <f t="array" aca="1" ref="C21" ca="1">_FV(B21,"Last trade time",TRUE)</f>
        <v>46178.90315803203</v>
      </c>
      <c r="D21" t="str">
        <f t="array" aca="1" ref="D21" ca="1">_FV(B21,"Currency")</f>
        <v>USD</v>
      </c>
      <c r="E21" s="3">
        <f t="array" aca="1" ref="E21" ca="1">_FV(B21,"Price")</f>
        <v>206.89</v>
      </c>
      <c r="F21" s="4">
        <f t="array" aca="1" ref="F21" ca="1">_FV(B21,"Change (%)",TRUE)</f>
        <v>-4.8781999999999999E-2</v>
      </c>
      <c r="G21" s="5">
        <f t="array" aca="1" ref="G21" ca="1">_FV(B21,"Change")</f>
        <v>-10.61</v>
      </c>
      <c r="H21" s="6">
        <f t="array" aca="1" ref="H21" ca="1">_FV(B21,"P/E",TRUE)</f>
        <v>87.708299999999994</v>
      </c>
      <c r="I21" s="6">
        <f t="array" aca="1" ref="I21" ca="1">_FV(B21,"Beta")</f>
        <v>3.2399</v>
      </c>
      <c r="J21" s="3">
        <f t="array" aca="1" ref="J21" ca="1">_FV(B21,"52 week high",TRUE)</f>
        <v>245.94990000000001</v>
      </c>
      <c r="K21" s="3">
        <f t="array" aca="1" ref="K21" ca="1">_FV(B21,"52 week low",TRUE)</f>
        <v>66.75</v>
      </c>
      <c r="L21" s="3">
        <f t="array" aca="1" ref="L21" ca="1">_FV(B21,"High")</f>
        <v>234.22</v>
      </c>
      <c r="M21" s="3">
        <f t="array" aca="1" ref="M21" ca="1">_FV(B21,"Low")</f>
        <v>202.68</v>
      </c>
      <c r="N21" s="3">
        <f t="array" aca="1" ref="N21" ca="1">_FV(B21,"Open")</f>
        <v>208.12</v>
      </c>
      <c r="O21" s="3">
        <f t="array" aca="1" ref="O21" ca="1">_FV(B21,"Previous close",TRUE)</f>
        <v>217.5</v>
      </c>
      <c r="P21" s="7">
        <f t="array" aca="1" ref="P21" ca="1">_FV(B21,"Volume")</f>
        <v>15599147</v>
      </c>
      <c r="Q21" s="7">
        <f t="array" aca="1" ref="Q21" ca="1">_FV(B21,"Volume average",TRUE)</f>
        <v>7171883</v>
      </c>
      <c r="R21" s="8" t="e" vm="14">
        <f t="array" ref="R21">_FV(B21,"Year incorporated",TRUE)</f>
        <v>#VALUE!</v>
      </c>
      <c r="S21" s="7">
        <f t="array" aca="1" ref="S21" ca="1">_FV(B21,"Employees")</f>
        <v>622</v>
      </c>
      <c r="T21" t="str">
        <f t="array" aca="1" ref="T21" ca="1">_FV(B21,"Industry")</f>
        <v>Semiconductors &amp; Semiconductor Equipment</v>
      </c>
      <c r="U21" s="7">
        <f t="array" aca="1" ref="U21" ca="1">_FV(B21,"Market cap",TRUE)</f>
        <v>38160839811</v>
      </c>
      <c r="V21" s="7">
        <f t="array" aca="1" ref="V21" ca="1">_FV(B21,"Shares outstanding",TRUE)</f>
        <v>184449900</v>
      </c>
    </row>
    <row r="22" spans="1:22">
      <c r="A22" t="s">
        <v>451</v>
      </c>
      <c r="B22" t="e" vm="26">
        <v>#VALUE!</v>
      </c>
      <c r="C22" s="2">
        <f t="array" aca="1" ref="C22" ca="1">_FV(B22,"Last trade time",TRUE)</f>
        <v>46178.903353471876</v>
      </c>
      <c r="D22" t="str">
        <f t="array" aca="1" ref="D22" ca="1">_FV(B22,"Currency")</f>
        <v>USD</v>
      </c>
      <c r="E22" s="3">
        <f t="array" aca="1" ref="E22" ca="1">_FV(B22,"Price")</f>
        <v>185.68</v>
      </c>
      <c r="F22" s="4">
        <f t="array" aca="1" ref="F22" ca="1">_FV(B22,"Change (%)",TRUE)</f>
        <v>-1.6265000000000002E-2</v>
      </c>
      <c r="G22" s="5">
        <f t="array" aca="1" ref="G22" ca="1">_FV(B22,"Change")</f>
        <v>-3.07</v>
      </c>
      <c r="H22" s="6">
        <f t="array" aca="1" ref="H22" ca="1">_FV(B22,"P/E",TRUE)</f>
        <v>21.838000000000001</v>
      </c>
      <c r="I22" s="6">
        <f t="array" aca="1" ref="I22" ca="1">_FV(B22,"Beta")</f>
        <v>1.1515</v>
      </c>
      <c r="J22" s="3">
        <f t="array" aca="1" ref="J22" ca="1">_FV(B22,"52 week high",TRUE)</f>
        <v>276.8</v>
      </c>
      <c r="K22" s="3">
        <f t="array" aca="1" ref="K22" ca="1">_FV(B22,"52 week low",TRUE)</f>
        <v>163.52000000000001</v>
      </c>
      <c r="L22" s="3">
        <f t="array" aca="1" ref="L22" ca="1">_FV(B22,"High")</f>
        <v>192.51</v>
      </c>
      <c r="M22" s="3">
        <f t="array" aca="1" ref="M22" ca="1">_FV(B22,"Low")</f>
        <v>184.83</v>
      </c>
      <c r="N22" s="3">
        <f t="array" aca="1" ref="N22" ca="1">_FV(B22,"Open")</f>
        <v>189.8</v>
      </c>
      <c r="O22" s="3">
        <f t="array" aca="1" ref="O22" ca="1">_FV(B22,"Previous close",TRUE)</f>
        <v>188.75</v>
      </c>
      <c r="P22" s="7">
        <f t="array" aca="1" ref="P22" ca="1">_FV(B22,"Volume")</f>
        <v>13158104</v>
      </c>
      <c r="Q22" s="7">
        <f t="array" aca="1" ref="Q22" ca="1">_FV(B22,"Volume average",TRUE)</f>
        <v>14868214</v>
      </c>
      <c r="R22" s="8">
        <f t="array" aca="1" ref="R22" ca="1">_FV(B22,"Year incorporated",TRUE)</f>
        <v>1999</v>
      </c>
      <c r="S22" s="7">
        <f t="array" aca="1" ref="S22" ca="1">_FV(B22,"Employees")</f>
        <v>83334</v>
      </c>
      <c r="T22" t="str">
        <f t="array" aca="1" ref="T22" ca="1">_FV(B22,"Industry")</f>
        <v>Software &amp; IT Services</v>
      </c>
      <c r="U22" s="7">
        <f t="array" aca="1" ref="U22" ca="1">_FV(B22,"Market cap",TRUE)</f>
        <v>152071920000</v>
      </c>
      <c r="V22" s="7">
        <f t="array" aca="1" ref="V22" ca="1">_FV(B22,"Shares outstanding",TRUE)</f>
        <v>819000000</v>
      </c>
    </row>
    <row r="23" spans="1:22">
      <c r="A23" t="s">
        <v>142</v>
      </c>
      <c r="B23" t="e" vm="27">
        <v>#VALUE!</v>
      </c>
      <c r="C23" s="2" cm="1">
        <f t="array" aca="1" ref="C23" ca="1">_FV(B23,"Last trade time",TRUE)</f>
        <v>46178.903419467184</v>
      </c>
      <c r="D23" t="str" cm="1">
        <f t="array" aca="1" ref="D23" ca="1">_FV(B23,"Currency")</f>
        <v>USD</v>
      </c>
      <c r="E23" s="3" cm="1">
        <f t="array" aca="1" ref="E23" ca="1">_FV(B23,"Price")</f>
        <v>671.02</v>
      </c>
      <c r="F23" s="4" cm="1">
        <f t="array" aca="1" ref="F23" ca="1">_FV(B23,"Change (%)",TRUE)</f>
        <v>-6.6848000000000005E-2</v>
      </c>
      <c r="G23" s="5" cm="1">
        <f t="array" aca="1" ref="G23" ca="1">_FV(B23,"Change")</f>
        <v>-48.07</v>
      </c>
      <c r="H23" s="6" cm="1">
        <f t="array" aca="1" ref="H23" ca="1">_FV(B23,"P/E",TRUE)</f>
        <v>0</v>
      </c>
      <c r="I23" s="6" cm="1">
        <f t="array" aca="1" ref="I23" ca="1">_FV(B23,"Beta")</f>
        <v>1.2464999999999999</v>
      </c>
      <c r="J23" s="3" cm="1">
        <f t="array" aca="1" ref="J23" ca="1">_FV(B23,"52 week high",TRUE)</f>
        <v>785.66</v>
      </c>
      <c r="K23" s="3" cm="1">
        <f t="array" aca="1" ref="K23" ca="1">_FV(B23,"52 week low",TRUE)</f>
        <v>342.72</v>
      </c>
      <c r="L23" s="3" cm="1">
        <f t="array" aca="1" ref="L23" ca="1">_FV(B23,"High")</f>
        <v>706.22</v>
      </c>
      <c r="M23" s="3" cm="1">
        <f t="array" aca="1" ref="M23" ca="1">_FV(B23,"Low")</f>
        <v>670.1</v>
      </c>
      <c r="N23" s="3" cm="1">
        <f t="array" aca="1" ref="N23" ca="1">_FV(B23,"Open")</f>
        <v>696.74</v>
      </c>
      <c r="O23" s="3" cm="1">
        <f t="array" aca="1" ref="O23" ca="1">_FV(B23,"Previous close",TRUE)</f>
        <v>719.09</v>
      </c>
      <c r="P23" s="7" cm="1">
        <f t="array" aca="1" ref="P23" ca="1">_FV(B23,"Volume")</f>
        <v>5228185</v>
      </c>
      <c r="Q23" s="7" cm="1">
        <f t="array" aca="1" ref="Q23" ca="1">_FV(B23,"Volume average",TRUE)</f>
        <v>3542032</v>
      </c>
      <c r="R23" s="8" cm="1">
        <f t="array" aca="1" ref="R23" ca="1">_FV(B23,"Year incorporated",TRUE)</f>
        <v>2011</v>
      </c>
      <c r="S23" s="7" cm="1">
        <f t="array" aca="1" ref="S23" ca="1">_FV(B23,"Employees")</f>
        <v>10698</v>
      </c>
      <c r="T23" t="str" cm="1">
        <f t="array" aca="1" ref="T23" ca="1">_FV(B23,"Industry")</f>
        <v>Software &amp; IT Services</v>
      </c>
      <c r="U23" s="7" cm="1">
        <f t="array" aca="1" ref="U23" ca="1">_FV(B23,"Market cap",TRUE)</f>
        <v>170799082230</v>
      </c>
      <c r="V23" s="7" cm="1">
        <f t="array" aca="1" ref="V23" ca="1">_FV(B23,"Shares outstanding",TRUE)</f>
        <v>254536500</v>
      </c>
    </row>
    <row r="24" spans="1:22">
      <c r="A24" t="s">
        <v>70</v>
      </c>
      <c r="B24" t="e" vm="28">
        <v>#VALUE!</v>
      </c>
      <c r="C24" s="2">
        <f t="array" aca="1" ref="C24" ca="1">_FV(B24,"Last trade time",TRUE)</f>
        <v>46178.903467430471</v>
      </c>
      <c r="D24" t="str">
        <f t="array" aca="1" ref="D24" ca="1">_FV(B24,"Currency")</f>
        <v>USD</v>
      </c>
      <c r="E24" s="3">
        <f t="array" aca="1" ref="E24" ca="1">_FV(B24,"Price")</f>
        <v>100.39</v>
      </c>
      <c r="F24" s="4">
        <f t="array" aca="1" ref="F24" ca="1">_FV(B24,"Change (%)",TRUE)</f>
        <v>-7.0720999999999992E-2</v>
      </c>
      <c r="G24" s="5">
        <f t="array" aca="1" ref="G24" ca="1">_FV(B24,"Change")</f>
        <v>-7.64</v>
      </c>
      <c r="H24" s="6">
        <f t="array" aca="1" ref="H24" ca="1">_FV(B24,"P/E",TRUE)</f>
        <v>0</v>
      </c>
      <c r="I24" s="6">
        <f t="array" aca="1" ref="I24" ca="1">_FV(B24,"Beta")</f>
        <v>2.4409999999999998</v>
      </c>
      <c r="J24" s="3">
        <f t="array" aca="1" ref="J24" ca="1">_FV(B24,"52 week high",TRUE)</f>
        <v>187</v>
      </c>
      <c r="K24" s="3">
        <f t="array" aca="1" ref="K24" ca="1">_FV(B24,"52 week low",TRUE)</f>
        <v>63.8</v>
      </c>
      <c r="L24" s="3">
        <f t="array" aca="1" ref="L24" ca="1">_FV(B24,"High")</f>
        <v>104.8</v>
      </c>
      <c r="M24" s="3">
        <f t="array" aca="1" ref="M24" ca="1">_FV(B24,"Low")</f>
        <v>95.540099999999995</v>
      </c>
      <c r="N24" s="3">
        <f t="array" aca="1" ref="N24" ca="1">_FV(B24,"Open")</f>
        <v>104.63500000000001</v>
      </c>
      <c r="O24" s="3">
        <f t="array" aca="1" ref="O24" ca="1">_FV(B24,"Previous close",TRUE)</f>
        <v>108.03</v>
      </c>
      <c r="P24" s="7">
        <f t="array" aca="1" ref="P24" ca="1">_FV(B24,"Volume")</f>
        <v>32311434</v>
      </c>
      <c r="Q24" s="7">
        <f t="array" aca="1" ref="Q24" ca="1">_FV(B24,"Volume average",TRUE)</f>
        <v>29874791</v>
      </c>
      <c r="R24" s="8">
        <f t="array" aca="1" ref="R24" ca="1">_FV(B24,"Year incorporated",TRUE)</f>
        <v>2017</v>
      </c>
      <c r="S24" s="7">
        <f t="array" aca="1" ref="S24" ca="1">_FV(B24,"Employees")</f>
        <v>2189</v>
      </c>
      <c r="T24" t="str">
        <f t="array" aca="1" ref="T24" ca="1">_FV(B24,"Industry")</f>
        <v>Software &amp; IT Services</v>
      </c>
      <c r="U24" s="7">
        <f t="array" aca="1" ref="U24" ca="1">_FV(B24,"Market cap",TRUE)</f>
        <v>54769812456</v>
      </c>
      <c r="V24" s="7">
        <f t="array" aca="1" ref="V24" ca="1">_FV(B24,"Shares outstanding",TRUE)</f>
        <v>545570400</v>
      </c>
    </row>
    <row r="25" spans="1:22">
      <c r="A25" t="s">
        <v>140</v>
      </c>
      <c r="B25" t="e" vm="29">
        <v>#VALUE!</v>
      </c>
      <c r="C25" s="2" cm="1">
        <f t="array" aca="1" ref="C25" ca="1">_FV(B25,"Last trade time",TRUE)</f>
        <v>46178.903468298435</v>
      </c>
      <c r="D25" t="str" cm="1">
        <f t="array" aca="1" ref="D25" ca="1">_FV(B25,"Currency")</f>
        <v>USD</v>
      </c>
      <c r="E25" s="3" cm="1">
        <f t="array" aca="1" ref="E25" ca="1">_FV(B25,"Price")</f>
        <v>121.64</v>
      </c>
      <c r="F25" s="4" cm="1">
        <f t="array" aca="1" ref="F25" ca="1">_FV(B25,"Change (%)",TRUE)</f>
        <v>-6.430799999999999E-2</v>
      </c>
      <c r="G25" s="5" cm="1">
        <f t="array" aca="1" ref="G25" ca="1">_FV(B25,"Change")</f>
        <v>-8.36</v>
      </c>
      <c r="H25" s="6" cm="1">
        <f t="array" aca="1" ref="H25" ca="1">_FV(B25,"P/E",TRUE)</f>
        <v>43.319600000000001</v>
      </c>
      <c r="I25" s="6" cm="1">
        <f t="array" aca="1" ref="I25" ca="1">_FV(B25,"Beta")</f>
        <v>0.998</v>
      </c>
      <c r="J25" s="3" cm="1">
        <f t="array" aca="1" ref="J25" ca="1">_FV(B25,"52 week high",TRUE)</f>
        <v>130.3656</v>
      </c>
      <c r="K25" s="3" cm="1">
        <f t="array" aca="1" ref="K25" ca="1">_FV(B25,"52 week low",TRUE)</f>
        <v>63.865000000000002</v>
      </c>
      <c r="L25" s="3" cm="1">
        <f t="array" aca="1" ref="L25" ca="1">_FV(B25,"High")</f>
        <v>128.84</v>
      </c>
      <c r="M25" s="3" cm="1">
        <f t="array" aca="1" ref="M25" ca="1">_FV(B25,"Low")</f>
        <v>121.55</v>
      </c>
      <c r="N25" s="3" cm="1">
        <f t="array" aca="1" ref="N25" ca="1">_FV(B25,"Open")</f>
        <v>128.66</v>
      </c>
      <c r="O25" s="3" cm="1">
        <f t="array" aca="1" ref="O25" ca="1">_FV(B25,"Previous close",TRUE)</f>
        <v>130</v>
      </c>
      <c r="P25" s="7" cm="1">
        <f t="array" aca="1" ref="P25" ca="1">_FV(B25,"Volume")</f>
        <v>33139415</v>
      </c>
      <c r="Q25" s="7" cm="1">
        <f t="array" aca="1" ref="Q25" ca="1">_FV(B25,"Volume average",TRUE)</f>
        <v>27650547</v>
      </c>
      <c r="R25" s="8" cm="1">
        <f t="array" aca="1" ref="R25" ca="1">_FV(B25,"Year incorporated",TRUE)</f>
        <v>2021</v>
      </c>
      <c r="S25" s="7" cm="1">
        <f t="array" aca="1" ref="S25" ca="1">_FV(B25,"Employees")</f>
        <v>86200</v>
      </c>
      <c r="T25" t="str" cm="1">
        <f t="array" aca="1" ref="T25" ca="1">_FV(B25,"Industry")</f>
        <v>Communications &amp; Networking</v>
      </c>
      <c r="U25" s="7" cm="1">
        <f t="array" aca="1" ref="U25" ca="1">_FV(B25,"Market cap",TRUE)</f>
        <v>479436153400</v>
      </c>
      <c r="V25" s="7" cm="1">
        <f t="array" aca="1" ref="V25" ca="1">_FV(B25,"Shares outstanding",TRUE)</f>
        <v>3941435000</v>
      </c>
    </row>
    <row r="26" spans="1:22">
      <c r="A26" t="s">
        <v>140</v>
      </c>
      <c r="B26" t="e" vm="29">
        <v>#VALUE!</v>
      </c>
      <c r="C26" s="2">
        <f t="array" aca="1" ref="C26" ca="1">_FV(B26,"Last trade time",TRUE)</f>
        <v>46178.903468298435</v>
      </c>
      <c r="D26" t="str">
        <f t="array" aca="1" ref="D26" ca="1">_FV(B26,"Currency")</f>
        <v>USD</v>
      </c>
      <c r="E26" s="3">
        <f t="array" aca="1" ref="E26" ca="1">_FV(B26,"Price")</f>
        <v>121.64</v>
      </c>
      <c r="F26" s="4">
        <f t="array" aca="1" ref="F26" ca="1">_FV(B26,"Change (%)",TRUE)</f>
        <v>-6.430799999999999E-2</v>
      </c>
      <c r="G26" s="5">
        <f t="array" aca="1" ref="G26" ca="1">_FV(B26,"Change")</f>
        <v>-8.36</v>
      </c>
      <c r="H26" s="6">
        <f t="array" aca="1" ref="H26" ca="1">_FV(B26,"P/E",TRUE)</f>
        <v>43.319600000000001</v>
      </c>
      <c r="I26" s="6">
        <f t="array" aca="1" ref="I26" ca="1">_FV(B26,"Beta")</f>
        <v>0.998</v>
      </c>
      <c r="J26" s="3">
        <f t="array" aca="1" ref="J26" ca="1">_FV(B26,"52 week high",TRUE)</f>
        <v>130.3656</v>
      </c>
      <c r="K26" s="3">
        <f t="array" aca="1" ref="K26" ca="1">_FV(B26,"52 week low",TRUE)</f>
        <v>63.865000000000002</v>
      </c>
      <c r="L26" s="3">
        <f t="array" aca="1" ref="L26" ca="1">_FV(B26,"High")</f>
        <v>128.84</v>
      </c>
      <c r="M26" s="3">
        <f t="array" aca="1" ref="M26" ca="1">_FV(B26,"Low")</f>
        <v>121.55</v>
      </c>
      <c r="N26" s="3">
        <f t="array" aca="1" ref="N26" ca="1">_FV(B26,"Open")</f>
        <v>128.66</v>
      </c>
      <c r="O26" s="3">
        <f t="array" aca="1" ref="O26" ca="1">_FV(B26,"Previous close",TRUE)</f>
        <v>130</v>
      </c>
      <c r="P26" s="7">
        <f t="array" aca="1" ref="P26" ca="1">_FV(B26,"Volume")</f>
        <v>33139415</v>
      </c>
      <c r="Q26" s="7">
        <f t="array" aca="1" ref="Q26" ca="1">_FV(B26,"Volume average",TRUE)</f>
        <v>27650547</v>
      </c>
      <c r="R26" s="8">
        <f t="array" aca="1" ref="R26" ca="1">_FV(B26,"Year incorporated",TRUE)</f>
        <v>2021</v>
      </c>
      <c r="S26" s="7">
        <f t="array" aca="1" ref="S26" ca="1">_FV(B26,"Employees")</f>
        <v>86200</v>
      </c>
      <c r="T26" t="str">
        <f t="array" aca="1" ref="T26" ca="1">_FV(B26,"Industry")</f>
        <v>Communications &amp; Networking</v>
      </c>
      <c r="U26" s="7">
        <f t="array" aca="1" ref="U26" ca="1">_FV(B26,"Market cap",TRUE)</f>
        <v>479436153400</v>
      </c>
      <c r="V26" s="7">
        <f t="array" aca="1" ref="V26" ca="1">_FV(B26,"Shares outstanding",TRUE)</f>
        <v>3941435000</v>
      </c>
    </row>
    <row r="27" spans="1:22">
      <c r="A27" t="s">
        <v>26</v>
      </c>
      <c r="B27" t="e" vm="30">
        <v>#VALUE!</v>
      </c>
      <c r="C27" s="2">
        <f t="array" aca="1" ref="C27" ca="1">_FV(B27,"Last trade time",TRUE)</f>
        <v>46178.902660046093</v>
      </c>
      <c r="D27" t="str">
        <f t="array" aca="1" ref="D27" ca="1">_FV(B27,"Currency")</f>
        <v>USD</v>
      </c>
      <c r="E27" s="3">
        <f t="array" aca="1" ref="E27" ca="1">_FV(B27,"Price")</f>
        <v>234.11</v>
      </c>
      <c r="F27" s="4">
        <f t="array" aca="1" ref="F27" ca="1">_FV(B27,"Change (%)",TRUE)</f>
        <v>-3.8956999999999999E-2</v>
      </c>
      <c r="G27" s="5">
        <f t="array" aca="1" ref="G27" ca="1">_FV(B27,"Change")</f>
        <v>-9.49</v>
      </c>
      <c r="H27" s="6">
        <f t="array" aca="1" ref="H27" ca="1">_FV(B27,"P/E",TRUE)</f>
        <v>617.20889999999997</v>
      </c>
      <c r="I27" s="6">
        <f t="array" aca="1" ref="I27" ca="1">_FV(B27,"Beta")</f>
        <v>1.5549999999999999</v>
      </c>
      <c r="J27" s="3">
        <f t="array" aca="1" ref="J27" ca="1">_FV(B27,"52 week high",TRUE)</f>
        <v>278.70499999999998</v>
      </c>
      <c r="K27" s="3">
        <f t="array" aca="1" ref="K27" ca="1">_FV(B27,"52 week low",TRUE)</f>
        <v>98.010099999999994</v>
      </c>
      <c r="L27" s="3">
        <f t="array" aca="1" ref="L27" ca="1">_FV(B27,"High")</f>
        <v>241.61</v>
      </c>
      <c r="M27" s="3">
        <f t="array" aca="1" ref="M27" ca="1">_FV(B27,"Low")</f>
        <v>230.57</v>
      </c>
      <c r="N27" s="3">
        <f t="array" aca="1" ref="N27" ca="1">_FV(B27,"Open")</f>
        <v>237.4</v>
      </c>
      <c r="O27" s="3">
        <f t="array" aca="1" ref="O27" ca="1">_FV(B27,"Previous close",TRUE)</f>
        <v>243.6</v>
      </c>
      <c r="P27" s="7">
        <f t="array" aca="1" ref="P27" ca="1">_FV(B27,"Volume")</f>
        <v>6787014</v>
      </c>
      <c r="Q27" s="7">
        <f t="array" aca="1" ref="Q27" ca="1">_FV(B27,"Volume average",TRUE)</f>
        <v>7441402</v>
      </c>
      <c r="R27" s="8">
        <f t="array" aca="1" ref="R27" ca="1">_FV(B27,"Year incorporated",TRUE)</f>
        <v>2026</v>
      </c>
      <c r="S27" s="7">
        <f t="array" aca="1" ref="S27" ca="1">_FV(B27,"Employees")</f>
        <v>8100</v>
      </c>
      <c r="T27" t="str">
        <f t="array" aca="1" ref="T27" ca="1">_FV(B27,"Industry")</f>
        <v>Software &amp; IT Services</v>
      </c>
      <c r="U27" s="7">
        <f t="array" aca="1" ref="U27" ca="1">_FV(B27,"Market cap",TRUE)</f>
        <v>83333842422</v>
      </c>
      <c r="V27" s="7">
        <f t="array" aca="1" ref="V27" ca="1">_FV(B27,"Shares outstanding",TRUE)</f>
        <v>355960200</v>
      </c>
    </row>
    <row r="28" spans="1:22">
      <c r="A28" t="s">
        <v>141</v>
      </c>
      <c r="B28" t="e" vm="31">
        <v>#VALUE!</v>
      </c>
      <c r="C28" s="2" cm="1">
        <f t="array" aca="1" ref="C28" ca="1">_FV(B28,"Last trade time",TRUE)</f>
        <v>46178.903500323438</v>
      </c>
      <c r="D28" t="str" cm="1">
        <f t="array" aca="1" ref="D28" ca="1">_FV(B28,"Currency")</f>
        <v>USD</v>
      </c>
      <c r="E28" s="3" cm="1">
        <f t="array" aca="1" ref="E28" ca="1">_FV(B28,"Price")</f>
        <v>394.64</v>
      </c>
      <c r="F28" s="4" cm="1">
        <f t="array" aca="1" ref="F28" ca="1">_FV(B28,"Change (%)",TRUE)</f>
        <v>-6.4945000000000003E-2</v>
      </c>
      <c r="G28" s="5" cm="1">
        <f t="array" aca="1" ref="G28" ca="1">_FV(B28,"Change")</f>
        <v>-27.41</v>
      </c>
      <c r="H28" s="6" cm="1">
        <f t="array" aca="1" ref="H28" ca="1">_FV(B28,"P/E",TRUE)</f>
        <v>33.516100000000002</v>
      </c>
      <c r="I28" s="6" cm="1">
        <f t="array" aca="1" ref="I28" ca="1">_FV(B28,"Beta")</f>
        <v>1.3033999999999999</v>
      </c>
      <c r="J28" s="3" cm="1">
        <f t="array" aca="1" ref="J28" ca="1">_FV(B28,"52 week high",TRUE)</f>
        <v>469.47</v>
      </c>
      <c r="K28" s="3" cm="1">
        <f t="array" aca="1" ref="K28" ca="1">_FV(B28,"52 week low",TRUE)</f>
        <v>109.17</v>
      </c>
      <c r="L28" s="3" cm="1">
        <f t="array" aca="1" ref="L28" ca="1">_FV(B28,"High")</f>
        <v>412.9</v>
      </c>
      <c r="M28" s="3" cm="1">
        <f t="array" aca="1" ref="M28" ca="1">_FV(B28,"Low")</f>
        <v>386.27499999999998</v>
      </c>
      <c r="N28" s="3" cm="1">
        <f t="array" aca="1" ref="N28" ca="1">_FV(B28,"Open")</f>
        <v>405.77</v>
      </c>
      <c r="O28" s="3" cm="1">
        <f t="array" aca="1" ref="O28" ca="1">_FV(B28,"Previous close",TRUE)</f>
        <v>422.05</v>
      </c>
      <c r="P28" s="7" cm="1">
        <f t="array" aca="1" ref="P28" ca="1">_FV(B28,"Volume")</f>
        <v>10946010</v>
      </c>
      <c r="Q28" s="7" cm="1">
        <f t="array" aca="1" ref="Q28" ca="1">_FV(B28,"Volume average",TRUE)</f>
        <v>10485112</v>
      </c>
      <c r="R28" s="8" cm="1">
        <f t="array" aca="1" ref="R28" ca="1">_FV(B28,"Year incorporated",TRUE)</f>
        <v>2013</v>
      </c>
      <c r="S28" s="7" cm="1">
        <f t="array" aca="1" ref="S28" ca="1">_FV(B28,"Employees")</f>
        <v>97000</v>
      </c>
      <c r="T28" t="str" cm="1">
        <f t="array" aca="1" ref="T28" ca="1">_FV(B28,"Industry")</f>
        <v>Computers, Phones &amp; Household Electronics</v>
      </c>
      <c r="U28" s="7" cm="1">
        <f t="array" aca="1" ref="U28" ca="1">_FV(B28,"Market cap",TRUE)</f>
        <v>256345633912</v>
      </c>
      <c r="V28" s="7" cm="1">
        <f t="array" aca="1" ref="V28" ca="1">_FV(B28,"Shares outstanding",TRUE)</f>
        <v>649568300</v>
      </c>
    </row>
    <row r="29" spans="1:22">
      <c r="A29" t="s">
        <v>614</v>
      </c>
      <c r="B29" t="e" vm="32">
        <v>#VALUE!</v>
      </c>
      <c r="C29" s="2" cm="1">
        <f t="array" aca="1" ref="C29" ca="1">_FV(B29,"Last trade time",TRUE)</f>
        <v>46178.903126249999</v>
      </c>
      <c r="D29" t="str" cm="1">
        <f t="array" aca="1" ref="D29" ca="1">_FV(B29,"Currency")</f>
        <v>USD</v>
      </c>
      <c r="E29" s="3" cm="1">
        <f t="array" aca="1" ref="E29" ca="1">_FV(B29,"Price")</f>
        <v>99.74</v>
      </c>
      <c r="F29" s="4" cm="1">
        <f t="array" aca="1" ref="F29" ca="1">_FV(B29,"Change (%)",TRUE)</f>
        <v>4.0270000000000002E-3</v>
      </c>
      <c r="G29" s="5" cm="1">
        <f t="array" aca="1" ref="G29" ca="1">_FV(B29,"Change")</f>
        <v>0.4</v>
      </c>
      <c r="H29" s="6" cm="1">
        <f t="array" aca="1" ref="H29" ca="1">_FV(B29,"P/E",TRUE)</f>
        <v>15.8965</v>
      </c>
      <c r="I29" s="6" cm="1">
        <f t="array" aca="1" ref="I29" ca="1">_FV(B29,"Beta")</f>
        <v>1.3942000000000001</v>
      </c>
      <c r="J29" s="3" cm="1">
        <f t="array" aca="1" ref="J29" ca="1">_FV(B29,"52 week high",TRUE)</f>
        <v>124.69</v>
      </c>
      <c r="K29" s="3" cm="1">
        <f t="array" aca="1" ref="K29" ca="1">_FV(B29,"52 week low",TRUE)</f>
        <v>92.185000000000002</v>
      </c>
      <c r="L29" s="3" cm="1">
        <f t="array" aca="1" ref="L29" ca="1">_FV(B29,"High")</f>
        <v>100.2</v>
      </c>
      <c r="M29" s="3" cm="1">
        <f t="array" aca="1" ref="M29" ca="1">_FV(B29,"Low")</f>
        <v>99.088999999999999</v>
      </c>
      <c r="N29" s="3" cm="1">
        <f t="array" aca="1" ref="N29" ca="1">_FV(B29,"Open")</f>
        <v>99.68</v>
      </c>
      <c r="O29" s="3" cm="1">
        <f t="array" aca="1" ref="O29" ca="1">_FV(B29,"Previous close",TRUE)</f>
        <v>99.34</v>
      </c>
      <c r="P29" s="7" cm="1">
        <f t="array" aca="1" ref="P29" ca="1">_FV(B29,"Volume")</f>
        <v>9495916</v>
      </c>
      <c r="Q29" s="7" cm="1">
        <f t="array" aca="1" ref="Q29" ca="1">_FV(B29,"Volume average",TRUE)</f>
        <v>9257497</v>
      </c>
      <c r="R29" s="8" cm="1">
        <f t="array" aca="1" ref="R29" ca="1">_FV(B29,"Year incorporated",TRUE)</f>
        <v>2018</v>
      </c>
      <c r="S29" s="7" cm="1">
        <f t="array" aca="1" ref="S29" ca="1">_FV(B29,"Employees")</f>
        <v>231000</v>
      </c>
      <c r="T29" t="str" cm="1">
        <f t="array" aca="1" ref="T29" ca="1">_FV(B29,"Industry")</f>
        <v>Media &amp; Publishing</v>
      </c>
      <c r="U29" s="7" cm="1">
        <f t="array" aca="1" ref="U29" ca="1">_FV(B29,"Market cap",TRUE)</f>
        <v>173199607140</v>
      </c>
      <c r="V29" s="7" cm="1">
        <f t="array" aca="1" ref="V29" ca="1">_FV(B29,"Shares outstanding",TRUE)</f>
        <v>1736511000</v>
      </c>
    </row>
    <row r="30" spans="1:22">
      <c r="A30" t="s">
        <v>309</v>
      </c>
      <c r="B30" t="e" vm="33">
        <v>#VALUE!</v>
      </c>
      <c r="C30" s="2" cm="1">
        <f t="array" aca="1" ref="C30" ca="1">_FV(B30,"Last trade time",TRUE)</f>
        <v>46178.899437337503</v>
      </c>
      <c r="D30" t="str" cm="1">
        <f t="array" aca="1" ref="D30" ca="1">_FV(B30,"Currency")</f>
        <v>USD</v>
      </c>
      <c r="E30" s="3" cm="1">
        <f t="array" aca="1" ref="E30" ca="1">_FV(B30,"Price")</f>
        <v>42.2</v>
      </c>
      <c r="F30" s="4" cm="1">
        <f t="array" aca="1" ref="F30" ca="1">_FV(B30,"Change (%)",TRUE)</f>
        <v>-2.4277000000000003E-2</v>
      </c>
      <c r="G30" s="5" cm="1">
        <f t="array" aca="1" ref="G30" ca="1">_FV(B30,"Change")</f>
        <v>-1.05</v>
      </c>
      <c r="H30" s="6" cm="1">
        <f t="array" aca="1" ref="H30" ca="1">_FV(B30,"P/E",TRUE)</f>
        <v>80.721900000000005</v>
      </c>
      <c r="I30" s="6" cm="1">
        <f t="array" aca="1" ref="I30" ca="1">_FV(B30,"Beta")</f>
        <v>0.73829999999999996</v>
      </c>
      <c r="J30" s="3" cm="1">
        <f t="array" aca="1" ref="J30" ca="1">_FV(B30,"52 week high",TRUE)</f>
        <v>57.55</v>
      </c>
      <c r="K30" s="3" cm="1">
        <f t="array" aca="1" ref="K30" ca="1">_FV(B30,"52 week low",TRUE)</f>
        <v>31.635000000000002</v>
      </c>
      <c r="L30" s="3" cm="1">
        <f t="array" aca="1" ref="L30" ca="1">_FV(B30,"High")</f>
        <v>43.77</v>
      </c>
      <c r="M30" s="3" cm="1">
        <f t="array" aca="1" ref="M30" ca="1">_FV(B30,"Low")</f>
        <v>41.91</v>
      </c>
      <c r="N30" s="3" cm="1">
        <f t="array" aca="1" ref="N30" ca="1">_FV(B30,"Open")</f>
        <v>43.3</v>
      </c>
      <c r="O30" s="3" cm="1">
        <f t="array" aca="1" ref="O30" ca="1">_FV(B30,"Previous close",TRUE)</f>
        <v>43.25</v>
      </c>
      <c r="P30" s="7" cm="1">
        <f t="array" aca="1" ref="P30" ca="1">_FV(B30,"Volume")</f>
        <v>4740219</v>
      </c>
      <c r="Q30" s="7" cm="1">
        <f t="array" aca="1" ref="Q30" ca="1">_FV(B30,"Volume average",TRUE)</f>
        <v>6445716</v>
      </c>
      <c r="R30" s="8" cm="1">
        <f t="array" aca="1" ref="R30" ca="1">_FV(B30,"Year incorporated",TRUE)</f>
        <v>2014</v>
      </c>
      <c r="S30" s="7" cm="1">
        <f t="array" aca="1" ref="S30" ca="1">_FV(B30,"Employees")</f>
        <v>5600</v>
      </c>
      <c r="T30" t="str" cm="1">
        <f t="array" aca="1" ref="T30" ca="1">_FV(B30,"Industry")</f>
        <v>Software &amp; IT Services</v>
      </c>
      <c r="U30" s="7" cm="1">
        <f t="array" aca="1" ref="U30" ca="1">_FV(B30,"Market cap",TRUE)</f>
        <v>12300274540</v>
      </c>
      <c r="V30" s="7" cm="1">
        <f t="array" aca="1" ref="V30" ca="1">_FV(B30,"Shares outstanding",TRUE)</f>
        <v>291475700</v>
      </c>
    </row>
    <row r="31" spans="1:22">
      <c r="A31" t="s">
        <v>49</v>
      </c>
      <c r="B31" t="e" vm="34">
        <v>#VALUE!</v>
      </c>
      <c r="C31" s="2">
        <f t="array" aca="1" ref="C31" ca="1">_FV(B31,"Last trade time",TRUE)</f>
        <v>46178.90348910859</v>
      </c>
      <c r="D31" t="str">
        <f t="array" aca="1" ref="D31" ca="1">_FV(B31,"Currency")</f>
        <v>USD</v>
      </c>
      <c r="E31" s="3">
        <f t="array" aca="1" ref="E31" ca="1">_FV(B31,"Price")</f>
        <v>7.28</v>
      </c>
      <c r="F31" s="4">
        <f t="array" aca="1" ref="F31" ca="1">_FV(B31,"Change (%)",TRUE)</f>
        <v>-0.129187</v>
      </c>
      <c r="G31" s="5">
        <f t="array" aca="1" ref="G31" ca="1">_FV(B31,"Change")</f>
        <v>-1.08</v>
      </c>
      <c r="H31" s="6">
        <f t="array" aca="1" ref="H31" ca="1">_FV(B31,"P/E",TRUE)</f>
        <v>0</v>
      </c>
      <c r="I31" s="6">
        <f t="array" aca="1" ref="I31" ca="1">_FV(B31,"Beta")</f>
        <v>2.2103999999999999</v>
      </c>
      <c r="J31" s="3">
        <f t="array" aca="1" ref="J31" ca="1">_FV(B31,"52 week high",TRUE)</f>
        <v>16.489999999999998</v>
      </c>
      <c r="K31" s="3">
        <f t="array" aca="1" ref="K31" ca="1">_FV(B31,"52 week low",TRUE)</f>
        <v>4.6150000000000002</v>
      </c>
      <c r="L31" s="3">
        <f t="array" aca="1" ref="L31" ca="1">_FV(B31,"High")</f>
        <v>8.23</v>
      </c>
      <c r="M31" s="3">
        <f t="array" aca="1" ref="M31" ca="1">_FV(B31,"Low")</f>
        <v>7.1</v>
      </c>
      <c r="N31" s="3">
        <f t="array" aca="1" ref="N31" ca="1">_FV(B31,"Open")</f>
        <v>8.1750000000000007</v>
      </c>
      <c r="O31" s="3">
        <f t="array" aca="1" ref="O31" ca="1">_FV(B31,"Previous close",TRUE)</f>
        <v>8.36</v>
      </c>
      <c r="P31" s="7">
        <f t="array" aca="1" ref="P31" ca="1">_FV(B31,"Volume")</f>
        <v>8497863</v>
      </c>
      <c r="Q31" s="7">
        <f t="array" aca="1" ref="Q31" ca="1">_FV(B31,"Volume average",TRUE)</f>
        <v>8283580</v>
      </c>
      <c r="R31" s="8">
        <f t="array" aca="1" ref="R31" ca="1">_FV(B31,"Year incorporated",TRUE)</f>
        <v>2020</v>
      </c>
      <c r="S31" s="7">
        <f t="array" aca="1" ref="S31" ca="1">_FV(B31,"Employees")</f>
        <v>664</v>
      </c>
      <c r="T31" t="str">
        <f t="array" aca="1" ref="T31" ca="1">_FV(B31,"Industry")</f>
        <v>Machinery, Equipment &amp; Components</v>
      </c>
      <c r="U31" s="7">
        <f t="array" aca="1" ref="U31" ca="1">_FV(B31,"Market cap",TRUE)</f>
        <v>1588156752</v>
      </c>
      <c r="V31" s="7">
        <f t="array" aca="1" ref="V31" ca="1">_FV(B31,"Shares outstanding",TRUE)</f>
        <v>218153400</v>
      </c>
    </row>
    <row r="32" spans="1:22">
      <c r="A32" t="s">
        <v>149</v>
      </c>
      <c r="B32" t="e" vm="35">
        <v>#VALUE!</v>
      </c>
      <c r="C32" s="2" cm="1">
        <f t="array" aca="1" ref="C32" ca="1">_FV(B32,"Last trade time",TRUE)</f>
        <v>46178.900008078126</v>
      </c>
      <c r="D32" t="str" cm="1">
        <f t="array" aca="1" ref="D32" ca="1">_FV(B32,"Currency")</f>
        <v>USD</v>
      </c>
      <c r="E32" s="3" cm="1">
        <f t="array" aca="1" ref="E32" ca="1">_FV(B32,"Price")</f>
        <v>396</v>
      </c>
      <c r="F32" s="4" cm="1">
        <f t="array" aca="1" ref="F32" ca="1">_FV(B32,"Change (%)",TRUE)</f>
        <v>-5.4012000000000004E-2</v>
      </c>
      <c r="G32" s="5" cm="1">
        <f t="array" aca="1" ref="G32" ca="1">_FV(B32,"Change")</f>
        <v>-22.61</v>
      </c>
      <c r="H32" s="6" cm="1">
        <f t="array" aca="1" ref="H32" ca="1">_FV(B32,"P/E",TRUE)</f>
        <v>40.924599999999998</v>
      </c>
      <c r="I32" s="6" cm="1">
        <f t="array" aca="1" ref="I32" ca="1">_FV(B32,"Beta")</f>
        <v>1.1893</v>
      </c>
      <c r="J32" s="3" cm="1">
        <f t="array" aca="1" ref="J32" ca="1">_FV(B32,"52 week high",TRUE)</f>
        <v>435.43</v>
      </c>
      <c r="K32" s="3" cm="1">
        <f t="array" aca="1" ref="K32" ca="1">_FV(B32,"52 week low",TRUE)</f>
        <v>311.91500000000002</v>
      </c>
      <c r="L32" s="3" cm="1">
        <f t="array" aca="1" ref="L32" ca="1">_FV(B32,"High")</f>
        <v>410.61</v>
      </c>
      <c r="M32" s="3" cm="1">
        <f t="array" aca="1" ref="M32" ca="1">_FV(B32,"Low")</f>
        <v>393.17</v>
      </c>
      <c r="N32" s="3" cm="1">
        <f t="array" aca="1" ref="N32" ca="1">_FV(B32,"Open")</f>
        <v>408.55</v>
      </c>
      <c r="O32" s="3" cm="1">
        <f t="array" aca="1" ref="O32" ca="1">_FV(B32,"Previous close",TRUE)</f>
        <v>418.61</v>
      </c>
      <c r="P32" s="7" cm="1">
        <f t="array" aca="1" ref="P32" ca="1">_FV(B32,"Volume")</f>
        <v>2535660</v>
      </c>
      <c r="Q32" s="7" cm="1">
        <f t="array" aca="1" ref="Q32" ca="1">_FV(B32,"Volume average",TRUE)</f>
        <v>2880792</v>
      </c>
      <c r="R32" s="8" cm="1">
        <f t="array" aca="1" ref="R32" ca="1">_FV(B32,"Year incorporated",TRUE)</f>
        <v>2012</v>
      </c>
      <c r="S32" s="7" cm="1">
        <f t="array" aca="1" ref="S32" ca="1">_FV(B32,"Employees")</f>
        <v>97000</v>
      </c>
      <c r="T32" t="str" cm="1">
        <f t="array" aca="1" ref="T32" ca="1">_FV(B32,"Industry")</f>
        <v>Machinery, Equipment &amp; Components</v>
      </c>
      <c r="U32" s="7" cm="1">
        <f t="array" aca="1" ref="U32" ca="1">_FV(B32,"Market cap",TRUE)</f>
        <v>153766800000</v>
      </c>
      <c r="V32" s="7" cm="1">
        <f t="array" aca="1" ref="V32" ca="1">_FV(B32,"Shares outstanding",TRUE)</f>
        <v>388300000</v>
      </c>
    </row>
    <row r="33" spans="1:22">
      <c r="A33" t="s">
        <v>18</v>
      </c>
      <c r="B33" t="e" vm="36">
        <v>#VALUE!</v>
      </c>
      <c r="C33" s="2">
        <f t="array" aca="1" ref="C33" ca="1">_FV(B33,"Last trade time",TRUE)</f>
        <v>46178.893552719528</v>
      </c>
      <c r="D33" t="str">
        <f t="array" aca="1" ref="D33" ca="1">_FV(B33,"Currency")</f>
        <v>USD</v>
      </c>
      <c r="E33" s="3">
        <f t="array" aca="1" ref="E33" ca="1">_FV(B33,"Price")</f>
        <v>23.52</v>
      </c>
      <c r="F33" s="4">
        <f t="array" aca="1" ref="F33" ca="1">_FV(B33,"Change (%)",TRUE)</f>
        <v>-3.8429999999999999E-2</v>
      </c>
      <c r="G33" s="5">
        <f t="array" aca="1" ref="G33" ca="1">_FV(B33,"Change")</f>
        <v>-0.94</v>
      </c>
      <c r="H33" s="6">
        <f t="array" aca="1" ref="H33" ca="1">_FV(B33,"P/E",TRUE)</f>
        <v>37.090400000000002</v>
      </c>
      <c r="I33" s="6">
        <f t="array" aca="1" ref="I33" ca="1">_FV(B33,"Beta")</f>
        <v>1.4453</v>
      </c>
      <c r="J33" s="3">
        <f t="array" aca="1" ref="J33" ca="1">_FV(B33,"52 week high",TRUE)</f>
        <v>30.38</v>
      </c>
      <c r="K33" s="3">
        <f t="array" aca="1" ref="K33" ca="1">_FV(B33,"52 week low",TRUE)</f>
        <v>13.29</v>
      </c>
      <c r="L33" s="3">
        <f t="array" aca="1" ref="L33" ca="1">_FV(B33,"High")</f>
        <v>24.94</v>
      </c>
      <c r="M33" s="3">
        <f t="array" aca="1" ref="M33" ca="1">_FV(B33,"Low")</f>
        <v>22.600100000000001</v>
      </c>
      <c r="N33" s="3">
        <f t="array" aca="1" ref="N33" ca="1">_FV(B33,"Open")</f>
        <v>24.25</v>
      </c>
      <c r="O33" s="3">
        <f t="array" aca="1" ref="O33" ca="1">_FV(B33,"Previous close",TRUE)</f>
        <v>24.46</v>
      </c>
      <c r="P33" s="7">
        <f t="array" aca="1" ref="P33" ca="1">_FV(B33,"Volume")</f>
        <v>3371039</v>
      </c>
      <c r="Q33" s="7">
        <f t="array" aca="1" ref="Q33" ca="1">_FV(B33,"Volume average",TRUE)</f>
        <v>4442698</v>
      </c>
      <c r="R33" s="8">
        <f t="array" aca="1" ref="R33" ca="1">_FV(B33,"Year incorporated",TRUE)</f>
        <v>2001</v>
      </c>
      <c r="S33" s="7">
        <f t="array" aca="1" ref="S33" ca="1">_FV(B33,"Employees")</f>
        <v>2910</v>
      </c>
      <c r="T33" t="str">
        <f t="array" aca="1" ref="T33" ca="1">_FV(B33,"Industry")</f>
        <v>Software &amp; IT Services</v>
      </c>
      <c r="U33" s="7">
        <f t="array" aca="1" ref="U33" ca="1">_FV(B33,"Market cap",TRUE)</f>
        <v>1800785044</v>
      </c>
      <c r="V33" s="7">
        <f t="array" aca="1" ref="V33" ca="1">_FV(B33,"Shares outstanding",TRUE)</f>
        <v>76563990</v>
      </c>
    </row>
    <row r="34" spans="1:22">
      <c r="A34" t="s">
        <v>145</v>
      </c>
      <c r="B34" t="e" vm="37">
        <v>#VALUE!</v>
      </c>
      <c r="C34" s="2" cm="1">
        <f t="array" aca="1" ref="C34" ca="1">_FV(B34,"Last trade time",TRUE)</f>
        <v>46178.903107765625</v>
      </c>
      <c r="D34" t="str" cm="1">
        <f t="array" aca="1" ref="D34" ca="1">_FV(B34,"Currency")</f>
        <v>USD</v>
      </c>
      <c r="E34" s="3" cm="1">
        <f t="array" aca="1" ref="E34" ca="1">_FV(B34,"Price")</f>
        <v>144.68</v>
      </c>
      <c r="F34" s="4" cm="1">
        <f t="array" aca="1" ref="F34" ca="1">_FV(B34,"Change (%)",TRUE)</f>
        <v>-3.3340000000000002E-2</v>
      </c>
      <c r="G34" s="5" cm="1">
        <f t="array" aca="1" ref="G34" ca="1">_FV(B34,"Change")</f>
        <v>-4.99</v>
      </c>
      <c r="H34" s="6" cm="1">
        <f t="array" aca="1" ref="H34" ca="1">_FV(B34,"P/E",TRUE)</f>
        <v>57.8245</v>
      </c>
      <c r="I34" s="6" cm="1">
        <f t="array" aca="1" ref="I34" ca="1">_FV(B34,"Beta")</f>
        <v>1.1027</v>
      </c>
      <c r="J34" s="3" cm="1">
        <f t="array" aca="1" ref="J34" ca="1">_FV(B34,"52 week high",TRUE)</f>
        <v>150.07</v>
      </c>
      <c r="K34" s="3" cm="1">
        <f t="array" aca="1" ref="K34" ca="1">_FV(B34,"52 week low",TRUE)</f>
        <v>70.12</v>
      </c>
      <c r="L34" s="3" cm="1">
        <f t="array" aca="1" ref="L34" ca="1">_FV(B34,"High")</f>
        <v>149.05000000000001</v>
      </c>
      <c r="M34" s="3" cm="1">
        <f t="array" aca="1" ref="M34" ca="1">_FV(B34,"Low")</f>
        <v>143.45500000000001</v>
      </c>
      <c r="N34" s="3" cm="1">
        <f t="array" aca="1" ref="N34" ca="1">_FV(B34,"Open")</f>
        <v>148.46</v>
      </c>
      <c r="O34" s="3" cm="1">
        <f t="array" aca="1" ref="O34" ca="1">_FV(B34,"Previous close",TRUE)</f>
        <v>149.66999999999999</v>
      </c>
      <c r="P34" s="7" cm="1">
        <f t="array" aca="1" ref="P34" ca="1">_FV(B34,"Volume")</f>
        <v>7119075</v>
      </c>
      <c r="Q34" s="7" cm="1">
        <f t="array" aca="1" ref="Q34" ca="1">_FV(B34,"Volume average",TRUE)</f>
        <v>6701223</v>
      </c>
      <c r="R34" s="8" cm="1">
        <f t="array" aca="1" ref="R34" ca="1">_FV(B34,"Year incorporated",TRUE)</f>
        <v>2000</v>
      </c>
      <c r="S34" s="7" cm="1">
        <f t="array" aca="1" ref="S34" ca="1">_FV(B34,"Employees")</f>
        <v>15311</v>
      </c>
      <c r="T34" t="str" cm="1">
        <f t="array" aca="1" ref="T34" ca="1">_FV(B34,"Industry")</f>
        <v>Software &amp; IT Services</v>
      </c>
      <c r="U34" s="7" cm="1">
        <f t="array" aca="1" ref="U34" ca="1">_FV(B34,"Market cap",TRUE)</f>
        <v>105999570512</v>
      </c>
      <c r="V34" s="7" cm="1">
        <f t="array" aca="1" ref="V34" ca="1">_FV(B34,"Shares outstanding",TRUE)</f>
        <v>732648400</v>
      </c>
    </row>
    <row r="35" spans="1:22">
      <c r="A35" t="s">
        <v>45</v>
      </c>
      <c r="B35" t="e" vm="38">
        <v>#VALUE!</v>
      </c>
      <c r="C35" s="2">
        <f t="array" aca="1" ref="C35" ca="1">_FV(B35,"Last trade time",TRUE)</f>
        <v>46178.903474316408</v>
      </c>
      <c r="D35" t="str">
        <f t="array" aca="1" ref="D35" ca="1">_FV(B35,"Currency")</f>
        <v>USD</v>
      </c>
      <c r="E35" s="3">
        <f t="array" aca="1" ref="E35" ca="1">_FV(B35,"Price")</f>
        <v>365.76</v>
      </c>
      <c r="F35" s="4">
        <f t="array" aca="1" ref="F35" ca="1">_FV(B35,"Change (%)",TRUE)</f>
        <v>-9.5049999999999996E-3</v>
      </c>
      <c r="G35" s="5">
        <f t="array" aca="1" ref="G35" ca="1">_FV(B35,"Change")</f>
        <v>-3.51</v>
      </c>
      <c r="H35" s="6">
        <f t="array" aca="1" ref="H35" ca="1">_FV(B35,"P/E",TRUE)</f>
        <v>28.201599999999999</v>
      </c>
      <c r="I35" s="6">
        <f t="array" aca="1" ref="I35" ca="1">_FV(B35,"Beta")</f>
        <v>1.2397</v>
      </c>
      <c r="J35" s="3">
        <f t="array" aca="1" ref="J35" ca="1">_FV(B35,"52 week high",TRUE)</f>
        <v>404.47</v>
      </c>
      <c r="K35" s="3">
        <f t="array" aca="1" ref="K35" ca="1">_FV(B35,"52 week low",TRUE)</f>
        <v>163.33000000000001</v>
      </c>
      <c r="L35" s="3">
        <f t="array" aca="1" ref="L35" ca="1">_FV(B35,"High")</f>
        <v>369.2</v>
      </c>
      <c r="M35" s="3">
        <f t="array" aca="1" ref="M35" ca="1">_FV(B35,"Low")</f>
        <v>361.63</v>
      </c>
      <c r="N35" s="3">
        <f t="array" aca="1" ref="N35" ca="1">_FV(B35,"Open")</f>
        <v>363.38</v>
      </c>
      <c r="O35" s="3">
        <f t="array" aca="1" ref="O35" ca="1">_FV(B35,"Previous close",TRUE)</f>
        <v>369.27</v>
      </c>
      <c r="P35" s="7">
        <f t="array" aca="1" ref="P35" ca="1">_FV(B35,"Volume")</f>
        <v>23299314</v>
      </c>
      <c r="Q35" s="7">
        <f t="array" aca="1" ref="Q35" ca="1">_FV(B35,"Volume average",TRUE)</f>
        <v>22670483</v>
      </c>
      <c r="R35" s="8">
        <f t="array" aca="1" ref="R35" ca="1">_FV(B35,"Year incorporated",TRUE)</f>
        <v>2015</v>
      </c>
      <c r="S35" s="7">
        <f t="array" aca="1" ref="S35" ca="1">_FV(B35,"Employees")</f>
        <v>194668</v>
      </c>
      <c r="T35" t="str">
        <f t="array" aca="1" ref="T35" ca="1">_FV(B35,"Industry")</f>
        <v>Software &amp; IT Services</v>
      </c>
      <c r="U35" s="7">
        <f t="array" aca="1" ref="U35" ca="1">_FV(B35,"Market cap",TRUE)</f>
        <v>4431548160000</v>
      </c>
      <c r="V35" s="7">
        <f t="array" aca="1" ref="V35" ca="1">_FV(B35,"Shares outstanding",TRUE)</f>
        <v>12116000000</v>
      </c>
    </row>
    <row r="36" spans="1:22">
      <c r="A36" t="s">
        <v>60</v>
      </c>
      <c r="B36" t="e" vm="39">
        <v>#VALUE!</v>
      </c>
      <c r="C36" s="2">
        <f t="array" aca="1" ref="C36" ca="1">_FV(B36,"Last trade time",TRUE)</f>
        <v>46178.903469803125</v>
      </c>
      <c r="D36" t="str">
        <f t="array" aca="1" ref="D36" ca="1">_FV(B36,"Currency")</f>
        <v>USD</v>
      </c>
      <c r="E36" s="3">
        <f t="array" aca="1" ref="E36" ca="1">_FV(B36,"Price")</f>
        <v>82.47</v>
      </c>
      <c r="F36" s="4">
        <f t="array" aca="1" ref="F36" ca="1">_FV(B36,"Change (%)",TRUE)</f>
        <v>-6.6341999999999998E-2</v>
      </c>
      <c r="G36" s="5">
        <f t="array" aca="1" ref="G36" ca="1">_FV(B36,"Change")</f>
        <v>-5.86</v>
      </c>
      <c r="H36" s="6">
        <f t="array" aca="1" ref="H36" ca="1">_FV(B36,"P/E",TRUE)</f>
        <v>49.137700000000002</v>
      </c>
      <c r="I36" s="6">
        <f t="array" aca="1" ref="I36" ca="1">_FV(B36,"Beta")</f>
        <v>2.3544999999999998</v>
      </c>
      <c r="J36" s="3">
        <f t="array" aca="1" ref="J36" ca="1">_FV(B36,"52 week high",TRUE)</f>
        <v>153.85990000000001</v>
      </c>
      <c r="K36" s="3">
        <f t="array" aca="1" ref="K36" ca="1">_FV(B36,"52 week low",TRUE)</f>
        <v>63.515000000000001</v>
      </c>
      <c r="L36" s="3">
        <f t="array" aca="1" ref="L36" ca="1">_FV(B36,"High")</f>
        <v>87.329899999999995</v>
      </c>
      <c r="M36" s="3">
        <f t="array" aca="1" ref="M36" ca="1">_FV(B36,"Low")</f>
        <v>79.489999999999995</v>
      </c>
      <c r="N36" s="3">
        <f t="array" aca="1" ref="N36" ca="1">_FV(B36,"Open")</f>
        <v>86.57</v>
      </c>
      <c r="O36" s="3">
        <f t="array" aca="1" ref="O36" ca="1">_FV(B36,"Previous close",TRUE)</f>
        <v>88.33</v>
      </c>
      <c r="P36" s="7">
        <f t="array" aca="1" ref="P36" ca="1">_FV(B36,"Volume")</f>
        <v>35758006</v>
      </c>
      <c r="Q36" s="7">
        <f t="array" aca="1" ref="Q36" ca="1">_FV(B36,"Volume average",TRUE)</f>
        <v>26208893</v>
      </c>
      <c r="R36" s="8">
        <f t="array" aca="1" ref="R36" ca="1">_FV(B36,"Year incorporated",TRUE)</f>
        <v>2013</v>
      </c>
      <c r="S36" s="7">
        <f t="array" aca="1" ref="S36" ca="1">_FV(B36,"Employees")</f>
        <v>2900</v>
      </c>
      <c r="T36" t="str">
        <f t="array" aca="1" ref="T36" ca="1">_FV(B36,"Industry")</f>
        <v>Financial Technology (Fintech) &amp; Infrastructure</v>
      </c>
      <c r="U36" s="7">
        <f t="array" aca="1" ref="U36" ca="1">_FV(B36,"Market cap",TRUE)</f>
        <v>74264655597</v>
      </c>
      <c r="V36" s="7">
        <f t="array" aca="1" ref="V36" ca="1">_FV(B36,"Shares outstanding",TRUE)</f>
        <v>900505100</v>
      </c>
    </row>
    <row r="37" spans="1:22">
      <c r="A37" t="s">
        <v>34</v>
      </c>
      <c r="B37" t="e" vm="40">
        <v>#VALUE!</v>
      </c>
      <c r="C37" s="2">
        <f t="array" aca="1" ref="C37" ca="1">_FV(B37,"Last trade time",TRUE)</f>
        <v>46178.903447187498</v>
      </c>
      <c r="D37" t="str">
        <f t="array" aca="1" ref="D37" ca="1">_FV(B37,"Currency")</f>
        <v>USD</v>
      </c>
      <c r="E37" s="3">
        <f t="array" aca="1" ref="E37" ca="1">_FV(B37,"Price")</f>
        <v>284.85090000000002</v>
      </c>
      <c r="F37" s="4">
        <f t="array" aca="1" ref="F37" ca="1">_FV(B37,"Change (%)",TRUE)</f>
        <v>-5.6066000000000005E-2</v>
      </c>
      <c r="G37" s="5">
        <f t="array" aca="1" ref="G37" ca="1">_FV(B37,"Change")</f>
        <v>-16.9191</v>
      </c>
      <c r="H37" s="6">
        <f t="array" aca="1" ref="H37" ca="1">_FV(B37,"P/E",TRUE)</f>
        <v>24.1493</v>
      </c>
      <c r="I37" s="6">
        <f t="array" aca="1" ref="I37" ca="1">_FV(B37,"Beta")</f>
        <v>0.65800000000000003</v>
      </c>
      <c r="J37" s="3">
        <f t="array" aca="1" ref="J37" ca="1">_FV(B37,"52 week high",TRUE)</f>
        <v>332.46</v>
      </c>
      <c r="K37" s="3">
        <f t="array" aca="1" ref="K37" ca="1">_FV(B37,"52 week low",TRUE)</f>
        <v>212.34</v>
      </c>
      <c r="L37" s="3">
        <f t="array" aca="1" ref="L37" ca="1">_FV(B37,"High")</f>
        <v>302.3</v>
      </c>
      <c r="M37" s="3">
        <f t="array" aca="1" ref="M37" ca="1">_FV(B37,"Low")</f>
        <v>281.07010000000002</v>
      </c>
      <c r="N37" s="3">
        <f t="array" aca="1" ref="N37" ca="1">_FV(B37,"Open")</f>
        <v>300</v>
      </c>
      <c r="O37" s="3">
        <f t="array" aca="1" ref="O37" ca="1">_FV(B37,"Previous close",TRUE)</f>
        <v>301.77</v>
      </c>
      <c r="P37" s="7">
        <f t="array" aca="1" ref="P37" ca="1">_FV(B37,"Volume")</f>
        <v>12469379</v>
      </c>
      <c r="Q37" s="7">
        <f t="array" aca="1" ref="Q37" ca="1">_FV(B37,"Volume average",TRUE)</f>
        <v>10573417</v>
      </c>
      <c r="R37" s="8">
        <f t="array" aca="1" ref="R37" ca="1">_FV(B37,"Year incorporated",TRUE)</f>
        <v>1911</v>
      </c>
      <c r="S37" s="7">
        <f t="array" aca="1" ref="S37" ca="1">_FV(B37,"Employees")</f>
        <v>286800</v>
      </c>
      <c r="T37" t="str">
        <f t="array" aca="1" ref="T37" ca="1">_FV(B37,"Industry")</f>
        <v>Software &amp; IT Services</v>
      </c>
      <c r="U37" s="7">
        <f t="array" aca="1" ref="U37" ca="1">_FV(B37,"Market cap",TRUE)</f>
        <v>267727173601</v>
      </c>
      <c r="V37" s="7">
        <f t="array" aca="1" ref="V37" ca="1">_FV(B37,"Shares outstanding",TRUE)</f>
        <v>939885300</v>
      </c>
    </row>
    <row r="38" spans="1:22">
      <c r="A38" t="s">
        <v>14</v>
      </c>
      <c r="B38" t="e" vm="41">
        <v>#VALUE!</v>
      </c>
      <c r="C38" s="2">
        <f t="array" aca="1" ref="C38" ca="1">_FV(B38,"Last trade time",TRUE)</f>
        <v>46178.902878483597</v>
      </c>
      <c r="D38" t="str">
        <f t="array" aca="1" ref="D38" ca="1">_FV(B38,"Currency")</f>
        <v>USD</v>
      </c>
      <c r="E38" s="3">
        <f t="array" aca="1" ref="E38" ca="1">_FV(B38,"Price")</f>
        <v>101.97</v>
      </c>
      <c r="F38" s="4">
        <f t="array" aca="1" ref="F38" ca="1">_FV(B38,"Change (%)",TRUE)</f>
        <v>-0.16074100000000002</v>
      </c>
      <c r="G38" s="5">
        <f t="array" aca="1" ref="G38" ca="1">_FV(B38,"Change")</f>
        <v>-19.53</v>
      </c>
      <c r="H38" s="6">
        <f t="array" aca="1" ref="H38" ca="1">_FV(B38,"P/E",TRUE)</f>
        <v>109.3186</v>
      </c>
      <c r="I38" s="6">
        <f t="array" aca="1" ref="I38" ca="1">_FV(B38,"Beta")</f>
        <v>2.8271999999999999</v>
      </c>
      <c r="J38" s="3">
        <f t="array" aca="1" ref="J38" ca="1">_FV(B38,"52 week high",TRUE)</f>
        <v>125.14</v>
      </c>
      <c r="K38" s="3">
        <f t="array" aca="1" ref="K38" ca="1">_FV(B38,"52 week low",TRUE)</f>
        <v>34.2301</v>
      </c>
      <c r="L38" s="3">
        <f t="array" aca="1" ref="L38" ca="1">_FV(B38,"High")</f>
        <v>119.2</v>
      </c>
      <c r="M38" s="3">
        <f t="array" aca="1" ref="M38" ca="1">_FV(B38,"Low")</f>
        <v>100.19</v>
      </c>
      <c r="N38" s="3">
        <f t="array" aca="1" ref="N38" ca="1">_FV(B38,"Open")</f>
        <v>116.905</v>
      </c>
      <c r="O38" s="3">
        <f t="array" aca="1" ref="O38" ca="1">_FV(B38,"Previous close",TRUE)</f>
        <v>121.5</v>
      </c>
      <c r="P38" s="7">
        <f t="array" aca="1" ref="P38" ca="1">_FV(B38,"Volume")</f>
        <v>2115570</v>
      </c>
      <c r="Q38" s="7">
        <f t="array" aca="1" ref="Q38" ca="1">_FV(B38,"Volume average",TRUE)</f>
        <v>3083448</v>
      </c>
      <c r="R38" s="8">
        <f t="array" aca="1" ref="R38" ca="1">_FV(B38,"Year incorporated",TRUE)</f>
        <v>1988</v>
      </c>
      <c r="S38" s="7">
        <f t="array" aca="1" ref="S38" ca="1">_FV(B38,"Employees")</f>
        <v>10020</v>
      </c>
      <c r="T38" t="str">
        <f t="array" aca="1" ref="T38" ca="1">_FV(B38,"Industry")</f>
        <v>Software &amp; IT Services</v>
      </c>
      <c r="U38" s="7">
        <f t="array" aca="1" ref="U38" ca="1">_FV(B38,"Market cap",TRUE)</f>
        <v>1490374656</v>
      </c>
      <c r="V38" s="7">
        <f t="array" aca="1" ref="V38" ca="1">_FV(B38,"Shares outstanding",TRUE)</f>
        <v>32655360</v>
      </c>
    </row>
    <row r="39" spans="1:22">
      <c r="A39" t="s">
        <v>71</v>
      </c>
      <c r="B39" t="e" vm="42">
        <v>#VALUE!</v>
      </c>
      <c r="C39" s="2">
        <f t="array" aca="1" ref="C39" ca="1">_FV(B39,"Last trade time",TRUE)</f>
        <v>46178.903523587498</v>
      </c>
      <c r="D39" t="str">
        <f t="array" aca="1" ref="D39" ca="1">_FV(B39,"Currency")</f>
        <v>USD</v>
      </c>
      <c r="E39" s="3">
        <f t="array" aca="1" ref="E39" ca="1">_FV(B39,"Price")</f>
        <v>99.17</v>
      </c>
      <c r="F39" s="4">
        <f t="array" aca="1" ref="F39" ca="1">_FV(B39,"Change (%)",TRUE)</f>
        <v>-0.11281100000000001</v>
      </c>
      <c r="G39" s="5">
        <f t="array" aca="1" ref="G39" ca="1">_FV(B39,"Change")</f>
        <v>-12.61</v>
      </c>
      <c r="H39" s="6">
        <f t="array" aca="1" ref="H39" ca="1">_FV(B39,"P/E",TRUE)</f>
        <v>0</v>
      </c>
      <c r="I39" s="6">
        <f t="array" aca="1" ref="I39" ca="1">_FV(B39,"Beta")</f>
        <v>2.2303000000000002</v>
      </c>
      <c r="J39" s="3">
        <f t="array" aca="1" ref="J39" ca="1">_FV(B39,"52 week high",TRUE)</f>
        <v>132.75</v>
      </c>
      <c r="K39" s="3">
        <f t="array" aca="1" ref="K39" ca="1">_FV(B39,"52 week low",TRUE)</f>
        <v>18.965</v>
      </c>
      <c r="L39" s="3">
        <f t="array" aca="1" ref="L39" ca="1">_FV(B39,"High")</f>
        <v>106.48</v>
      </c>
      <c r="M39" s="3">
        <f t="array" aca="1" ref="M39" ca="1">_FV(B39,"Low")</f>
        <v>98.33</v>
      </c>
      <c r="N39" s="3">
        <f t="array" aca="1" ref="N39" ca="1">_FV(B39,"Open")</f>
        <v>106.48</v>
      </c>
      <c r="O39" s="3">
        <f t="array" aca="1" ref="O39" ca="1">_FV(B39,"Previous close",TRUE)</f>
        <v>111.78</v>
      </c>
      <c r="P39" s="7">
        <f t="array" aca="1" ref="P39" ca="1">_FV(B39,"Volume")</f>
        <v>144184718</v>
      </c>
      <c r="Q39" s="7">
        <f t="array" aca="1" ref="Q39" ca="1">_FV(B39,"Volume average",TRUE)</f>
        <v>137584440</v>
      </c>
      <c r="R39" s="8">
        <f t="array" aca="1" ref="R39" ca="1">_FV(B39,"Year incorporated",TRUE)</f>
        <v>1989</v>
      </c>
      <c r="S39" s="7">
        <f t="array" aca="1" ref="S39" ca="1">_FV(B39,"Employees")</f>
        <v>83200</v>
      </c>
      <c r="T39" t="str">
        <f t="array" aca="1" ref="T39" ca="1">_FV(B39,"Industry")</f>
        <v>Semiconductors &amp; Semiconductor Equipment</v>
      </c>
      <c r="U39" s="7">
        <f t="array" aca="1" ref="U39" ca="1">_FV(B39,"Market cap",TRUE)</f>
        <v>498428420000</v>
      </c>
      <c r="V39" s="7">
        <f t="array" aca="1" ref="V39" ca="1">_FV(B39,"Shares outstanding",TRUE)</f>
        <v>5026000000</v>
      </c>
    </row>
    <row r="40" spans="1:22">
      <c r="A40" t="s">
        <v>79</v>
      </c>
      <c r="B40" t="e" vm="43">
        <v>#VALUE!</v>
      </c>
      <c r="C40" s="2">
        <f t="array" aca="1" ref="C40" ca="1">_FV(B40,"Last trade time",TRUE)</f>
        <v>46178.903377546092</v>
      </c>
      <c r="D40" t="str">
        <f t="array" aca="1" ref="D40" ca="1">_FV(B40,"Currency")</f>
        <v>USD</v>
      </c>
      <c r="E40" s="3">
        <f t="array" aca="1" ref="E40" ca="1">_FV(B40,"Price")</f>
        <v>56.78</v>
      </c>
      <c r="F40" s="4">
        <f t="array" aca="1" ref="F40" ca="1">_FV(B40,"Change (%)",TRUE)</f>
        <v>-0.135242</v>
      </c>
      <c r="G40" s="5">
        <f t="array" aca="1" ref="G40" ca="1">_FV(B40,"Change")</f>
        <v>-8.8800000000000008</v>
      </c>
      <c r="H40" s="6">
        <f t="array" aca="1" ref="H40" ca="1">_FV(B40,"P/E",TRUE)</f>
        <v>1120.2860000000001</v>
      </c>
      <c r="I40" s="6">
        <f t="array" aca="1" ref="I40" ca="1">_FV(B40,"Beta")</f>
        <v>3.1943999999999999</v>
      </c>
      <c r="J40" s="3">
        <f t="array" aca="1" ref="J40" ca="1">_FV(B40,"52 week high",TRUE)</f>
        <v>84.64</v>
      </c>
      <c r="K40" s="3">
        <f t="array" aca="1" ref="K40" ca="1">_FV(B40,"52 week low",TRUE)</f>
        <v>25.89</v>
      </c>
      <c r="L40" s="3">
        <f t="array" aca="1" ref="L40" ca="1">_FV(B40,"High")</f>
        <v>63.79</v>
      </c>
      <c r="M40" s="3">
        <f t="array" aca="1" ref="M40" ca="1">_FV(B40,"Low")</f>
        <v>55.84</v>
      </c>
      <c r="N40" s="3">
        <f t="array" aca="1" ref="N40" ca="1">_FV(B40,"Open")</f>
        <v>63.51</v>
      </c>
      <c r="O40" s="3">
        <f t="array" aca="1" ref="O40" ca="1">_FV(B40,"Previous close",TRUE)</f>
        <v>65.66</v>
      </c>
      <c r="P40" s="7">
        <f t="array" aca="1" ref="P40" ca="1">_FV(B40,"Volume")</f>
        <v>31840107</v>
      </c>
      <c r="Q40" s="7">
        <f t="array" aca="1" ref="Q40" ca="1">_FV(B40,"Volume average",TRUE)</f>
        <v>34451097</v>
      </c>
      <c r="R40" s="8">
        <f t="array" aca="1" ref="R40" ca="1">_FV(B40,"Year incorporated",TRUE)</f>
        <v>2020</v>
      </c>
      <c r="S40" s="7">
        <f t="array" aca="1" ref="S40" ca="1">_FV(B40,"Employees")</f>
        <v>1132</v>
      </c>
      <c r="T40" t="str">
        <f t="array" aca="1" ref="T40" ca="1">_FV(B40,"Industry")</f>
        <v>Computers, Phones &amp; Household Electronics</v>
      </c>
      <c r="U40" s="7">
        <f t="array" aca="1" ref="U40" ca="1">_FV(B40,"Market cap",TRUE)</f>
        <v>21194270600</v>
      </c>
      <c r="V40" s="7">
        <f t="array" aca="1" ref="V40" ca="1">_FV(B40,"Shares outstanding",TRUE)</f>
        <v>373270000</v>
      </c>
    </row>
    <row r="41" spans="1:22">
      <c r="A41" t="s">
        <v>447</v>
      </c>
      <c r="B41" t="e" vm="44">
        <v>#VALUE!</v>
      </c>
      <c r="C41" s="2">
        <f t="array" aca="1" ref="C41" ca="1">_FV(B41,"Last trade time",TRUE)</f>
        <v>46178.903505508591</v>
      </c>
      <c r="D41" t="str">
        <f t="array" aca="1" ref="D41" ca="1">_FV(B41,"Currency")</f>
        <v>USD</v>
      </c>
      <c r="E41" s="3">
        <f t="array" aca="1" ref="E41" ca="1">_FV(B41,"Price")</f>
        <v>54.35</v>
      </c>
      <c r="F41" s="4">
        <f t="array" aca="1" ref="F41" ca="1">_FV(B41,"Change (%)",TRUE)</f>
        <v>-0.121403</v>
      </c>
      <c r="G41" s="5">
        <f t="array" aca="1" ref="G41" ca="1">_FV(B41,"Change")</f>
        <v>-7.51</v>
      </c>
      <c r="H41" s="6">
        <f t="array" aca="1" ref="H41" ca="1">_FV(B41,"P/E",TRUE)</f>
        <v>134.85059999999999</v>
      </c>
      <c r="I41" s="6">
        <f t="array" aca="1" ref="I41" ca="1">_FV(B41,"Beta")</f>
        <v>4.2358000000000002</v>
      </c>
      <c r="J41" s="3">
        <f t="array" aca="1" ref="J41" ca="1">_FV(B41,"52 week high",TRUE)</f>
        <v>76.87</v>
      </c>
      <c r="K41" s="3">
        <f t="array" aca="1" ref="K41" ca="1">_FV(B41,"52 week low",TRUE)</f>
        <v>8.82</v>
      </c>
      <c r="L41" s="3">
        <f t="array" aca="1" ref="L41" ca="1">_FV(B41,"High")</f>
        <v>59.31</v>
      </c>
      <c r="M41" s="3">
        <f t="array" aca="1" ref="M41" ca="1">_FV(B41,"Low")</f>
        <v>51.04</v>
      </c>
      <c r="N41" s="3">
        <f t="array" aca="1" ref="N41" ca="1">_FV(B41,"Open")</f>
        <v>59.31</v>
      </c>
      <c r="O41" s="3">
        <f t="array" aca="1" ref="O41" ca="1">_FV(B41,"Previous close",TRUE)</f>
        <v>61.86</v>
      </c>
      <c r="P41" s="7">
        <f t="array" aca="1" ref="P41" ca="1">_FV(B41,"Volume")</f>
        <v>63853899</v>
      </c>
      <c r="Q41" s="7">
        <f t="array" aca="1" ref="Q41" ca="1">_FV(B41,"Volume average",TRUE)</f>
        <v>55882084</v>
      </c>
      <c r="R41" s="8">
        <f t="array" aca="1" ref="R41" ca="1">_FV(B41,"Year incorporated",TRUE)</f>
        <v>2018</v>
      </c>
      <c r="S41" s="7">
        <f t="array" aca="1" ref="S41" ca="1">_FV(B41,"Employees")</f>
        <v>257</v>
      </c>
      <c r="T41" t="str">
        <f t="array" aca="1" ref="T41" ca="1">_FV(B41,"Industry")</f>
        <v>Financial Technology (Fintech) &amp; Infrastructure</v>
      </c>
      <c r="U41" s="7">
        <f t="array" aca="1" ref="U41" ca="1">_FV(B41,"Market cap",TRUE)</f>
        <v>19423532345</v>
      </c>
      <c r="V41" s="7">
        <f t="array" aca="1" ref="V41" ca="1">_FV(B41,"Shares outstanding",TRUE)</f>
        <v>357378700</v>
      </c>
    </row>
    <row r="42" spans="1:22">
      <c r="A42" t="s">
        <v>157</v>
      </c>
      <c r="B42" t="e" vm="45">
        <v>#VALUE!</v>
      </c>
      <c r="C42" s="2" cm="1">
        <f t="array" aca="1" ref="C42" ca="1">_FV(B42,"Last trade time",TRUE)</f>
        <v>46178.90330844844</v>
      </c>
      <c r="D42" t="str" cm="1">
        <f t="array" aca="1" ref="D42" ca="1">_FV(B42,"Currency")</f>
        <v>USD</v>
      </c>
      <c r="E42" s="3" cm="1">
        <f t="array" aca="1" ref="E42" ca="1">_FV(B42,"Price")</f>
        <v>281.58</v>
      </c>
      <c r="F42" s="4" cm="1">
        <f t="array" aca="1" ref="F42" ca="1">_FV(B42,"Change (%)",TRUE)</f>
        <v>-3.5718E-2</v>
      </c>
      <c r="G42" s="5" cm="1">
        <f t="array" aca="1" ref="G42" ca="1">_FV(B42,"Change")</f>
        <v>-10.43</v>
      </c>
      <c r="H42" s="6" t="e" vm="13">
        <f t="array" ref="H42">_FV(B42,"P/E",TRUE)</f>
        <v>#VALUE!</v>
      </c>
      <c r="I42" s="6" cm="1">
        <f t="array" aca="1" ref="I42" ca="1">_FV(B42,"Beta")</f>
        <v>0.99929999999999997</v>
      </c>
      <c r="J42" s="3" cm="1">
        <f t="array" aca="1" ref="J42" ca="1">_FV(B42,"52 week high",TRUE)</f>
        <v>292.875</v>
      </c>
      <c r="K42" s="3" cm="1">
        <f t="array" aca="1" ref="K42" ca="1">_FV(B42,"52 week low",TRUE)</f>
        <v>206.81</v>
      </c>
      <c r="L42" s="3" cm="1">
        <f t="array" aca="1" ref="L42" ca="1">_FV(B42,"High")</f>
        <v>289.39499999999998</v>
      </c>
      <c r="M42" s="3" cm="1">
        <f t="array" aca="1" ref="M42" ca="1">_FV(B42,"Low")</f>
        <v>280.14999999999998</v>
      </c>
      <c r="N42" s="3" cm="1">
        <f t="array" aca="1" ref="N42" ca="1">_FV(B42,"Open")</f>
        <v>289.10000000000002</v>
      </c>
      <c r="O42" s="3" cm="1">
        <f t="array" aca="1" ref="O42" ca="1">_FV(B42,"Previous close",TRUE)</f>
        <v>292.01</v>
      </c>
      <c r="P42" s="7" cm="1">
        <f t="array" aca="1" ref="P42" ca="1">_FV(B42,"Volume")</f>
        <v>35684498</v>
      </c>
      <c r="Q42" s="7" cm="1">
        <f t="array" aca="1" ref="Q42" ca="1">_FV(B42,"Volume average",TRUE)</f>
        <v>25877273</v>
      </c>
      <c r="R42" s="8" t="e" cm="1" vm="14">
        <f t="array" ref="R42">_FV(B42,"Year incorporated",TRUE)</f>
        <v>#VALUE!</v>
      </c>
      <c r="S42" s="7" t="e" cm="1" vm="15">
        <f t="array" ref="S42">_FV(B42,"Employees")</f>
        <v>#VALUE!</v>
      </c>
      <c r="T42" t="e" cm="1" vm="16">
        <f t="array" ref="T42">_FV(B42,"Industry")</f>
        <v>#VALUE!</v>
      </c>
      <c r="U42" s="7" cm="1">
        <f t="array" aca="1" ref="U42" ca="1">_FV(B42,"Market cap",TRUE)</f>
        <v>80933362748.720001</v>
      </c>
      <c r="V42" s="7" t="e" cm="1" vm="17">
        <f t="array" ref="V42">_FV(B42,"Shares outstanding",TRUE)</f>
        <v>#VALUE!</v>
      </c>
    </row>
    <row r="43" spans="1:22">
      <c r="A43" t="s">
        <v>303</v>
      </c>
      <c r="B43" t="e" vm="46">
        <v>#VALUE!</v>
      </c>
      <c r="C43" s="2" cm="1">
        <f t="array" aca="1" ref="C43" ca="1">_FV(B43,"Last trade time",TRUE)</f>
        <v>46178.903519305466</v>
      </c>
      <c r="D43" t="str" cm="1">
        <f t="array" aca="1" ref="D43" ca="1">_FV(B43,"Currency")</f>
        <v>USD</v>
      </c>
      <c r="E43" s="3" cm="1">
        <f t="array" aca="1" ref="E43" ca="1">_FV(B43,"Price")</f>
        <v>1929.2</v>
      </c>
      <c r="F43" s="4" cm="1">
        <f t="array" aca="1" ref="F43" ca="1">_FV(B43,"Change (%)",TRUE)</f>
        <v>-9.4740000000000005E-2</v>
      </c>
      <c r="G43" s="5" cm="1">
        <f t="array" aca="1" ref="G43" ca="1">_FV(B43,"Change")</f>
        <v>-201.9</v>
      </c>
      <c r="H43" s="6" cm="1">
        <f t="array" aca="1" ref="H43" ca="1">_FV(B43,"P/E",TRUE)</f>
        <v>603.36530000000005</v>
      </c>
      <c r="I43" s="6" cm="1">
        <f t="array" aca="1" ref="I43" ca="1">_FV(B43,"Beta")</f>
        <v>1.4964999999999999</v>
      </c>
      <c r="J43" s="3" cm="1">
        <f t="array" aca="1" ref="J43" ca="1">_FV(B43,"52 week high",TRUE)</f>
        <v>2156.69</v>
      </c>
      <c r="K43" s="3" cm="1">
        <f t="array" aca="1" ref="K43" ca="1">_FV(B43,"52 week low",TRUE)</f>
        <v>777.42</v>
      </c>
      <c r="L43" s="3" cm="1">
        <f t="array" aca="1" ref="L43" ca="1">_FV(B43,"High")</f>
        <v>2054.96</v>
      </c>
      <c r="M43" s="3" cm="1">
        <f t="array" aca="1" ref="M43" ca="1">_FV(B43,"Low")</f>
        <v>1927.73</v>
      </c>
      <c r="N43" s="3" cm="1">
        <f t="array" aca="1" ref="N43" ca="1">_FV(B43,"Open")</f>
        <v>2043.04</v>
      </c>
      <c r="O43" s="3" cm="1">
        <f t="array" aca="1" ref="O43" ca="1">_FV(B43,"Previous close",TRUE)</f>
        <v>2131.1</v>
      </c>
      <c r="P43" s="7" cm="1">
        <f t="array" aca="1" ref="P43" ca="1">_FV(B43,"Volume")</f>
        <v>1857490</v>
      </c>
      <c r="Q43" s="7" cm="1">
        <f t="array" aca="1" ref="Q43" ca="1">_FV(B43,"Volume average",TRUE)</f>
        <v>1031830</v>
      </c>
      <c r="R43" s="8" cm="1">
        <f t="array" aca="1" ref="R43" ca="1">_FV(B43,"Year incorporated",TRUE)</f>
        <v>1975</v>
      </c>
      <c r="S43" s="7" cm="1">
        <f t="array" aca="1" ref="S43" ca="1">_FV(B43,"Employees")</f>
        <v>15000</v>
      </c>
      <c r="T43" t="str" cm="1">
        <f t="array" aca="1" ref="T43" ca="1">_FV(B43,"Industry")</f>
        <v>Semiconductors &amp; Semiconductor Equipment</v>
      </c>
      <c r="U43" s="7" cm="1">
        <f t="array" aca="1" ref="U43" ca="1">_FV(B43,"Market cap",TRUE)</f>
        <v>252006573000</v>
      </c>
      <c r="V43" s="7" cm="1">
        <f t="array" aca="1" ref="V43" ca="1">_FV(B43,"Shares outstanding",TRUE)</f>
        <v>130627500</v>
      </c>
    </row>
    <row r="44" spans="1:22">
      <c r="A44" t="s">
        <v>37</v>
      </c>
      <c r="B44" t="e" vm="47">
        <v>#VALUE!</v>
      </c>
      <c r="C44" s="2">
        <f t="array" aca="1" ref="C44" ca="1">_FV(B44,"Last trade time",TRUE)</f>
        <v>46178.903096562499</v>
      </c>
      <c r="D44" t="str">
        <f t="array" aca="1" ref="D44" ca="1">_FV(B44,"Currency")</f>
        <v>USD</v>
      </c>
      <c r="E44" s="3">
        <f t="array" aca="1" ref="E44" ca="1">_FV(B44,"Price")</f>
        <v>79.5</v>
      </c>
      <c r="F44" s="4">
        <f t="array" aca="1" ref="F44" ca="1">_FV(B44,"Change (%)",TRUE)</f>
        <v>3.4887000000000001E-2</v>
      </c>
      <c r="G44" s="5">
        <f t="array" aca="1" ref="G44" ca="1">_FV(B44,"Change")</f>
        <v>2.68</v>
      </c>
      <c r="H44" s="6">
        <f t="array" aca="1" ref="H44" ca="1">_FV(B44,"P/E",TRUE)</f>
        <v>24.184100000000001</v>
      </c>
      <c r="I44" s="6">
        <f t="array" aca="1" ref="I44" ca="1">_FV(B44,"Beta")</f>
        <v>0.35670000000000002</v>
      </c>
      <c r="J44" s="3">
        <f t="array" aca="1" ref="J44" ca="1">_FV(B44,"52 week high",TRUE)</f>
        <v>82.663499999999999</v>
      </c>
      <c r="K44" s="3">
        <f t="array" aca="1" ref="K44" ca="1">_FV(B44,"52 week low",TRUE)</f>
        <v>65.353800000000007</v>
      </c>
      <c r="L44" s="3">
        <f t="array" aca="1" ref="L44" ca="1">_FV(B44,"High")</f>
        <v>80.7393</v>
      </c>
      <c r="M44" s="3">
        <f t="array" aca="1" ref="M44" ca="1">_FV(B44,"Low")</f>
        <v>77.48</v>
      </c>
      <c r="N44" s="3">
        <f t="array" aca="1" ref="N44" ca="1">_FV(B44,"Open")</f>
        <v>77.510000000000005</v>
      </c>
      <c r="O44" s="3">
        <f t="array" aca="1" ref="O44" ca="1">_FV(B44,"Previous close",TRUE)</f>
        <v>76.819999999999993</v>
      </c>
      <c r="P44" s="7">
        <f t="array" aca="1" ref="P44" ca="1">_FV(B44,"Volume")</f>
        <v>25696678</v>
      </c>
      <c r="Q44" s="7">
        <f t="array" aca="1" ref="Q44" ca="1">_FV(B44,"Volume average",TRUE)</f>
        <v>14777230</v>
      </c>
      <c r="R44" s="8">
        <f t="array" aca="1" ref="R44" ca="1">_FV(B44,"Year incorporated",TRUE)</f>
        <v>1919</v>
      </c>
      <c r="S44" s="7">
        <f t="array" aca="1" ref="S44" ca="1">_FV(B44,"Employees")</f>
        <v>65900</v>
      </c>
      <c r="T44" t="str">
        <f t="array" aca="1" ref="T44" ca="1">_FV(B44,"Industry")</f>
        <v>Beverages</v>
      </c>
      <c r="U44" s="7">
        <f t="array" aca="1" ref="U44" ca="1">_FV(B44,"Market cap",TRUE)</f>
        <v>342047319000</v>
      </c>
      <c r="V44" s="7">
        <f t="array" aca="1" ref="V44" ca="1">_FV(B44,"Shares outstanding",TRUE)</f>
        <v>4302482000</v>
      </c>
    </row>
    <row r="45" spans="1:22">
      <c r="A45" t="s">
        <v>61</v>
      </c>
      <c r="B45" t="e" vm="48">
        <v>#VALUE!</v>
      </c>
      <c r="C45" s="2">
        <f t="array" aca="1" ref="C45" ca="1">_FV(B45,"Last trade time",TRUE)</f>
        <v>46178.902286168748</v>
      </c>
      <c r="D45" t="str">
        <f t="array" aca="1" ref="D45" ca="1">_FV(B45,"Currency")</f>
        <v>USD</v>
      </c>
      <c r="E45" s="3">
        <f t="array" aca="1" ref="E45" ca="1">_FV(B45,"Price")</f>
        <v>14.93</v>
      </c>
      <c r="F45" s="4">
        <f t="array" aca="1" ref="F45" ca="1">_FV(B45,"Change (%)",TRUE)</f>
        <v>-0.152667</v>
      </c>
      <c r="G45" s="5">
        <f t="array" aca="1" ref="G45" ca="1">_FV(B45,"Change")</f>
        <v>-2.69</v>
      </c>
      <c r="H45" s="6">
        <f t="array" aca="1" ref="H45" ca="1">_FV(B45,"P/E",TRUE)</f>
        <v>0</v>
      </c>
      <c r="I45" s="6">
        <f t="array" aca="1" ref="I45" ca="1">_FV(B45,"Beta")</f>
        <v>1.3332999999999999</v>
      </c>
      <c r="J45" s="3">
        <f t="array" aca="1" ref="J45" ca="1">_FV(B45,"52 week high",TRUE)</f>
        <v>18.940000000000001</v>
      </c>
      <c r="K45" s="3">
        <f t="array" aca="1" ref="K45" ca="1">_FV(B45,"52 week low",TRUE)</f>
        <v>2.75</v>
      </c>
      <c r="L45" s="3">
        <f t="array" aca="1" ref="L45" ca="1">_FV(B45,"High")</f>
        <v>16.91</v>
      </c>
      <c r="M45" s="3">
        <f t="array" aca="1" ref="M45" ca="1">_FV(B45,"Low")</f>
        <v>14.79</v>
      </c>
      <c r="N45" s="3">
        <f t="array" aca="1" ref="N45" ca="1">_FV(B45,"Open")</f>
        <v>16.649999999999999</v>
      </c>
      <c r="O45" s="3">
        <f t="array" aca="1" ref="O45" ca="1">_FV(B45,"Previous close",TRUE)</f>
        <v>17.62</v>
      </c>
      <c r="P45" s="7">
        <f t="array" aca="1" ref="P45" ca="1">_FV(B45,"Volume")</f>
        <v>4709234</v>
      </c>
      <c r="Q45" s="7">
        <f t="array" aca="1" ref="Q45" ca="1">_FV(B45,"Volume average",TRUE)</f>
        <v>4157456</v>
      </c>
      <c r="R45" s="8">
        <f t="array" aca="1" ref="R45" ca="1">_FV(B45,"Year incorporated",TRUE)</f>
        <v>1992</v>
      </c>
      <c r="S45" s="7">
        <f t="array" aca="1" ref="S45" ca="1">_FV(B45,"Employees")</f>
        <v>345</v>
      </c>
      <c r="T45" t="str">
        <f t="array" aca="1" ref="T45" ca="1">_FV(B45,"Industry")</f>
        <v>Computers, Phones &amp; Household Electronics</v>
      </c>
      <c r="U45" s="7">
        <f t="array" aca="1" ref="U45" ca="1">_FV(B45,"Market cap",TRUE)</f>
        <v>990766893</v>
      </c>
      <c r="V45" s="7">
        <f t="array" aca="1" ref="V45" ca="1">_FV(B45,"Shares outstanding",TRUE)</f>
        <v>66360810</v>
      </c>
    </row>
    <row r="46" spans="1:22">
      <c r="A46" t="s">
        <v>76</v>
      </c>
      <c r="B46" t="e" vm="49">
        <v>#VALUE!</v>
      </c>
      <c r="C46" s="2">
        <f t="array" aca="1" ref="C46" ca="1">_FV(B46,"Last trade time",TRUE)</f>
        <v>46178.903039825782</v>
      </c>
      <c r="D46" t="str">
        <f t="array" aca="1" ref="D46" ca="1">_FV(B46,"Currency")</f>
        <v>USD</v>
      </c>
      <c r="E46" s="3">
        <f t="array" aca="1" ref="E46" ca="1">_FV(B46,"Price")</f>
        <v>10.14</v>
      </c>
      <c r="F46" s="4">
        <f t="array" aca="1" ref="F46" ca="1">_FV(B46,"Change (%)",TRUE)</f>
        <v>-0.167488</v>
      </c>
      <c r="G46" s="5">
        <f t="array" aca="1" ref="G46" ca="1">_FV(B46,"Change")</f>
        <v>-2.04</v>
      </c>
      <c r="H46" s="6">
        <f t="array" aca="1" ref="H46" ca="1">_FV(B46,"P/E",TRUE)</f>
        <v>0</v>
      </c>
      <c r="I46" s="6">
        <f t="array" aca="1" ref="I46" ca="1">_FV(B46,"Beta")</f>
        <v>2.3871000000000002</v>
      </c>
      <c r="J46" s="3">
        <f t="array" aca="1" ref="J46" ca="1">_FV(B46,"52 week high",TRUE)</f>
        <v>18.709</v>
      </c>
      <c r="K46" s="3">
        <f t="array" aca="1" ref="K46" ca="1">_FV(B46,"52 week low",TRUE)</f>
        <v>1.04</v>
      </c>
      <c r="L46" s="3">
        <f t="array" aca="1" ref="L46" ca="1">_FV(B46,"High")</f>
        <v>11.75</v>
      </c>
      <c r="M46" s="3">
        <f t="array" aca="1" ref="M46" ca="1">_FV(B46,"Low")</f>
        <v>10.119999999999999</v>
      </c>
      <c r="N46" s="3">
        <f t="array" aca="1" ref="N46" ca="1">_FV(B46,"Open")</f>
        <v>11.7</v>
      </c>
      <c r="O46" s="3">
        <f t="array" aca="1" ref="O46" ca="1">_FV(B46,"Previous close",TRUE)</f>
        <v>12.18</v>
      </c>
      <c r="P46" s="7">
        <f t="array" aca="1" ref="P46" ca="1">_FV(B46,"Volume")</f>
        <v>5458829</v>
      </c>
      <c r="Q46" s="7">
        <f t="array" aca="1" ref="Q46" ca="1">_FV(B46,"Volume average",TRUE)</f>
        <v>9037233</v>
      </c>
      <c r="R46" s="8">
        <f t="array" aca="1" ref="R46" ca="1">_FV(B46,"Year incorporated",TRUE)</f>
        <v>1997</v>
      </c>
      <c r="S46" s="7">
        <f t="array" aca="1" ref="S46" ca="1">_FV(B46,"Employees")</f>
        <v>34</v>
      </c>
      <c r="T46" t="str">
        <f t="array" aca="1" ref="T46" ca="1">_FV(B46,"Industry")</f>
        <v>Electronic Equipment &amp; Parts</v>
      </c>
      <c r="U46" s="7">
        <f t="array" aca="1" ref="U46" ca="1">_FV(B46,"Market cap",TRUE)</f>
        <v>1562367144</v>
      </c>
      <c r="V46" s="7">
        <f t="array" aca="1" ref="V46" ca="1">_FV(B46,"Shares outstanding",TRUE)</f>
        <v>154079600</v>
      </c>
    </row>
    <row r="47" spans="1:22">
      <c r="A47" t="s">
        <v>612</v>
      </c>
      <c r="B47" t="e" vm="50">
        <v>#VALUE!</v>
      </c>
      <c r="C47" s="2" cm="1">
        <f t="array" aca="1" ref="C47" ca="1">_FV(B47,"Last trade time",TRUE)</f>
        <v>46178.903093923436</v>
      </c>
      <c r="D47" t="str" cm="1">
        <f t="array" aca="1" ref="D47" ca="1">_FV(B47,"Currency")</f>
        <v>USD</v>
      </c>
      <c r="E47" s="3" cm="1">
        <f t="array" aca="1" ref="E47" ca="1">_FV(B47,"Price")</f>
        <v>279.77499999999998</v>
      </c>
      <c r="F47" s="4" cm="1">
        <f t="array" aca="1" ref="F47" ca="1">_FV(B47,"Change (%)",TRUE)</f>
        <v>2.5869E-2</v>
      </c>
      <c r="G47" s="5" cm="1">
        <f t="array" aca="1" ref="G47" ca="1">_FV(B47,"Change")</f>
        <v>7.0549999999999997</v>
      </c>
      <c r="H47" s="6" cm="1">
        <f t="array" aca="1" ref="H47" ca="1">_FV(B47,"P/E",TRUE)</f>
        <v>22.479900000000001</v>
      </c>
      <c r="I47" s="6" cm="1">
        <f t="array" aca="1" ref="I47" ca="1">_FV(B47,"Beta")</f>
        <v>0.41560000000000002</v>
      </c>
      <c r="J47" s="3" cm="1">
        <f t="array" aca="1" ref="J47" ca="1">_FV(B47,"52 week high",TRUE)</f>
        <v>341.75</v>
      </c>
      <c r="K47" s="3" cm="1">
        <f t="array" aca="1" ref="K47" ca="1">_FV(B47,"52 week low",TRUE)</f>
        <v>271.85000000000002</v>
      </c>
      <c r="L47" s="3" cm="1">
        <f t="array" aca="1" ref="L47" ca="1">_FV(B47,"High")</f>
        <v>280.76240000000001</v>
      </c>
      <c r="M47" s="3" cm="1">
        <f t="array" aca="1" ref="M47" ca="1">_FV(B47,"Low")</f>
        <v>274.39999999999998</v>
      </c>
      <c r="N47" s="3" cm="1">
        <f t="array" aca="1" ref="N47" ca="1">_FV(B47,"Open")</f>
        <v>274.39999999999998</v>
      </c>
      <c r="O47" s="3" cm="1">
        <f t="array" aca="1" ref="O47" ca="1">_FV(B47,"Previous close",TRUE)</f>
        <v>272.72000000000003</v>
      </c>
      <c r="P47" s="7" cm="1">
        <f t="array" aca="1" ref="P47" ca="1">_FV(B47,"Volume")</f>
        <v>5416099</v>
      </c>
      <c r="Q47" s="7" cm="1">
        <f t="array" aca="1" ref="Q47" ca="1">_FV(B47,"Volume average",TRUE)</f>
        <v>4352026</v>
      </c>
      <c r="R47" s="8" cm="1">
        <f t="array" aca="1" ref="R47" ca="1">_FV(B47,"Year incorporated",TRUE)</f>
        <v>1964</v>
      </c>
      <c r="S47" s="7" cm="1">
        <f t="array" aca="1" ref="S47" ca="1">_FV(B47,"Employees")</f>
        <v>150000</v>
      </c>
      <c r="T47" t="str" cm="1">
        <f t="array" aca="1" ref="T47" ca="1">_FV(B47,"Industry")</f>
        <v>Hotels &amp; Entertainment Services</v>
      </c>
      <c r="U47" s="7" cm="1">
        <f t="array" aca="1" ref="U47" ca="1">_FV(B47,"Market cap",TRUE)</f>
        <v>198781788172</v>
      </c>
      <c r="V47" s="7" cm="1">
        <f t="array" aca="1" ref="V47" ca="1">_FV(B47,"Shares outstanding",TRUE)</f>
        <v>710505900</v>
      </c>
    </row>
    <row r="48" spans="1:22">
      <c r="A48" t="s">
        <v>138</v>
      </c>
      <c r="B48" t="e" vm="51">
        <v>#VALUE!</v>
      </c>
      <c r="C48" s="2" cm="1">
        <f t="array" aca="1" ref="C48" ca="1">_FV(B48,"Last trade time",TRUE)</f>
        <v>46178.895453796096</v>
      </c>
      <c r="D48" t="str" cm="1">
        <f t="array" aca="1" ref="D48" ca="1">_FV(B48,"Currency")</f>
        <v>USD</v>
      </c>
      <c r="E48" s="3" cm="1">
        <f t="array" aca="1" ref="E48" ca="1">_FV(B48,"Price")</f>
        <v>350.74</v>
      </c>
      <c r="F48" s="4" cm="1">
        <f t="array" aca="1" ref="F48" ca="1">_FV(B48,"Change (%)",TRUE)</f>
        <v>-7.7436999999999992E-2</v>
      </c>
      <c r="G48" s="5" cm="1">
        <f t="array" aca="1" ref="G48" ca="1">_FV(B48,"Change")</f>
        <v>-29.44</v>
      </c>
      <c r="H48" s="6" cm="1">
        <f t="array" aca="1" ref="H48" ca="1">_FV(B48,"P/E",TRUE)</f>
        <v>0</v>
      </c>
      <c r="I48" s="6" cm="1">
        <f t="array" aca="1" ref="I48" ca="1">_FV(B48,"Beta")</f>
        <v>1.5414000000000001</v>
      </c>
      <c r="J48" s="3" cm="1">
        <f t="array" aca="1" ref="J48" ca="1">_FV(B48,"52 week high",TRUE)</f>
        <v>444.72</v>
      </c>
      <c r="K48" s="3" cm="1">
        <f t="array" aca="1" ref="K48" ca="1">_FV(B48,"52 week low",TRUE)</f>
        <v>196</v>
      </c>
      <c r="L48" s="3" cm="1">
        <f t="array" aca="1" ref="L48" ca="1">_FV(B48,"High")</f>
        <v>381</v>
      </c>
      <c r="M48" s="3" cm="1">
        <f t="array" aca="1" ref="M48" ca="1">_FV(B48,"Low")</f>
        <v>350.11</v>
      </c>
      <c r="N48" s="3" cm="1">
        <f t="array" aca="1" ref="N48" ca="1">_FV(B48,"Open")</f>
        <v>375.09</v>
      </c>
      <c r="O48" s="3" cm="1">
        <f t="array" aca="1" ref="O48" ca="1">_FV(B48,"Previous close",TRUE)</f>
        <v>380.18</v>
      </c>
      <c r="P48" s="7" cm="1">
        <f t="array" aca="1" ref="P48" ca="1">_FV(B48,"Volume")</f>
        <v>1780269</v>
      </c>
      <c r="Q48" s="7" cm="1">
        <f t="array" aca="1" ref="Q48" ca="1">_FV(B48,"Volume average",TRUE)</f>
        <v>2746215</v>
      </c>
      <c r="R48" s="8" cm="1">
        <f t="array" aca="1" ref="R48" ca="1">_FV(B48,"Year incorporated",TRUE)</f>
        <v>2007</v>
      </c>
      <c r="S48" s="7" cm="1">
        <f t="array" aca="1" ref="S48" ca="1">_FV(B48,"Employees")</f>
        <v>5636</v>
      </c>
      <c r="T48" t="str" cm="1">
        <f t="array" aca="1" ref="T48" ca="1">_FV(B48,"Industry")</f>
        <v>Software &amp; IT Services</v>
      </c>
      <c r="U48" s="7" cm="1">
        <f t="array" aca="1" ref="U48" ca="1">_FV(B48,"Market cap",TRUE)</f>
        <v>28210695128</v>
      </c>
      <c r="V48" s="7" cm="1">
        <f t="array" aca="1" ref="V48" ca="1">_FV(B48,"Shares outstanding",TRUE)</f>
        <v>80431930</v>
      </c>
    </row>
    <row r="49" spans="1:22">
      <c r="A49" t="s">
        <v>41</v>
      </c>
      <c r="B49" t="e" vm="52">
        <v>#VALUE!</v>
      </c>
      <c r="C49" s="2">
        <f t="array" aca="1" ref="C49" ca="1">_FV(B49,"Last trade time",TRUE)</f>
        <v>46178.903478969529</v>
      </c>
      <c r="D49" t="str">
        <f t="array" aca="1" ref="D49" ca="1">_FV(B49,"Currency")</f>
        <v>USD</v>
      </c>
      <c r="E49" s="3">
        <f t="array" aca="1" ref="E49" ca="1">_FV(B49,"Price")</f>
        <v>593</v>
      </c>
      <c r="F49" s="4">
        <f t="array" aca="1" ref="F49" ca="1">_FV(B49,"Change (%)",TRUE)</f>
        <v>-5.5084999999999995E-2</v>
      </c>
      <c r="G49" s="5">
        <f t="array" aca="1" ref="G49" ca="1">_FV(B49,"Change")</f>
        <v>-34.57</v>
      </c>
      <c r="H49" s="6">
        <f t="array" aca="1" ref="H49" ca="1">_FV(B49,"P/E",TRUE)</f>
        <v>19.0352</v>
      </c>
      <c r="I49" s="6">
        <f t="array" aca="1" ref="I49" ca="1">_FV(B49,"Beta")</f>
        <v>1.2296</v>
      </c>
      <c r="J49" s="3">
        <f t="array" aca="1" ref="J49" ca="1">_FV(B49,"52 week high",TRUE)</f>
        <v>796.25</v>
      </c>
      <c r="K49" s="3">
        <f t="array" aca="1" ref="K49" ca="1">_FV(B49,"52 week low",TRUE)</f>
        <v>520.26</v>
      </c>
      <c r="L49" s="3">
        <f t="array" aca="1" ref="L49" ca="1">_FV(B49,"High")</f>
        <v>629.14499999999998</v>
      </c>
      <c r="M49" s="3">
        <f t="array" aca="1" ref="M49" ca="1">_FV(B49,"Low")</f>
        <v>582.91</v>
      </c>
      <c r="N49" s="3">
        <f t="array" aca="1" ref="N49" ca="1">_FV(B49,"Open")</f>
        <v>623.46</v>
      </c>
      <c r="O49" s="3">
        <f t="array" aca="1" ref="O49" ca="1">_FV(B49,"Previous close",TRUE)</f>
        <v>627.57000000000005</v>
      </c>
      <c r="P49" s="7">
        <f t="array" aca="1" ref="P49" ca="1">_FV(B49,"Volume")</f>
        <v>29619204</v>
      </c>
      <c r="Q49" s="7">
        <f t="array" aca="1" ref="Q49" ca="1">_FV(B49,"Volume average",TRUE)</f>
        <v>17801115</v>
      </c>
      <c r="R49" s="8">
        <f t="array" aca="1" ref="R49" ca="1">_FV(B49,"Year incorporated",TRUE)</f>
        <v>2004</v>
      </c>
      <c r="S49" s="7">
        <f t="array" aca="1" ref="S49" ca="1">_FV(B49,"Employees")</f>
        <v>77986</v>
      </c>
      <c r="T49" t="str">
        <f t="array" aca="1" ref="T49" ca="1">_FV(B49,"Industry")</f>
        <v>Software &amp; IT Services</v>
      </c>
      <c r="U49" s="7">
        <f t="array" aca="1" ref="U49" ca="1">_FV(B49,"Market cap",TRUE)</f>
        <v>1505284839000</v>
      </c>
      <c r="V49" s="7">
        <f t="array" aca="1" ref="V49" ca="1">_FV(B49,"Shares outstanding",TRUE)</f>
        <v>2538423000</v>
      </c>
    </row>
    <row r="50" spans="1:22">
      <c r="A50" t="s">
        <v>48</v>
      </c>
      <c r="B50" t="e" vm="53">
        <v>#VALUE!</v>
      </c>
      <c r="C50" s="2">
        <f t="array" aca="1" ref="C50" ca="1">_FV(B50,"Last trade time",TRUE)</f>
        <v>46178.903561006249</v>
      </c>
      <c r="D50" t="str">
        <f t="array" aca="1" ref="D50" ca="1">_FV(B50,"Currency")</f>
        <v>USD</v>
      </c>
      <c r="E50" s="3">
        <f t="array" aca="1" ref="E50" ca="1">_FV(B50,"Price")</f>
        <v>263.47000000000003</v>
      </c>
      <c r="F50" s="4">
        <f t="array" aca="1" ref="F50" ca="1">_FV(B50,"Change (%)",TRUE)</f>
        <v>-0.16736699999999999</v>
      </c>
      <c r="G50" s="5">
        <f t="array" aca="1" ref="G50" ca="1">_FV(B50,"Change")</f>
        <v>-52.96</v>
      </c>
      <c r="H50" s="6">
        <f t="array" aca="1" ref="H50" ca="1">_FV(B50,"P/E",TRUE)</f>
        <v>108.3839</v>
      </c>
      <c r="I50" s="6">
        <f t="array" aca="1" ref="I50" ca="1">_FV(B50,"Beta")</f>
        <v>2.2330999999999999</v>
      </c>
      <c r="J50" s="3">
        <f t="array" aca="1" ref="J50" ca="1">_FV(B50,"52 week high",TRUE)</f>
        <v>324.2</v>
      </c>
      <c r="K50" s="3">
        <f t="array" aca="1" ref="K50" ca="1">_FV(B50,"52 week low",TRUE)</f>
        <v>61.44</v>
      </c>
      <c r="L50" s="3">
        <f t="array" aca="1" ref="L50" ca="1">_FV(B50,"High")</f>
        <v>300.72430000000003</v>
      </c>
      <c r="M50" s="3">
        <f t="array" aca="1" ref="M50" ca="1">_FV(B50,"Low")</f>
        <v>261.39</v>
      </c>
      <c r="N50" s="3">
        <f t="array" aca="1" ref="N50" ca="1">_FV(B50,"Open")</f>
        <v>299.5</v>
      </c>
      <c r="O50" s="3">
        <f t="array" aca="1" ref="O50" ca="1">_FV(B50,"Previous close",TRUE)</f>
        <v>316.43</v>
      </c>
      <c r="P50" s="7">
        <f t="array" aca="1" ref="P50" ca="1">_FV(B50,"Volume")</f>
        <v>91834421</v>
      </c>
      <c r="Q50" s="7">
        <f t="array" aca="1" ref="Q50" ca="1">_FV(B50,"Volume average",TRUE)</f>
        <v>36932388</v>
      </c>
      <c r="R50" s="8">
        <f t="array" aca="1" ref="R50" ca="1">_FV(B50,"Year incorporated",TRUE)</f>
        <v>2020</v>
      </c>
      <c r="S50" s="7">
        <f t="array" aca="1" ref="S50" ca="1">_FV(B50,"Employees")</f>
        <v>7480</v>
      </c>
      <c r="T50" t="str">
        <f t="array" aca="1" ref="T50" ca="1">_FV(B50,"Industry")</f>
        <v>Semiconductors &amp; Semiconductor Equipment</v>
      </c>
      <c r="U50" s="7">
        <f t="array" aca="1" ref="U50" ca="1">_FV(B50,"Market cap",TRUE)</f>
        <v>230483556000</v>
      </c>
      <c r="V50" s="7">
        <f t="array" aca="1" ref="V50" ca="1">_FV(B50,"Shares outstanding",TRUE)</f>
        <v>874800000</v>
      </c>
    </row>
    <row r="51" spans="1:22">
      <c r="A51" t="s">
        <v>23</v>
      </c>
      <c r="B51" t="e" vm="54">
        <v>#VALUE!</v>
      </c>
      <c r="C51" s="2">
        <f t="array" aca="1" ref="C51" ca="1">_FV(B51,"Last trade time",TRUE)</f>
        <v>46178.90349166641</v>
      </c>
      <c r="D51" t="str">
        <f t="array" aca="1" ref="D51" ca="1">_FV(B51,"Currency")</f>
        <v>USD</v>
      </c>
      <c r="E51" s="3">
        <f t="array" aca="1" ref="E51" ca="1">_FV(B51,"Price")</f>
        <v>416.67</v>
      </c>
      <c r="F51" s="4">
        <f t="array" aca="1" ref="F51" ca="1">_FV(B51,"Change (%)",TRUE)</f>
        <v>-2.6585999999999999E-2</v>
      </c>
      <c r="G51" s="5">
        <f t="array" aca="1" ref="G51" ca="1">_FV(B51,"Change")</f>
        <v>-11.38</v>
      </c>
      <c r="H51" s="6">
        <f t="array" aca="1" ref="H51" ca="1">_FV(B51,"P/E",TRUE)</f>
        <v>25.494900000000001</v>
      </c>
      <c r="I51" s="6">
        <f t="array" aca="1" ref="I51" ca="1">_FV(B51,"Beta")</f>
        <v>1.1068</v>
      </c>
      <c r="J51" s="3">
        <f t="array" aca="1" ref="J51" ca="1">_FV(B51,"52 week high",TRUE)</f>
        <v>555.45000000000005</v>
      </c>
      <c r="K51" s="3">
        <f t="array" aca="1" ref="K51" ca="1">_FV(B51,"52 week low",TRUE)</f>
        <v>356.28</v>
      </c>
      <c r="L51" s="3">
        <f t="array" aca="1" ref="L51" ca="1">_FV(B51,"High")</f>
        <v>429.47</v>
      </c>
      <c r="M51" s="3">
        <f t="array" aca="1" ref="M51" ca="1">_FV(B51,"Low")</f>
        <v>414.4</v>
      </c>
      <c r="N51" s="3">
        <f t="array" aca="1" ref="N51" ca="1">_FV(B51,"Open")</f>
        <v>428.34</v>
      </c>
      <c r="O51" s="3">
        <f t="array" aca="1" ref="O51" ca="1">_FV(B51,"Previous close",TRUE)</f>
        <v>428.05</v>
      </c>
      <c r="P51" s="7">
        <f t="array" aca="1" ref="P51" ca="1">_FV(B51,"Volume")</f>
        <v>34602619</v>
      </c>
      <c r="Q51" s="7">
        <f t="array" aca="1" ref="Q51" ca="1">_FV(B51,"Volume average",TRUE)</f>
        <v>37058663</v>
      </c>
      <c r="R51" s="8">
        <f t="array" aca="1" ref="R51" ca="1">_FV(B51,"Year incorporated",TRUE)</f>
        <v>1993</v>
      </c>
      <c r="S51" s="7">
        <f t="array" aca="1" ref="S51" ca="1">_FV(B51,"Employees")</f>
        <v>228000</v>
      </c>
      <c r="T51" t="str">
        <f t="array" aca="1" ref="T51" ca="1">_FV(B51,"Industry")</f>
        <v>Software &amp; IT Services</v>
      </c>
      <c r="U51" s="7">
        <f t="array" aca="1" ref="U51" ca="1">_FV(B51,"Market cap",TRUE)</f>
        <v>3095206011450</v>
      </c>
      <c r="V51" s="7">
        <f t="array" aca="1" ref="V51" ca="1">_FV(B51,"Shares outstanding",TRUE)</f>
        <v>7428435000</v>
      </c>
    </row>
    <row r="52" spans="1:22">
      <c r="A52" t="s">
        <v>448</v>
      </c>
      <c r="B52" t="e" vm="55">
        <v>#VALUE!</v>
      </c>
      <c r="C52" s="2">
        <f t="array" aca="1" ref="C52" ca="1">_FV(B52,"Last trade time",TRUE)</f>
        <v>46178.903323182814</v>
      </c>
      <c r="D52" t="str">
        <f t="array" aca="1" ref="D52" ca="1">_FV(B52,"Currency")</f>
        <v>USD</v>
      </c>
      <c r="E52" s="3">
        <f t="array" aca="1" ref="E52" ca="1">_FV(B52,"Price")</f>
        <v>120.44</v>
      </c>
      <c r="F52" s="4">
        <f t="array" aca="1" ref="F52" ca="1">_FV(B52,"Change (%)",TRUE)</f>
        <v>-6.9027000000000005E-2</v>
      </c>
      <c r="G52" s="5">
        <f t="array" aca="1" ref="G52" ca="1">_FV(B52,"Change")</f>
        <v>-8.93</v>
      </c>
      <c r="H52" s="6">
        <f t="array" aca="1" ref="H52" ca="1">_FV(B52,"P/E",TRUE)</f>
        <v>0</v>
      </c>
      <c r="I52" s="6">
        <f t="array" aca="1" ref="I52" ca="1">_FV(B52,"Beta")</f>
        <v>3.4868000000000001</v>
      </c>
      <c r="J52" s="3">
        <f t="array" aca="1" ref="J52" ca="1">_FV(B52,"52 week high",TRUE)</f>
        <v>457.22</v>
      </c>
      <c r="K52" s="3">
        <f t="array" aca="1" ref="K52" ca="1">_FV(B52,"52 week low",TRUE)</f>
        <v>104.16500000000001</v>
      </c>
      <c r="L52" s="3">
        <f t="array" aca="1" ref="L52" ca="1">_FV(B52,"High")</f>
        <v>125.2953</v>
      </c>
      <c r="M52" s="3">
        <f t="array" aca="1" ref="M52" ca="1">_FV(B52,"Low")</f>
        <v>114.31</v>
      </c>
      <c r="N52" s="3">
        <f t="array" aca="1" ref="N52" ca="1">_FV(B52,"Open")</f>
        <v>124.25</v>
      </c>
      <c r="O52" s="3">
        <f t="array" aca="1" ref="O52" ca="1">_FV(B52,"Previous close",TRUE)</f>
        <v>129.37</v>
      </c>
      <c r="P52" s="7">
        <f t="array" aca="1" ref="P52" ca="1">_FV(B52,"Volume")</f>
        <v>41714099</v>
      </c>
      <c r="Q52" s="7">
        <f t="array" aca="1" ref="Q52" ca="1">_FV(B52,"Volume average",TRUE)</f>
        <v>16365965</v>
      </c>
      <c r="R52" s="8">
        <f t="array" aca="1" ref="R52" ca="1">_FV(B52,"Year incorporated",TRUE)</f>
        <v>1989</v>
      </c>
      <c r="S52" s="7">
        <f t="array" aca="1" ref="S52" ca="1">_FV(B52,"Employees")</f>
        <v>1511</v>
      </c>
      <c r="T52" t="str">
        <f t="array" aca="1" ref="T52" ca="1">_FV(B52,"Industry")</f>
        <v>Software &amp; IT Services</v>
      </c>
      <c r="U52" s="7">
        <f t="array" aca="1" ref="U52" ca="1">_FV(B52,"Market cap",TRUE)</f>
        <v>43141355076</v>
      </c>
      <c r="V52" s="7">
        <f t="array" aca="1" ref="V52" ca="1">_FV(B52,"Shares outstanding",TRUE)</f>
        <v>358197900</v>
      </c>
    </row>
    <row r="53" spans="1:22">
      <c r="A53" t="s">
        <v>67</v>
      </c>
      <c r="B53" t="e" vm="56">
        <v>#VALUE!</v>
      </c>
      <c r="C53" s="2">
        <f t="array" aca="1" ref="C53" ca="1">_FV(B53,"Last trade time",TRUE)</f>
        <v>46178.90346648125</v>
      </c>
      <c r="D53" t="str">
        <f t="array" aca="1" ref="D53" ca="1">_FV(B53,"Currency")</f>
        <v>USD</v>
      </c>
      <c r="E53" s="3">
        <f t="array" aca="1" ref="E53" ca="1">_FV(B53,"Price")</f>
        <v>864.01</v>
      </c>
      <c r="F53" s="4">
        <f t="array" aca="1" ref="F53" ca="1">_FV(B53,"Change (%)",TRUE)</f>
        <v>-0.13252</v>
      </c>
      <c r="G53" s="5">
        <f t="array" aca="1" ref="G53" ca="1">_FV(B53,"Change")</f>
        <v>-131.99</v>
      </c>
      <c r="H53" s="6">
        <f t="array" aca="1" ref="H53" ca="1">_FV(B53,"P/E",TRUE)</f>
        <v>40.791200000000003</v>
      </c>
      <c r="I53" s="6">
        <f t="array" aca="1" ref="I53" ca="1">_FV(B53,"Beta")</f>
        <v>2.1732</v>
      </c>
      <c r="J53" s="3">
        <f t="array" aca="1" ref="J53" ca="1">_FV(B53,"52 week high",TRUE)</f>
        <v>1089.29</v>
      </c>
      <c r="K53" s="3">
        <f t="array" aca="1" ref="K53" ca="1">_FV(B53,"52 week low",TRUE)</f>
        <v>103.38</v>
      </c>
      <c r="L53" s="3">
        <f t="array" aca="1" ref="L53" ca="1">_FV(B53,"High")</f>
        <v>961.89</v>
      </c>
      <c r="M53" s="3">
        <f t="array" aca="1" ref="M53" ca="1">_FV(B53,"Low")</f>
        <v>864.01</v>
      </c>
      <c r="N53" s="3">
        <f t="array" aca="1" ref="N53" ca="1">_FV(B53,"Open")</f>
        <v>944.4</v>
      </c>
      <c r="O53" s="3">
        <f t="array" aca="1" ref="O53" ca="1">_FV(B53,"Previous close",TRUE)</f>
        <v>996</v>
      </c>
      <c r="P53" s="7">
        <f t="array" aca="1" ref="P53" ca="1">_FV(B53,"Volume")</f>
        <v>76156083</v>
      </c>
      <c r="Q53" s="7">
        <f t="array" aca="1" ref="Q53" ca="1">_FV(B53,"Volume average",TRUE)</f>
        <v>53729736</v>
      </c>
      <c r="R53" s="8">
        <f t="array" aca="1" ref="R53" ca="1">_FV(B53,"Year incorporated",TRUE)</f>
        <v>1984</v>
      </c>
      <c r="S53" s="7">
        <f t="array" aca="1" ref="S53" ca="1">_FV(B53,"Employees")</f>
        <v>53000</v>
      </c>
      <c r="T53" t="str">
        <f t="array" aca="1" ref="T53" ca="1">_FV(B53,"Industry")</f>
        <v>Semiconductors &amp; Semiconductor Equipment</v>
      </c>
      <c r="U53" s="7">
        <f t="array" aca="1" ref="U53" ca="1">_FV(B53,"Market cap",TRUE)</f>
        <v>974373453340</v>
      </c>
      <c r="V53" s="7">
        <f t="array" aca="1" ref="V53" ca="1">_FV(B53,"Shares outstanding",TRUE)</f>
        <v>1127734000</v>
      </c>
    </row>
    <row r="54" spans="1:22">
      <c r="A54" t="s">
        <v>139</v>
      </c>
      <c r="B54" t="e" vm="57">
        <v>#VALUE!</v>
      </c>
      <c r="C54" s="2" cm="1">
        <f t="array" aca="1" ref="C54" ca="1">_FV(B54,"Last trade time",TRUE)</f>
        <v>46178.903350092187</v>
      </c>
      <c r="D54" t="str" cm="1">
        <f t="array" aca="1" ref="D54" ca="1">_FV(B54,"Currency")</f>
        <v>USD</v>
      </c>
      <c r="E54" s="3" cm="1">
        <f t="array" aca="1" ref="E54" ca="1">_FV(B54,"Price")</f>
        <v>250.28</v>
      </c>
      <c r="F54" s="4" cm="1">
        <f t="array" aca="1" ref="F54" ca="1">_FV(B54,"Change (%)",TRUE)</f>
        <v>-6.8344000000000002E-2</v>
      </c>
      <c r="G54" s="5" cm="1">
        <f t="array" aca="1" ref="G54" ca="1">_FV(B54,"Change")</f>
        <v>-18.36</v>
      </c>
      <c r="H54" s="6" cm="1">
        <f t="array" aca="1" ref="H54" ca="1">_FV(B54,"P/E",TRUE)</f>
        <v>0</v>
      </c>
      <c r="I54" s="6" cm="1">
        <f t="array" aca="1" ref="I54" ca="1">_FV(B54,"Beta")</f>
        <v>1.6660999999999999</v>
      </c>
      <c r="J54" s="3" cm="1">
        <f t="array" aca="1" ref="J54" ca="1">_FV(B54,"52 week high",TRUE)</f>
        <v>276.815</v>
      </c>
      <c r="K54" s="3" cm="1">
        <f t="array" aca="1" ref="K54" ca="1">_FV(B54,"52 week low",TRUE)</f>
        <v>158.83000000000001</v>
      </c>
      <c r="L54" s="3" cm="1">
        <f t="array" aca="1" ref="L54" ca="1">_FV(B54,"High")</f>
        <v>268.82</v>
      </c>
      <c r="M54" s="3" cm="1">
        <f t="array" aca="1" ref="M54" ca="1">_FV(B54,"Low")</f>
        <v>246.94</v>
      </c>
      <c r="N54" s="3" cm="1">
        <f t="array" aca="1" ref="N54" ca="1">_FV(B54,"Open")</f>
        <v>267.87</v>
      </c>
      <c r="O54" s="3" cm="1">
        <f t="array" aca="1" ref="O54" ca="1">_FV(B54,"Previous close",TRUE)</f>
        <v>268.64</v>
      </c>
      <c r="P54" s="7" cm="1">
        <f t="array" aca="1" ref="P54" ca="1">_FV(B54,"Volume")</f>
        <v>4732524</v>
      </c>
      <c r="Q54" s="7" cm="1">
        <f t="array" aca="1" ref="Q54" ca="1">_FV(B54,"Volume average",TRUE)</f>
        <v>5034853</v>
      </c>
      <c r="R54" s="8" cm="1">
        <f t="array" aca="1" ref="R54" ca="1">_FV(B54,"Year incorporated",TRUE)</f>
        <v>2009</v>
      </c>
      <c r="S54" s="7" cm="1">
        <f t="array" aca="1" ref="S54" ca="1">_FV(B54,"Employees")</f>
        <v>5483</v>
      </c>
      <c r="T54" t="str" cm="1">
        <f t="array" aca="1" ref="T54" ca="1">_FV(B54,"Industry")</f>
        <v>Software &amp; IT Services</v>
      </c>
      <c r="U54" s="7" cm="1">
        <f t="array" aca="1" ref="U54" ca="1">_FV(B54,"Market cap",TRUE)</f>
        <v>88465520536</v>
      </c>
      <c r="V54" s="7" cm="1">
        <f t="array" aca="1" ref="V54" ca="1">_FV(B54,"Shares outstanding",TRUE)</f>
        <v>353466200</v>
      </c>
    </row>
    <row r="55" spans="1:22">
      <c r="A55" t="s">
        <v>617</v>
      </c>
      <c r="B55" t="e" vm="58">
        <v>#VALUE!</v>
      </c>
      <c r="C55" s="2" cm="1">
        <f t="array" aca="1" ref="C55" ca="1">_FV(B55,"Last trade time",TRUE)</f>
        <v>46178.836805555555</v>
      </c>
      <c r="D55" t="str" cm="1">
        <f t="array" aca="1" ref="D55" ca="1">_FV(B55,"Currency")</f>
        <v>EUR</v>
      </c>
      <c r="E55" s="3" cm="1">
        <f t="array" aca="1" ref="E55" ca="1">_FV(B55,"Price")</f>
        <v>37.454999999999998</v>
      </c>
      <c r="F55" s="4" cm="1">
        <f t="array" aca="1" ref="F55" ca="1">_FV(B55,"Change (%)",TRUE)</f>
        <v>2.5430000000000001E-3</v>
      </c>
      <c r="G55" s="5" cm="1">
        <f t="array" aca="1" ref="G55" ca="1">_FV(B55,"Change")</f>
        <v>9.5000000000000001E-2</v>
      </c>
      <c r="H55" s="6" cm="1">
        <f t="array" aca="1" ref="H55" ca="1">_FV(B55,"P/E",TRUE)</f>
        <v>29.0349</v>
      </c>
      <c r="I55" s="6" cm="1">
        <f t="array" aca="1" ref="I55" ca="1">_FV(B55,"Beta")</f>
        <v>1.1182000000000001</v>
      </c>
      <c r="J55" s="3" t="e" cm="1" vm="59">
        <f t="array" ref="J55">_FV(B55,"52 week high",TRUE)</f>
        <v>#VALUE!</v>
      </c>
      <c r="K55" s="3" t="e" cm="1" vm="60">
        <f t="array" ref="K55">_FV(B55,"52 week low",TRUE)</f>
        <v>#VALUE!</v>
      </c>
      <c r="L55" s="3" cm="1">
        <f t="array" aca="1" ref="L55" ca="1">_FV(B55,"High")</f>
        <v>37.784999999999997</v>
      </c>
      <c r="M55" s="3" cm="1">
        <f t="array" aca="1" ref="M55" ca="1">_FV(B55,"Low")</f>
        <v>37.03</v>
      </c>
      <c r="N55" s="3" cm="1">
        <f t="array" aca="1" ref="N55" ca="1">_FV(B55,"Open")</f>
        <v>37.784999999999997</v>
      </c>
      <c r="O55" s="3" cm="1">
        <f t="array" aca="1" ref="O55" ca="1">_FV(B55,"Previous close",TRUE)</f>
        <v>37.36</v>
      </c>
      <c r="P55" s="7" cm="1">
        <f t="array" aca="1" ref="P55" ca="1">_FV(B55,"Volume")</f>
        <v>1788</v>
      </c>
      <c r="Q55" s="7" cm="1">
        <f t="array" aca="1" ref="Q55" ca="1">_FV(B55,"Volume average",TRUE)</f>
        <v>22959470</v>
      </c>
      <c r="R55" s="8" cm="1">
        <f t="array" aca="1" ref="R55" ca="1">_FV(B55,"Year incorporated",TRUE)</f>
        <v>1969</v>
      </c>
      <c r="S55" s="7" cm="1">
        <f t="array" aca="1" ref="S55" ca="1">_FV(B55,"Employees")</f>
        <v>77800</v>
      </c>
      <c r="T55" t="str" cm="1">
        <f t="array" aca="1" ref="T55" ca="1">_FV(B55,"Industry")</f>
        <v>Textiles &amp; Apparel</v>
      </c>
      <c r="U55" s="7" cm="1">
        <f t="array" aca="1" ref="U55" ca="1">_FV(B55,"Market cap",TRUE)</f>
        <v>98149420000</v>
      </c>
      <c r="V55" s="7" cm="1">
        <f t="array" aca="1" ref="V55" ca="1">_FV(B55,"Shares outstanding",TRUE)</f>
        <v>1480887000</v>
      </c>
    </row>
    <row r="56" spans="1:22">
      <c r="A56" t="s">
        <v>449</v>
      </c>
      <c r="B56" t="e" vm="61">
        <v>#VALUE!</v>
      </c>
      <c r="C56" s="2">
        <f t="array" aca="1" ref="C56" ca="1">_FV(B56,"Last trade time",TRUE)</f>
        <v>46178.903528946095</v>
      </c>
      <c r="D56" t="str">
        <f t="array" aca="1" ref="D56" ca="1">_FV(B56,"Currency")</f>
        <v>USD</v>
      </c>
      <c r="E56" s="3">
        <f t="array" aca="1" ref="E56" ca="1">_FV(B56,"Price")</f>
        <v>14.35</v>
      </c>
      <c r="F56" s="4">
        <f t="array" aca="1" ref="F56" ca="1">_FV(B56,"Change (%)",TRUE)</f>
        <v>-0.13658200000000001</v>
      </c>
      <c r="G56" s="5">
        <f t="array" aca="1" ref="G56" ca="1">_FV(B56,"Change")</f>
        <v>-2.27</v>
      </c>
      <c r="H56" s="6">
        <f t="array" aca="1" ref="H56" ca="1">_FV(B56,"P/E",TRUE)</f>
        <v>103.3112</v>
      </c>
      <c r="I56" s="6">
        <f t="array" aca="1" ref="I56" ca="1">_FV(B56,"Beta")</f>
        <v>1.1414</v>
      </c>
      <c r="J56" s="3">
        <f t="array" aca="1" ref="J56" ca="1">_FV(B56,"52 week high",TRUE)</f>
        <v>17.45</v>
      </c>
      <c r="K56" s="3">
        <f t="array" aca="1" ref="K56" ca="1">_FV(B56,"52 week low",TRUE)</f>
        <v>4</v>
      </c>
      <c r="L56" s="3">
        <f t="array" aca="1" ref="L56" ca="1">_FV(B56,"High")</f>
        <v>15.67</v>
      </c>
      <c r="M56" s="3">
        <f t="array" aca="1" ref="M56" ca="1">_FV(B56,"Low")</f>
        <v>14</v>
      </c>
      <c r="N56" s="3">
        <f t="array" aca="1" ref="N56" ca="1">_FV(B56,"Open")</f>
        <v>15.66</v>
      </c>
      <c r="O56" s="3">
        <f t="array" aca="1" ref="O56" ca="1">_FV(B56,"Previous close",TRUE)</f>
        <v>16.62</v>
      </c>
      <c r="P56" s="7">
        <f t="array" aca="1" ref="P56" ca="1">_FV(B56,"Volume")</f>
        <v>182912447</v>
      </c>
      <c r="Q56" s="7">
        <f t="array" aca="1" ref="Q56" ca="1">_FV(B56,"Volume average",TRUE)</f>
        <v>122942145</v>
      </c>
      <c r="R56" s="8">
        <f t="array" aca="1" ref="R56" ca="1">_FV(B56,"Year incorporated",TRUE)</f>
        <v>1997</v>
      </c>
      <c r="S56" s="7">
        <f t="array" aca="1" ref="S56" ca="1">_FV(B56,"Employees")</f>
        <v>77586</v>
      </c>
      <c r="T56" t="str">
        <f t="array" aca="1" ref="T56" ca="1">_FV(B56,"Industry")</f>
        <v>Communications &amp; Networking</v>
      </c>
      <c r="U56" s="7">
        <f t="array" aca="1" ref="U56" ca="1">_FV(B56,"Market cap",TRUE)</f>
        <v>82401144000</v>
      </c>
      <c r="V56" s="7">
        <f t="array" aca="1" ref="V56" ca="1">_FV(B56,"Shares outstanding",TRUE)</f>
        <v>5742240000</v>
      </c>
    </row>
    <row r="57" spans="1:22">
      <c r="A57" t="s">
        <v>16</v>
      </c>
      <c r="B57" t="e" vm="62">
        <v>#VALUE!</v>
      </c>
      <c r="C57" s="2">
        <f t="array" aca="1" ref="C57" ca="1">_FV(B57,"Last trade time",TRUE)</f>
        <v>46178.903395219531</v>
      </c>
      <c r="D57" t="str">
        <f t="array" aca="1" ref="D57" ca="1">_FV(B57,"Currency")</f>
        <v>USD</v>
      </c>
      <c r="E57" s="3">
        <f t="array" aca="1" ref="E57" ca="1">_FV(B57,"Price")</f>
        <v>112.47</v>
      </c>
      <c r="F57" s="4">
        <f t="array" aca="1" ref="F57" ca="1">_FV(B57,"Change (%)",TRUE)</f>
        <v>-5.7724999999999999E-2</v>
      </c>
      <c r="G57" s="5">
        <f t="array" aca="1" ref="G57" ca="1">_FV(B57,"Change")</f>
        <v>-6.89</v>
      </c>
      <c r="H57" s="6">
        <f t="array" aca="1" ref="H57" ca="1">_FV(B57,"P/E",TRUE)</f>
        <v>70.989400000000003</v>
      </c>
      <c r="I57" s="6">
        <f t="array" aca="1" ref="I57" ca="1">_FV(B57,"Beta")</f>
        <v>0.92969999999999997</v>
      </c>
      <c r="J57" s="3">
        <f t="array" aca="1" ref="J57" ca="1">_FV(B57,"52 week high",TRUE)</f>
        <v>211.47800000000001</v>
      </c>
      <c r="K57" s="3">
        <f t="array" aca="1" ref="K57" ca="1">_FV(B57,"52 week low",TRUE)</f>
        <v>81.239999999999995</v>
      </c>
      <c r="L57" s="3">
        <f t="array" aca="1" ref="L57" ca="1">_FV(B57,"High")</f>
        <v>121.2</v>
      </c>
      <c r="M57" s="3">
        <f t="array" aca="1" ref="M57" ca="1">_FV(B57,"Low")</f>
        <v>111.562</v>
      </c>
      <c r="N57" s="3">
        <f t="array" aca="1" ref="N57" ca="1">_FV(B57,"Open")</f>
        <v>119.19</v>
      </c>
      <c r="O57" s="3">
        <f t="array" aca="1" ref="O57" ca="1">_FV(B57,"Previous close",TRUE)</f>
        <v>119.36</v>
      </c>
      <c r="P57" s="7">
        <f t="array" aca="1" ref="P57" ca="1">_FV(B57,"Volume")</f>
        <v>31277351</v>
      </c>
      <c r="Q57" s="7">
        <f t="array" aca="1" ref="Q57" ca="1">_FV(B57,"Volume average",TRUE)</f>
        <v>32427047</v>
      </c>
      <c r="R57" s="8">
        <f t="array" aca="1" ref="R57" ca="1">_FV(B57,"Year incorporated",TRUE)</f>
        <v>2012</v>
      </c>
      <c r="S57" s="7">
        <f t="array" aca="1" ref="S57" ca="1">_FV(B57,"Employees")</f>
        <v>29187</v>
      </c>
      <c r="T57" t="str">
        <f t="array" aca="1" ref="T57" ca="1">_FV(B57,"Industry")</f>
        <v>Software &amp; IT Services</v>
      </c>
      <c r="U57" s="7">
        <f t="array" aca="1" ref="U57" ca="1">_FV(B57,"Market cap",TRUE)</f>
        <v>115991210760</v>
      </c>
      <c r="V57" s="7">
        <f t="array" aca="1" ref="V57" ca="1">_FV(B57,"Shares outstanding",TRUE)</f>
        <v>1031308000</v>
      </c>
    </row>
    <row r="58" spans="1:22">
      <c r="A58" t="s">
        <v>59</v>
      </c>
      <c r="B58" t="e" vm="63">
        <v>#VALUE!</v>
      </c>
      <c r="C58" s="2">
        <f t="array" aca="1" ref="C58" ca="1">_FV(B58,"Last trade time",TRUE)</f>
        <v>46178.903472603903</v>
      </c>
      <c r="D58" t="str">
        <f t="array" aca="1" ref="D58" ca="1">_FV(B58,"Currency")</f>
        <v>USD</v>
      </c>
      <c r="E58" s="3">
        <f t="array" aca="1" ref="E58" ca="1">_FV(B58,"Price")</f>
        <v>205.1</v>
      </c>
      <c r="F58" s="4">
        <f t="array" aca="1" ref="F58" ca="1">_FV(B58,"Change (%)",TRUE)</f>
        <v>-6.2013999999999993E-2</v>
      </c>
      <c r="G58" s="5">
        <f t="array" aca="1" ref="G58" ca="1">_FV(B58,"Change")</f>
        <v>-13.56</v>
      </c>
      <c r="H58" s="6">
        <f t="array" aca="1" ref="H58" ca="1">_FV(B58,"P/E",TRUE)</f>
        <v>33.485599999999998</v>
      </c>
      <c r="I58" s="6">
        <f t="array" aca="1" ref="I58" ca="1">_FV(B58,"Beta")</f>
        <v>2.2008000000000001</v>
      </c>
      <c r="J58" s="3">
        <f t="array" aca="1" ref="J58" ca="1">_FV(B58,"52 week high",TRUE)</f>
        <v>236.54</v>
      </c>
      <c r="K58" s="3">
        <f t="array" aca="1" ref="K58" ca="1">_FV(B58,"52 week low",TRUE)</f>
        <v>138.83000000000001</v>
      </c>
      <c r="L58" s="3">
        <f t="array" aca="1" ref="L58" ca="1">_FV(B58,"High")</f>
        <v>214.87</v>
      </c>
      <c r="M58" s="3">
        <f t="array" aca="1" ref="M58" ca="1">_FV(B58,"Low")</f>
        <v>204.33</v>
      </c>
      <c r="N58" s="3">
        <f t="array" aca="1" ref="N58" ca="1">_FV(B58,"Open")</f>
        <v>214.53</v>
      </c>
      <c r="O58" s="3">
        <f t="array" aca="1" ref="O58" ca="1">_FV(B58,"Previous close",TRUE)</f>
        <v>218.66</v>
      </c>
      <c r="P58" s="7">
        <f t="array" aca="1" ref="P58" ca="1">_FV(B58,"Volume")</f>
        <v>218200155</v>
      </c>
      <c r="Q58" s="7">
        <f t="array" aca="1" ref="Q58" ca="1">_FV(B58,"Volume average",TRUE)</f>
        <v>171448900</v>
      </c>
      <c r="R58" s="8">
        <f t="array" aca="1" ref="R58" ca="1">_FV(B58,"Year incorporated",TRUE)</f>
        <v>1998</v>
      </c>
      <c r="S58" s="7">
        <f t="array" aca="1" ref="S58" ca="1">_FV(B58,"Employees")</f>
        <v>42000</v>
      </c>
      <c r="T58" t="str">
        <f t="array" aca="1" ref="T58" ca="1">_FV(B58,"Industry")</f>
        <v>Semiconductors &amp; Semiconductor Equipment</v>
      </c>
      <c r="U58" s="7">
        <f t="array" aca="1" ref="U58" ca="1">_FV(B58,"Market cap",TRUE)</f>
        <v>4963420000000</v>
      </c>
      <c r="V58" s="7">
        <f t="array" aca="1" ref="V58" ca="1">_FV(B58,"Shares outstanding",TRUE)</f>
        <v>24200000000</v>
      </c>
    </row>
    <row r="59" spans="1:22">
      <c r="A59" t="s">
        <v>302</v>
      </c>
      <c r="B59" t="e" vm="64">
        <v>#VALUE!</v>
      </c>
      <c r="C59" s="2" cm="1">
        <f t="array" aca="1" ref="C59" ca="1">_FV(B59,"Last trade time",TRUE)</f>
        <v>46178.901148390622</v>
      </c>
      <c r="D59" t="str" cm="1">
        <f t="array" aca="1" ref="D59" ca="1">_FV(B59,"Currency")</f>
        <v>USD</v>
      </c>
      <c r="E59" s="3" cm="1">
        <f t="array" aca="1" ref="E59" ca="1">_FV(B59,"Price")</f>
        <v>117.26</v>
      </c>
      <c r="F59" s="4" cm="1">
        <f t="array" aca="1" ref="F59" ca="1">_FV(B59,"Change (%)",TRUE)</f>
        <v>-0.11045400000000001</v>
      </c>
      <c r="G59" s="5" cm="1">
        <f t="array" aca="1" ref="G59" ca="1">_FV(B59,"Change")</f>
        <v>-14.56</v>
      </c>
      <c r="H59" s="6" cm="1">
        <f t="array" aca="1" ref="H59" ca="1">_FV(B59,"P/E",TRUE)</f>
        <v>94.131600000000006</v>
      </c>
      <c r="I59" s="6" cm="1">
        <f t="array" aca="1" ref="I59" ca="1">_FV(B59,"Beta")</f>
        <v>1.9702</v>
      </c>
      <c r="J59" s="3" cm="1">
        <f t="array" aca="1" ref="J59" ca="1">_FV(B59,"52 week high",TRUE)</f>
        <v>134.91999999999999</v>
      </c>
      <c r="K59" s="3" cm="1">
        <f t="array" aca="1" ref="K59" ca="1">_FV(B59,"52 week low",TRUE)</f>
        <v>44.56</v>
      </c>
      <c r="L59" s="3" cm="1">
        <f t="array" aca="1" ref="L59" ca="1">_FV(B59,"High")</f>
        <v>126.31</v>
      </c>
      <c r="M59" s="3" cm="1">
        <f t="array" aca="1" ref="M59" ca="1">_FV(B59,"Low")</f>
        <v>116.72</v>
      </c>
      <c r="N59" s="3" cm="1">
        <f t="array" aca="1" ref="N59" ca="1">_FV(B59,"Open")</f>
        <v>126.18</v>
      </c>
      <c r="O59" s="3" cm="1">
        <f t="array" aca="1" ref="O59" ca="1">_FV(B59,"Previous close",TRUE)</f>
        <v>131.82</v>
      </c>
      <c r="P59" s="7" cm="1">
        <f t="array" aca="1" ref="P59" ca="1">_FV(B59,"Volume")</f>
        <v>19047617</v>
      </c>
      <c r="Q59" s="7" cm="1">
        <f t="array" aca="1" ref="Q59" ca="1">_FV(B59,"Volume average",TRUE)</f>
        <v>12667476</v>
      </c>
      <c r="R59" s="8" cm="1">
        <f t="array" aca="1" ref="R59" ca="1">_FV(B59,"Year incorporated",TRUE)</f>
        <v>2000</v>
      </c>
      <c r="S59" s="7" cm="1">
        <f t="array" aca="1" ref="S59" ca="1">_FV(B59,"Employees")</f>
        <v>22600</v>
      </c>
      <c r="T59" t="str" cm="1">
        <f t="array" aca="1" ref="T59" ca="1">_FV(B59,"Industry")</f>
        <v>Semiconductors &amp; Semiconductor Equipment</v>
      </c>
      <c r="U59" s="7" cm="1">
        <f t="array" aca="1" ref="U59" ca="1">_FV(B59,"Market cap",TRUE)</f>
        <v>45954569232</v>
      </c>
      <c r="V59" s="7" cm="1">
        <f t="array" aca="1" ref="V59" ca="1">_FV(B59,"Shares outstanding",TRUE)</f>
        <v>391903200</v>
      </c>
    </row>
    <row r="60" spans="1:22">
      <c r="A60" t="s">
        <v>450</v>
      </c>
      <c r="B60" t="e" vm="65">
        <v>#VALUE!</v>
      </c>
      <c r="C60" s="2">
        <f t="array" aca="1" ref="C60" ca="1">_FV(B60,"Last trade time",TRUE)</f>
        <v>46178.903343032034</v>
      </c>
      <c r="D60" t="str">
        <f t="array" aca="1" ref="D60" ca="1">_FV(B60,"Currency")</f>
        <v>USD</v>
      </c>
      <c r="E60" s="3">
        <f t="array" aca="1" ref="E60" ca="1">_FV(B60,"Price")</f>
        <v>10.43</v>
      </c>
      <c r="F60" s="4">
        <f t="array" aca="1" ref="F60" ca="1">_FV(B60,"Change (%)",TRUE)</f>
        <v>-0.12865500000000002</v>
      </c>
      <c r="G60" s="5">
        <f t="array" aca="1" ref="G60" ca="1">_FV(B60,"Change")</f>
        <v>-1.54</v>
      </c>
      <c r="H60" s="6">
        <f t="array" aca="1" ref="H60" ca="1">_FV(B60,"P/E",TRUE)</f>
        <v>30.185300000000002</v>
      </c>
      <c r="I60" s="6">
        <f t="array" aca="1" ref="I60" ca="1">_FV(B60,"Beta")</f>
        <v>2.6339999999999999</v>
      </c>
      <c r="J60" s="3">
        <f t="array" aca="1" ref="J60" ca="1">_FV(B60,"52 week high",TRUE)</f>
        <v>15.28</v>
      </c>
      <c r="K60" s="3">
        <f t="array" aca="1" ref="K60" ca="1">_FV(B60,"52 week low",TRUE)</f>
        <v>1.36</v>
      </c>
      <c r="L60" s="3">
        <f t="array" aca="1" ref="L60" ca="1">_FV(B60,"High")</f>
        <v>11.659599999999999</v>
      </c>
      <c r="M60" s="3">
        <f t="array" aca="1" ref="M60" ca="1">_FV(B60,"Low")</f>
        <v>10.33</v>
      </c>
      <c r="N60" s="3">
        <f t="array" aca="1" ref="N60" ca="1">_FV(B60,"Open")</f>
        <v>11.42</v>
      </c>
      <c r="O60" s="3">
        <f t="array" aca="1" ref="O60" ca="1">_FV(B60,"Previous close",TRUE)</f>
        <v>11.97</v>
      </c>
      <c r="P60" s="7">
        <f t="array" aca="1" ref="P60" ca="1">_FV(B60,"Volume")</f>
        <v>63470473</v>
      </c>
      <c r="Q60" s="7">
        <f t="array" aca="1" ref="Q60" ca="1">_FV(B60,"Volume average",TRUE)</f>
        <v>81454467</v>
      </c>
      <c r="R60" s="8">
        <f t="array" aca="1" ref="R60" ca="1">_FV(B60,"Year incorporated",TRUE)</f>
        <v>2014</v>
      </c>
      <c r="S60" s="7">
        <f t="array" aca="1" ref="S60" ca="1">_FV(B60,"Employees")</f>
        <v>459</v>
      </c>
      <c r="T60" t="str">
        <f t="array" aca="1" ref="T60" ca="1">_FV(B60,"Industry")</f>
        <v>Communications &amp; Networking</v>
      </c>
      <c r="U60" s="7">
        <f t="array" aca="1" ref="U60" ca="1">_FV(B60,"Market cap",TRUE)</f>
        <v>5294319107</v>
      </c>
      <c r="V60" s="7">
        <f t="array" aca="1" ref="V60" ca="1">_FV(B60,"Shares outstanding",TRUE)</f>
        <v>507604900</v>
      </c>
    </row>
    <row r="61" spans="1:22">
      <c r="A61" t="s">
        <v>44</v>
      </c>
      <c r="B61" t="e" vm="66">
        <v>#VALUE!</v>
      </c>
      <c r="C61" s="2">
        <f t="array" aca="1" ref="C61" ca="1">_FV(B61,"Last trade time",TRUE)</f>
        <v>46178.90353287031</v>
      </c>
      <c r="D61" t="str">
        <f t="array" aca="1" ref="D61" ca="1">_FV(B61,"Currency")</f>
        <v>USD</v>
      </c>
      <c r="E61" s="3">
        <f t="array" aca="1" ref="E61" ca="1">_FV(B61,"Price")</f>
        <v>213.41</v>
      </c>
      <c r="F61" s="4">
        <f t="array" aca="1" ref="F61" ca="1">_FV(B61,"Change (%)",TRUE)</f>
        <v>-9.7020999999999996E-2</v>
      </c>
      <c r="G61" s="5">
        <f t="array" aca="1" ref="G61" ca="1">_FV(B61,"Change")</f>
        <v>-22.93</v>
      </c>
      <c r="H61" s="6">
        <f t="array" aca="1" ref="H61" ca="1">_FV(B61,"P/E",TRUE)</f>
        <v>40.058599999999998</v>
      </c>
      <c r="I61" s="6">
        <f t="array" aca="1" ref="I61" ca="1">_FV(B61,"Beta")</f>
        <v>1.651</v>
      </c>
      <c r="J61" s="3">
        <f t="array" aca="1" ref="J61" ca="1">_FV(B61,"52 week high",TRUE)</f>
        <v>345.72</v>
      </c>
      <c r="K61" s="3">
        <f t="array" aca="1" ref="K61" ca="1">_FV(B61,"52 week low",TRUE)</f>
        <v>134.57</v>
      </c>
      <c r="L61" s="3">
        <f t="array" aca="1" ref="L61" ca="1">_FV(B61,"High")</f>
        <v>231.44</v>
      </c>
      <c r="M61" s="3">
        <f t="array" aca="1" ref="M61" ca="1">_FV(B61,"Low")</f>
        <v>209.45</v>
      </c>
      <c r="N61" s="3">
        <f t="array" aca="1" ref="N61" ca="1">_FV(B61,"Open")</f>
        <v>229.49</v>
      </c>
      <c r="O61" s="3">
        <f t="array" aca="1" ref="O61" ca="1">_FV(B61,"Previous close",TRUE)</f>
        <v>236.34</v>
      </c>
      <c r="P61" s="7">
        <f t="array" aca="1" ref="P61" ca="1">_FV(B61,"Volume")</f>
        <v>28858851</v>
      </c>
      <c r="Q61" s="7">
        <f t="array" aca="1" ref="Q61" ca="1">_FV(B61,"Volume average",TRUE)</f>
        <v>22686026</v>
      </c>
      <c r="R61" s="8">
        <f t="array" aca="1" ref="R61" ca="1">_FV(B61,"Year incorporated",TRUE)</f>
        <v>2005</v>
      </c>
      <c r="S61" s="7">
        <f t="array" aca="1" ref="S61" ca="1">_FV(B61,"Employees")</f>
        <v>162000</v>
      </c>
      <c r="T61" t="str">
        <f t="array" aca="1" ref="T61" ca="1">_FV(B61,"Industry")</f>
        <v>Software &amp; IT Services</v>
      </c>
      <c r="U61" s="7">
        <f t="array" aca="1" ref="U61" ca="1">_FV(B61,"Market cap",TRUE)</f>
        <v>613776976860</v>
      </c>
      <c r="V61" s="7">
        <f t="array" aca="1" ref="V61" ca="1">_FV(B61,"Shares outstanding",TRUE)</f>
        <v>2876046000</v>
      </c>
    </row>
    <row r="62" spans="1:22">
      <c r="A62" s="49" t="s">
        <v>143</v>
      </c>
      <c r="B62" t="e" vm="67">
        <v>#VALUE!</v>
      </c>
      <c r="C62" s="2" cm="1">
        <f t="array" aca="1" ref="C62" ca="1">_FV(B62,"Last trade time",TRUE)</f>
        <v>46178.90344487266</v>
      </c>
      <c r="D62" t="str" cm="1">
        <f t="array" aca="1" ref="D62" ca="1">_FV(B62,"Currency")</f>
        <v>USD</v>
      </c>
      <c r="E62" s="3" cm="1">
        <f t="array" aca="1" ref="E62" ca="1">_FV(B62,"Price")</f>
        <v>272.05</v>
      </c>
      <c r="F62" s="4" cm="1">
        <f t="array" aca="1" ref="F62" ca="1">_FV(B62,"Change (%)",TRUE)</f>
        <v>-2.5783E-2</v>
      </c>
      <c r="G62" s="5" cm="1">
        <f t="array" aca="1" ref="G62" ca="1">_FV(B62,"Change")</f>
        <v>-7.2</v>
      </c>
      <c r="H62" s="6" cm="1">
        <f t="array" aca="1" ref="H62" ca="1">_FV(B62,"P/E",TRUE)</f>
        <v>229.9357</v>
      </c>
      <c r="I62" s="6" cm="1">
        <f t="array" aca="1" ref="I62" ca="1">_FV(B62,"Beta")</f>
        <v>0.94479999999999997</v>
      </c>
      <c r="J62" s="3" cm="1">
        <f t="array" aca="1" ref="J62" ca="1">_FV(B62,"52 week high",TRUE)</f>
        <v>302.95</v>
      </c>
      <c r="K62" s="3" cm="1">
        <f t="array" aca="1" ref="K62" ca="1">_FV(B62,"52 week low",TRUE)</f>
        <v>139.57060000000001</v>
      </c>
      <c r="L62" s="3" cm="1">
        <f t="array" aca="1" ref="L62" ca="1">_FV(B62,"High")</f>
        <v>280.64</v>
      </c>
      <c r="M62" s="3" cm="1">
        <f t="array" aca="1" ref="M62" ca="1">_FV(B62,"Low")</f>
        <v>269.39999999999998</v>
      </c>
      <c r="N62" s="3" cm="1">
        <f t="array" aca="1" ref="N62" ca="1">_FV(B62,"Open")</f>
        <v>278.99</v>
      </c>
      <c r="O62" s="3" cm="1">
        <f t="array" aca="1" ref="O62" ca="1">_FV(B62,"Previous close",TRUE)</f>
        <v>279.25</v>
      </c>
      <c r="P62" s="7" cm="1">
        <f t="array" aca="1" ref="P62" ca="1">_FV(B62,"Volume")</f>
        <v>7777903</v>
      </c>
      <c r="Q62" s="7" cm="1">
        <f t="array" aca="1" ref="Q62" ca="1">_FV(B62,"Volume average",TRUE)</f>
        <v>9365602</v>
      </c>
      <c r="R62" s="8" cm="1">
        <f t="array" aca="1" ref="R62" ca="1">_FV(B62,"Year incorporated",TRUE)</f>
        <v>2005</v>
      </c>
      <c r="S62" s="7" cm="1">
        <f t="array" aca="1" ref="S62" ca="1">_FV(B62,"Employees")</f>
        <v>21491</v>
      </c>
      <c r="T62" t="str" cm="1">
        <f t="array" aca="1" ref="T62" ca="1">_FV(B62,"Industry")</f>
        <v>Software &amp; IT Services</v>
      </c>
      <c r="U62" s="7" cm="1">
        <f t="array" aca="1" ref="U62" ca="1">_FV(B62,"Market cap",TRUE)</f>
        <v>221720750000</v>
      </c>
      <c r="V62" s="7" cm="1">
        <f t="array" aca="1" ref="V62" ca="1">_FV(B62,"Shares outstanding",TRUE)</f>
        <v>815000000</v>
      </c>
    </row>
    <row r="63" spans="1:22">
      <c r="A63" t="s">
        <v>11</v>
      </c>
      <c r="B63" t="e" vm="68">
        <v>#VALUE!</v>
      </c>
      <c r="C63" s="2">
        <f t="array" aca="1" ref="C63" ca="1">_FV(B63,"Last trade time",TRUE)</f>
        <v>46178.903380253905</v>
      </c>
      <c r="D63" t="str">
        <f t="array" aca="1" ref="D63" ca="1">_FV(B63,"Currency")</f>
        <v>USD</v>
      </c>
      <c r="E63" s="3">
        <f t="array" aca="1" ref="E63" ca="1">_FV(B63,"Price")</f>
        <v>11.24</v>
      </c>
      <c r="F63" s="4">
        <f t="array" aca="1" ref="F63" ca="1">_FV(B63,"Change (%)",TRUE)</f>
        <v>-3.6846999999999998E-2</v>
      </c>
      <c r="G63" s="5">
        <f t="array" aca="1" ref="G63" ca="1">_FV(B63,"Change")</f>
        <v>-0.43</v>
      </c>
      <c r="H63" s="6">
        <f t="array" aca="1" ref="H63" ca="1">_FV(B63,"P/E",TRUE)</f>
        <v>19.3992</v>
      </c>
      <c r="I63" s="6">
        <f t="array" aca="1" ref="I63" ca="1">_FV(B63,"Beta")</f>
        <v>0.96640000000000004</v>
      </c>
      <c r="J63" s="3">
        <f t="array" aca="1" ref="J63" ca="1">_FV(B63,"52 week high",TRUE)</f>
        <v>19.84</v>
      </c>
      <c r="K63" s="3">
        <f t="array" aca="1" ref="K63" ca="1">_FV(B63,"52 week low",TRUE)</f>
        <v>9.2002000000000006</v>
      </c>
      <c r="L63" s="3">
        <f t="array" aca="1" ref="L63" ca="1">_FV(B63,"High")</f>
        <v>11.94</v>
      </c>
      <c r="M63" s="3">
        <f t="array" aca="1" ref="M63" ca="1">_FV(B63,"Low")</f>
        <v>11.045</v>
      </c>
      <c r="N63" s="3">
        <f t="array" aca="1" ref="N63" ca="1">_FV(B63,"Open")</f>
        <v>11.64</v>
      </c>
      <c r="O63" s="3">
        <f t="array" aca="1" ref="O63" ca="1">_FV(B63,"Previous close",TRUE)</f>
        <v>11.67</v>
      </c>
      <c r="P63" s="7">
        <f t="array" aca="1" ref="P63" ca="1">_FV(B63,"Volume")</f>
        <v>35487140</v>
      </c>
      <c r="Q63" s="7">
        <f t="array" aca="1" ref="Q63" ca="1">_FV(B63,"Volume average",TRUE)</f>
        <v>40933553</v>
      </c>
      <c r="R63" s="8">
        <f t="array" aca="1" ref="R63" ca="1">_FV(B63,"Year incorporated",TRUE)</f>
        <v>2015</v>
      </c>
      <c r="S63" s="7">
        <f t="array" aca="1" ref="S63" ca="1">_FV(B63,"Employees")</f>
        <v>3981</v>
      </c>
      <c r="T63" t="str">
        <f t="array" aca="1" ref="T63" ca="1">_FV(B63,"Industry")</f>
        <v>Software &amp; IT Services</v>
      </c>
      <c r="U63" s="7">
        <f t="array" aca="1" ref="U63" ca="1">_FV(B63,"Market cap",TRUE)</f>
        <v>5849783816</v>
      </c>
      <c r="V63" s="7">
        <f t="array" aca="1" ref="V63" ca="1">_FV(B63,"Shares outstanding",TRUE)</f>
        <v>520443400</v>
      </c>
    </row>
    <row r="64" spans="1:22">
      <c r="A64" t="s">
        <v>616</v>
      </c>
      <c r="B64" t="e" vm="69">
        <v>#VALUE!</v>
      </c>
      <c r="C64" s="2" cm="1">
        <f t="array" aca="1" ref="C64" ca="1">_FV(B64,"Last trade time",TRUE)</f>
        <v>46178.902205948434</v>
      </c>
      <c r="D64" t="str" cm="1">
        <f t="array" aca="1" ref="D64" ca="1">_FV(B64,"Currency")</f>
        <v>USD</v>
      </c>
      <c r="E64" s="3" cm="1">
        <f t="array" aca="1" ref="E64" ca="1">_FV(B64,"Price")</f>
        <v>146.54</v>
      </c>
      <c r="F64" s="4" cm="1">
        <f t="array" aca="1" ref="F64" ca="1">_FV(B64,"Change (%)",TRUE)</f>
        <v>4.0915E-2</v>
      </c>
      <c r="G64" s="5" cm="1">
        <f t="array" aca="1" ref="G64" ca="1">_FV(B64,"Change")</f>
        <v>5.76</v>
      </c>
      <c r="H64" s="6" cm="1">
        <f t="array" aca="1" ref="H64" ca="1">_FV(B64,"P/E",TRUE)</f>
        <v>20.589200000000002</v>
      </c>
      <c r="I64" s="6" cm="1">
        <f t="array" aca="1" ref="I64" ca="1">_FV(B64,"Beta")</f>
        <v>0.3861</v>
      </c>
      <c r="J64" s="3" cm="1">
        <f t="array" aca="1" ref="J64" ca="1">_FV(B64,"52 week high",TRUE)</f>
        <v>167.25</v>
      </c>
      <c r="K64" s="3" cm="1">
        <f t="array" aca="1" ref="K64" ca="1">_FV(B64,"52 week low",TRUE)</f>
        <v>137.62</v>
      </c>
      <c r="L64" s="3" cm="1">
        <f t="array" aca="1" ref="L64" ca="1">_FV(B64,"High")</f>
        <v>148.22999999999999</v>
      </c>
      <c r="M64" s="3" cm="1">
        <f t="array" aca="1" ref="M64" ca="1">_FV(B64,"Low")</f>
        <v>141.80000000000001</v>
      </c>
      <c r="N64" s="3" cm="1">
        <f t="array" aca="1" ref="N64" ca="1">_FV(B64,"Open")</f>
        <v>142.22</v>
      </c>
      <c r="O64" s="3" cm="1">
        <f t="array" aca="1" ref="O64" ca="1">_FV(B64,"Previous close",TRUE)</f>
        <v>140.78</v>
      </c>
      <c r="P64" s="7" cm="1">
        <f t="array" aca="1" ref="P64" ca="1">_FV(B64,"Volume")</f>
        <v>10956862</v>
      </c>
      <c r="Q64" s="7" cm="1">
        <f t="array" aca="1" ref="Q64" ca="1">_FV(B64,"Volume average",TRUE)</f>
        <v>8501627</v>
      </c>
      <c r="R64" s="8" cm="1">
        <f t="array" aca="1" ref="R64" ca="1">_FV(B64,"Year incorporated",TRUE)</f>
        <v>1905</v>
      </c>
      <c r="S64" s="7" cm="1">
        <f t="array" aca="1" ref="S64" ca="1">_FV(B64,"Employees")</f>
        <v>109000</v>
      </c>
      <c r="T64" t="str" cm="1">
        <f t="array" aca="1" ref="T64" ca="1">_FV(B64,"Industry")</f>
        <v>Personal &amp; Household Products &amp; Services</v>
      </c>
      <c r="U64" s="7" cm="1">
        <f t="array" aca="1" ref="U64" ca="1">_FV(B64,"Market cap",TRUE)</f>
        <v>341232897460</v>
      </c>
      <c r="V64" s="7" cm="1">
        <f t="array" aca="1" ref="V64" ca="1">_FV(B64,"Shares outstanding",TRUE)</f>
        <v>2328599000</v>
      </c>
    </row>
    <row r="65" spans="1:22">
      <c r="A65" t="s">
        <v>58</v>
      </c>
      <c r="B65" t="e" vm="70">
        <v>#VALUE!</v>
      </c>
      <c r="C65" s="2">
        <f t="array" aca="1" ref="C65" ca="1">_FV(B65,"Last trade time",TRUE)</f>
        <v>46178.903352522655</v>
      </c>
      <c r="D65" t="str">
        <f t="array" aca="1" ref="D65" ca="1">_FV(B65,"Currency")</f>
        <v>USD</v>
      </c>
      <c r="E65" s="3">
        <f t="array" aca="1" ref="E65" ca="1">_FV(B65,"Price")</f>
        <v>29.15</v>
      </c>
      <c r="F65" s="4">
        <f t="array" aca="1" ref="F65" ca="1">_FV(B65,"Change (%)",TRUE)</f>
        <v>-7.5190000000000007E-2</v>
      </c>
      <c r="G65" s="5">
        <f t="array" aca="1" ref="G65" ca="1">_FV(B65,"Change")</f>
        <v>-2.37</v>
      </c>
      <c r="H65" s="6">
        <f t="array" aca="1" ref="H65" ca="1">_FV(B65,"P/E",TRUE)</f>
        <v>11.5436</v>
      </c>
      <c r="I65" s="6">
        <f t="array" aca="1" ref="I65" ca="1">_FV(B65,"Beta")</f>
        <v>1.3727</v>
      </c>
      <c r="J65" s="3">
        <f t="array" aca="1" ref="J65" ca="1">_FV(B65,"52 week high",TRUE)</f>
        <v>56</v>
      </c>
      <c r="K65" s="3">
        <f t="array" aca="1" ref="K65" ca="1">_FV(B65,"52 week low",TRUE)</f>
        <v>17.57</v>
      </c>
      <c r="L65" s="3">
        <f t="array" aca="1" ref="L65" ca="1">_FV(B65,"High")</f>
        <v>31.035</v>
      </c>
      <c r="M65" s="3">
        <f t="array" aca="1" ref="M65" ca="1">_FV(B65,"Low")</f>
        <v>28.87</v>
      </c>
      <c r="N65" s="3">
        <f t="array" aca="1" ref="N65" ca="1">_FV(B65,"Open")</f>
        <v>30.43</v>
      </c>
      <c r="O65" s="3">
        <f t="array" aca="1" ref="O65" ca="1">_FV(B65,"Previous close",TRUE)</f>
        <v>31.52</v>
      </c>
      <c r="P65" s="7">
        <f t="array" aca="1" ref="P65" ca="1">_FV(B65,"Volume")</f>
        <v>2404767</v>
      </c>
      <c r="Q65" s="7">
        <f t="array" aca="1" ref="Q65" ca="1">_FV(B65,"Volume average",TRUE)</f>
        <v>1730338</v>
      </c>
      <c r="R65" s="8">
        <f t="array" aca="1" ref="R65" ca="1">_FV(B65,"Year incorporated",TRUE)</f>
        <v>1969</v>
      </c>
      <c r="S65" s="7">
        <f t="array" aca="1" ref="S65" ca="1">_FV(B65,"Employees")</f>
        <v>1908</v>
      </c>
      <c r="T65" t="str">
        <f t="array" aca="1" ref="T65" ca="1">_FV(B65,"Industry")</f>
        <v>Semiconductors &amp; Semiconductor Equipment</v>
      </c>
      <c r="U65" s="7">
        <f t="array" aca="1" ref="U65" ca="1">_FV(B65,"Market cap",TRUE)</f>
        <v>1718870268</v>
      </c>
      <c r="V65" s="7">
        <f t="array" aca="1" ref="V65" ca="1">_FV(B65,"Shares outstanding",TRUE)</f>
        <v>58966390</v>
      </c>
    </row>
    <row r="66" spans="1:22">
      <c r="A66" t="s">
        <v>80</v>
      </c>
      <c r="B66" t="e" vm="71">
        <v>#VALUE!</v>
      </c>
      <c r="C66" s="2">
        <f t="array" aca="1" ref="C66" ca="1">_FV(B66,"Last trade time",TRUE)</f>
        <v>46178.903495728904</v>
      </c>
      <c r="D66" t="str">
        <f t="array" aca="1" ref="D66" ca="1">_FV(B66,"Currency")</f>
        <v>USD</v>
      </c>
      <c r="E66" s="3">
        <f t="array" aca="1" ref="E66" ca="1">_FV(B66,"Price")</f>
        <v>11.86</v>
      </c>
      <c r="F66" s="4">
        <f t="array" aca="1" ref="F66" ca="1">_FV(B66,"Change (%)",TRUE)</f>
        <v>-0.23360299999999998</v>
      </c>
      <c r="G66" s="5">
        <f t="array" aca="1" ref="G66" ca="1">_FV(B66,"Change")</f>
        <v>-3.6150000000000002</v>
      </c>
      <c r="H66" s="6">
        <f t="array" aca="1" ref="H66" ca="1">_FV(B66,"P/E",TRUE)</f>
        <v>0</v>
      </c>
      <c r="I66" s="6">
        <f t="array" aca="1" ref="I66" ca="1">_FV(B66,"Beta")</f>
        <v>0.71440000000000003</v>
      </c>
      <c r="J66" s="3">
        <f t="array" aca="1" ref="J66" ca="1">_FV(B66,"52 week high",TRUE)</f>
        <v>20.81</v>
      </c>
      <c r="K66" s="3">
        <f t="array" aca="1" ref="K66" ca="1">_FV(B66,"52 week low",TRUE)</f>
        <v>3.87</v>
      </c>
      <c r="L66" s="3">
        <f t="array" aca="1" ref="L66" ca="1">_FV(B66,"High")</f>
        <v>14.79</v>
      </c>
      <c r="M66" s="3">
        <f t="array" aca="1" ref="M66" ca="1">_FV(B66,"Low")</f>
        <v>11.8</v>
      </c>
      <c r="N66" s="3">
        <f t="array" aca="1" ref="N66" ca="1">_FV(B66,"Open")</f>
        <v>14.56</v>
      </c>
      <c r="O66" s="3">
        <f t="array" aca="1" ref="O66" ca="1">_FV(B66,"Previous close",TRUE)</f>
        <v>15.475</v>
      </c>
      <c r="P66" s="7">
        <f t="array" aca="1" ref="P66" ca="1">_FV(B66,"Volume")</f>
        <v>56920442</v>
      </c>
      <c r="Q66" s="7">
        <f t="array" aca="1" ref="Q66" ca="1">_FV(B66,"Volume average",TRUE)</f>
        <v>55707356</v>
      </c>
      <c r="R66" s="8">
        <f t="array" aca="1" ref="R66" ca="1">_FV(B66,"Year incorporated",TRUE)</f>
        <v>2010</v>
      </c>
      <c r="S66" s="7">
        <f t="array" aca="1" ref="S66" ca="1">_FV(B66,"Employees")</f>
        <v>180</v>
      </c>
      <c r="T66" t="str">
        <f t="array" aca="1" ref="T66" ca="1">_FV(B66,"Industry")</f>
        <v>Semiconductors &amp; Semiconductor Equipment</v>
      </c>
      <c r="U66" s="7">
        <f t="array" aca="1" ref="U66" ca="1">_FV(B66,"Market cap",TRUE)</f>
        <v>2046981444</v>
      </c>
      <c r="V66" s="7">
        <f t="array" aca="1" ref="V66" ca="1">_FV(B66,"Shares outstanding",TRUE)</f>
        <v>172595400</v>
      </c>
    </row>
    <row r="67" spans="1:22">
      <c r="A67" t="s">
        <v>452</v>
      </c>
      <c r="B67" t="e" vm="72">
        <v>#VALUE!</v>
      </c>
      <c r="C67" s="2" cm="1">
        <f t="array" aca="1" ref="C67" ca="1">_FV(B67,"Last trade time",TRUE)</f>
        <v>46178.903501770314</v>
      </c>
      <c r="D67" t="str" cm="1">
        <f t="array" aca="1" ref="D67" ca="1">_FV(B67,"Currency")</f>
        <v>USD</v>
      </c>
      <c r="E67" s="3" cm="1">
        <f t="array" aca="1" ref="E67" ca="1">_FV(B67,"Price")</f>
        <v>215.94</v>
      </c>
      <c r="F67" s="4" cm="1">
        <f t="array" aca="1" ref="F67" ca="1">_FV(B67,"Change (%)",TRUE)</f>
        <v>-0.10978300000000001</v>
      </c>
      <c r="G67" s="5" cm="1">
        <f t="array" aca="1" ref="G67" ca="1">_FV(B67,"Change")</f>
        <v>-26.63</v>
      </c>
      <c r="H67" s="6" cm="1">
        <f t="array" aca="1" ref="H67" ca="1">_FV(B67,"P/E",TRUE)</f>
        <v>26.385100000000001</v>
      </c>
      <c r="I67" s="6" cm="1">
        <f t="array" aca="1" ref="I67" ca="1">_FV(B67,"Beta")</f>
        <v>1.5986</v>
      </c>
      <c r="J67" s="3" cm="1">
        <f t="array" aca="1" ref="J67" ca="1">_FV(B67,"52 week high",TRUE)</f>
        <v>259.92</v>
      </c>
      <c r="K67" s="3" cm="1">
        <f t="array" aca="1" ref="K67" ca="1">_FV(B67,"52 week low",TRUE)</f>
        <v>121.99</v>
      </c>
      <c r="L67" s="3" cm="1">
        <f t="array" aca="1" ref="L67" ca="1">_FV(B67,"High")</f>
        <v>238.44</v>
      </c>
      <c r="M67" s="3" cm="1">
        <f t="array" aca="1" ref="M67" ca="1">_FV(B67,"Low")</f>
        <v>215</v>
      </c>
      <c r="N67" s="3" cm="1">
        <f t="array" aca="1" ref="N67" ca="1">_FV(B67,"Open")</f>
        <v>237.65</v>
      </c>
      <c r="O67" s="3" cm="1">
        <f t="array" aca="1" ref="O67" ca="1">_FV(B67,"Previous close",TRUE)</f>
        <v>242.57</v>
      </c>
      <c r="P67" s="7" cm="1">
        <f t="array" aca="1" ref="P67" ca="1">_FV(B67,"Volume")</f>
        <v>24134590</v>
      </c>
      <c r="Q67" s="7" cm="1">
        <f t="array" aca="1" ref="Q67" ca="1">_FV(B67,"Volume average",TRUE)</f>
        <v>28705078</v>
      </c>
      <c r="R67" s="8" cm="1">
        <f t="array" aca="1" ref="R67" ca="1">_FV(B67,"Year incorporated",TRUE)</f>
        <v>1991</v>
      </c>
      <c r="S67" s="7" cm="1">
        <f t="array" aca="1" ref="S67" ca="1">_FV(B67,"Employees")</f>
        <v>52000</v>
      </c>
      <c r="T67" t="str" cm="1">
        <f t="array" aca="1" ref="T67" ca="1">_FV(B67,"Industry")</f>
        <v>Semiconductors &amp; Semiconductor Equipment</v>
      </c>
      <c r="U67" s="7" cm="1">
        <f t="array" aca="1" ref="U67" ca="1">_FV(B67,"Market cap",TRUE)</f>
        <v>227600760000</v>
      </c>
      <c r="V67" s="7" cm="1">
        <f t="array" aca="1" ref="V67" ca="1">_FV(B67,"Shares outstanding",TRUE)</f>
        <v>1054000000</v>
      </c>
    </row>
    <row r="68" spans="1:22">
      <c r="A68" t="s">
        <v>20</v>
      </c>
      <c r="B68" t="e" vm="73">
        <v>#VALUE!</v>
      </c>
      <c r="C68" s="2">
        <f t="array" aca="1" ref="C68" ca="1">_FV(B68,"Last trade time",TRUE)</f>
        <v>46178.843999258592</v>
      </c>
      <c r="D68" t="str">
        <f t="array" aca="1" ref="D68" ca="1">_FV(B68,"Currency")</f>
        <v>USD</v>
      </c>
      <c r="E68" s="3">
        <f t="array" aca="1" ref="E68" ca="1">_FV(B68,"Price")</f>
        <v>109.9</v>
      </c>
      <c r="F68" s="4">
        <f t="array" aca="1" ref="F68" ca="1">_FV(B68,"Change (%)",TRUE)</f>
        <v>-1.4571000000000001E-2</v>
      </c>
      <c r="G68" s="5">
        <f t="array" aca="1" ref="G68" ca="1">_FV(B68,"Change")</f>
        <v>-1.625</v>
      </c>
      <c r="H68" s="6">
        <f t="array" aca="1" ref="H68" ca="1">_FV(B68,"P/E",TRUE)</f>
        <v>19.7346</v>
      </c>
      <c r="I68" s="6">
        <f t="array" aca="1" ref="I68" ca="1">_FV(B68,"Beta")</f>
        <v>0.64910000000000001</v>
      </c>
      <c r="J68" s="3">
        <f t="array" aca="1" ref="J68" ca="1">_FV(B68,"52 week high",TRUE)</f>
        <v>155.47</v>
      </c>
      <c r="K68" s="3">
        <f t="array" aca="1" ref="K68" ca="1">_FV(B68,"52 week low",TRUE)</f>
        <v>74.510000000000005</v>
      </c>
      <c r="L68" s="3">
        <f t="array" aca="1" ref="L68" ca="1">_FV(B68,"High")</f>
        <v>113.1</v>
      </c>
      <c r="M68" s="3">
        <f t="array" aca="1" ref="M68" ca="1">_FV(B68,"Low")</f>
        <v>107.09910000000001</v>
      </c>
      <c r="N68" s="3">
        <f t="array" aca="1" ref="N68" ca="1">_FV(B68,"Open")</f>
        <v>112.02</v>
      </c>
      <c r="O68" s="3">
        <f t="array" aca="1" ref="O68" ca="1">_FV(B68,"Previous close",TRUE)</f>
        <v>111.52500000000001</v>
      </c>
      <c r="P68" s="7">
        <f t="array" aca="1" ref="P68" ca="1">_FV(B68,"Volume")</f>
        <v>589306</v>
      </c>
      <c r="Q68" s="7">
        <f t="array" aca="1" ref="Q68" ca="1">_FV(B68,"Volume average",TRUE)</f>
        <v>809737</v>
      </c>
      <c r="R68" s="8">
        <f t="array" aca="1" ref="R68" ca="1">_FV(B68,"Year incorporated",TRUE)</f>
        <v>1999</v>
      </c>
      <c r="S68" s="7">
        <f t="array" aca="1" ref="S68" ca="1">_FV(B68,"Employees")</f>
        <v>2683</v>
      </c>
      <c r="T68" t="str">
        <f t="array" aca="1" ref="T68" ca="1">_FV(B68,"Industry")</f>
        <v>Software &amp; IT Services</v>
      </c>
      <c r="U68" s="7">
        <f t="array" aca="1" ref="U68" ca="1">_FV(B68,"Market cap",TRUE)</f>
        <v>3870349399</v>
      </c>
      <c r="V68" s="7">
        <f t="array" aca="1" ref="V68" ca="1">_FV(B68,"Shares outstanding",TRUE)</f>
        <v>35217010</v>
      </c>
    </row>
    <row r="69" spans="1:22">
      <c r="A69" t="s">
        <v>153</v>
      </c>
      <c r="B69" t="e" vm="74">
        <v>#VALUE!</v>
      </c>
      <c r="C69" s="2" cm="1">
        <f t="array" aca="1" ref="C69" ca="1">_FV(B69,"Last trade time",TRUE)</f>
        <v>46178.903533599216</v>
      </c>
      <c r="D69" t="str" cm="1">
        <f t="array" aca="1" ref="D69" ca="1">_FV(B69,"Currency")</f>
        <v>USD</v>
      </c>
      <c r="E69" s="3" cm="1">
        <f t="array" aca="1" ref="E69" ca="1">_FV(B69,"Price")</f>
        <v>705.06</v>
      </c>
      <c r="F69" s="4" cm="1">
        <f t="array" aca="1" ref="F69" ca="1">_FV(B69,"Change (%)",TRUE)</f>
        <v>-4.8000999999999995E-2</v>
      </c>
      <c r="G69" s="5" cm="1">
        <f t="array" aca="1" ref="G69" ca="1">_FV(B69,"Change")</f>
        <v>-35.549999999999997</v>
      </c>
      <c r="H69" s="6" t="e" cm="1" vm="13">
        <f t="array" ref="H69">_FV(B69,"P/E",TRUE)</f>
        <v>#VALUE!</v>
      </c>
      <c r="I69" s="6" cm="1">
        <f t="array" aca="1" ref="I69" ca="1">_FV(B69,"Beta")</f>
        <v>1.0089999999999999</v>
      </c>
      <c r="J69" s="3" cm="1">
        <f t="array" aca="1" ref="J69" ca="1">_FV(B69,"52 week high",TRUE)</f>
        <v>748.65</v>
      </c>
      <c r="K69" s="3" cm="1">
        <f t="array" aca="1" ref="K69" ca="1">_FV(B69,"52 week low",TRUE)</f>
        <v>522.66</v>
      </c>
      <c r="L69" s="3" cm="1">
        <f t="array" aca="1" ref="L69" ca="1">_FV(B69,"High")</f>
        <v>731.69</v>
      </c>
      <c r="M69" s="3" cm="1">
        <f t="array" aca="1" ref="M69" ca="1">_FV(B69,"Low")</f>
        <v>704.32</v>
      </c>
      <c r="N69" s="3" cm="1">
        <f t="array" aca="1" ref="N69" ca="1">_FV(B69,"Open")</f>
        <v>730.06</v>
      </c>
      <c r="O69" s="3" cm="1">
        <f t="array" aca="1" ref="O69" ca="1">_FV(B69,"Previous close",TRUE)</f>
        <v>740.61</v>
      </c>
      <c r="P69" s="7" cm="1">
        <f t="array" aca="1" ref="P69" ca="1">_FV(B69,"Volume")</f>
        <v>98922418</v>
      </c>
      <c r="Q69" s="7" cm="1">
        <f t="array" aca="1" ref="Q69" ca="1">_FV(B69,"Volume average",TRUE)</f>
        <v>38925183</v>
      </c>
      <c r="R69" s="8" t="e" cm="1" vm="14">
        <f t="array" ref="R69">_FV(B69,"Year incorporated",TRUE)</f>
        <v>#VALUE!</v>
      </c>
      <c r="S69" s="7" t="e" cm="1" vm="15">
        <f t="array" ref="S69">_FV(B69,"Employees")</f>
        <v>#VALUE!</v>
      </c>
      <c r="T69" t="e" cm="1" vm="16">
        <f t="array" ref="T69">_FV(B69,"Industry")</f>
        <v>#VALUE!</v>
      </c>
      <c r="U69" s="7" cm="1">
        <f t="array" aca="1" ref="U69" ca="1">_FV(B69,"Market cap",TRUE)</f>
        <v>493987523137.08002</v>
      </c>
      <c r="V69" s="7" t="e" cm="1" vm="17">
        <f t="array" ref="V69">_FV(B69,"Shares outstanding",TRUE)</f>
        <v>#VALUE!</v>
      </c>
    </row>
    <row r="70" spans="1:22">
      <c r="A70" t="s">
        <v>147</v>
      </c>
      <c r="B70" t="e" vm="75">
        <v>#VALUE!</v>
      </c>
      <c r="C70" s="2" cm="1">
        <f t="array" aca="1" ref="C70" ca="1">_FV(B70,"Last trade time",TRUE)</f>
        <v>46178.899622407029</v>
      </c>
      <c r="D70" t="str" cm="1">
        <f t="array" aca="1" ref="D70" ca="1">_FV(B70,"Currency")</f>
        <v>USD</v>
      </c>
      <c r="E70" s="3" cm="1">
        <f t="array" aca="1" ref="E70" ca="1">_FV(B70,"Price")</f>
        <v>446.68</v>
      </c>
      <c r="F70" s="4" cm="1">
        <f t="array" aca="1" ref="F70" ca="1">_FV(B70,"Change (%)",TRUE)</f>
        <v>-3.3661999999999997E-2</v>
      </c>
      <c r="G70" s="5" cm="1">
        <f t="array" aca="1" ref="G70" ca="1">_FV(B70,"Change")</f>
        <v>-15.56</v>
      </c>
      <c r="H70" s="6" cm="1">
        <f t="array" aca="1" ref="H70" ca="1">_FV(B70,"P/E",TRUE)</f>
        <v>48.019100000000002</v>
      </c>
      <c r="I70" s="6" cm="1">
        <f t="array" aca="1" ref="I70" ca="1">_FV(B70,"Beta")</f>
        <v>1.5580000000000001</v>
      </c>
      <c r="J70" s="3" cm="1">
        <f t="array" aca="1" ref="J70" ca="1">_FV(B70,"52 week high",TRUE)</f>
        <v>468.11</v>
      </c>
      <c r="K70" s="3" cm="1">
        <f t="array" aca="1" ref="K70" ca="1">_FV(B70,"52 week low",TRUE)</f>
        <v>305.44009999999997</v>
      </c>
      <c r="L70" s="3" cm="1">
        <f t="array" aca="1" ref="L70" ca="1">_FV(B70,"High")</f>
        <v>456.11500000000001</v>
      </c>
      <c r="M70" s="3" cm="1">
        <f t="array" aca="1" ref="M70" ca="1">_FV(B70,"Low")</f>
        <v>441.2</v>
      </c>
      <c r="N70" s="3" cm="1">
        <f t="array" aca="1" ref="N70" ca="1">_FV(B70,"Open")</f>
        <v>456.1</v>
      </c>
      <c r="O70" s="3" cm="1">
        <f t="array" aca="1" ref="O70" ca="1">_FV(B70,"Previous close",TRUE)</f>
        <v>462.24</v>
      </c>
      <c r="P70" s="7" cm="1">
        <f t="array" aca="1" ref="P70" ca="1">_FV(B70,"Volume")</f>
        <v>843971</v>
      </c>
      <c r="Q70" s="7" cm="1">
        <f t="array" aca="1" ref="Q70" ca="1">_FV(B70,"Volume average",TRUE)</f>
        <v>807415</v>
      </c>
      <c r="R70" s="8" cm="1">
        <f t="array" aca="1" ref="R70" ca="1">_FV(B70,"Year incorporated",TRUE)</f>
        <v>1996</v>
      </c>
      <c r="S70" s="7" cm="1">
        <f t="array" aca="1" ref="S70" ca="1">_FV(B70,"Employees")</f>
        <v>26000</v>
      </c>
      <c r="T70" t="str" cm="1">
        <f t="array" aca="1" ref="T70" ca="1">_FV(B70,"Industry")</f>
        <v>Machinery, Equipment &amp; Components</v>
      </c>
      <c r="U70" s="7" cm="1">
        <f t="array" aca="1" ref="U70" ca="1">_FV(B70,"Market cap",TRUE)</f>
        <v>49703825652</v>
      </c>
      <c r="V70" s="7" cm="1">
        <f t="array" aca="1" ref="V70" ca="1">_FV(B70,"Shares outstanding",TRUE)</f>
        <v>111273900</v>
      </c>
    </row>
    <row r="71" spans="1:22">
      <c r="A71" t="s">
        <v>310</v>
      </c>
      <c r="B71" t="e" vm="76">
        <v>#VALUE!</v>
      </c>
      <c r="C71" s="2" cm="1">
        <f t="array" aca="1" ref="C71" ca="1">_FV(B71,"Last trade time",TRUE)</f>
        <v>46178.902245450779</v>
      </c>
      <c r="D71" t="str" cm="1">
        <f t="array" aca="1" ref="D71" ca="1">_FV(B71,"Currency")</f>
        <v>USD</v>
      </c>
      <c r="E71" s="3" cm="1">
        <f t="array" aca="1" ref="E71" ca="1">_FV(B71,"Price")</f>
        <v>3.3149999999999999</v>
      </c>
      <c r="F71" s="4" cm="1">
        <f t="array" aca="1" ref="F71" ca="1">_FV(B71,"Change (%)",TRUE)</f>
        <v>-0.127632</v>
      </c>
      <c r="G71" s="5" cm="1">
        <f t="array" aca="1" ref="G71" ca="1">_FV(B71,"Change")</f>
        <v>-0.48499999999999999</v>
      </c>
      <c r="H71" s="6" cm="1">
        <f t="array" aca="1" ref="H71" ca="1">_FV(B71,"P/E",TRUE)</f>
        <v>0</v>
      </c>
      <c r="I71" s="6" cm="1">
        <f t="array" aca="1" ref="I71" ca="1">_FV(B71,"Beta")</f>
        <v>0.99790000000000001</v>
      </c>
      <c r="J71" s="3" cm="1">
        <f t="array" aca="1" ref="J71" ca="1">_FV(B71,"52 week high",TRUE)</f>
        <v>7.18</v>
      </c>
      <c r="K71" s="3" cm="1">
        <f t="array" aca="1" ref="K71" ca="1">_FV(B71,"52 week low",TRUE)</f>
        <v>2.77</v>
      </c>
      <c r="L71" s="3" cm="1">
        <f t="array" aca="1" ref="L71" ca="1">_FV(B71,"High")</f>
        <v>3.7</v>
      </c>
      <c r="M71" s="3" cm="1">
        <f t="array" aca="1" ref="M71" ca="1">_FV(B71,"Low")</f>
        <v>3.2050000000000001</v>
      </c>
      <c r="N71" s="3" cm="1">
        <f t="array" aca="1" ref="N71" ca="1">_FV(B71,"Open")</f>
        <v>3.63</v>
      </c>
      <c r="O71" s="3" cm="1">
        <f t="array" aca="1" ref="O71" ca="1">_FV(B71,"Previous close",TRUE)</f>
        <v>3.8</v>
      </c>
      <c r="P71" s="7" cm="1">
        <f t="array" aca="1" ref="P71" ca="1">_FV(B71,"Volume")</f>
        <v>26796035</v>
      </c>
      <c r="Q71" s="7" cm="1">
        <f t="array" aca="1" ref="Q71" ca="1">_FV(B71,"Volume average",TRUE)</f>
        <v>18521126</v>
      </c>
      <c r="R71" s="8" cm="1">
        <f t="array" aca="1" ref="R71" ca="1">_FV(B71,"Year incorporated",TRUE)</f>
        <v>2013</v>
      </c>
      <c r="S71" s="7" cm="1">
        <f t="array" aca="1" ref="S71" ca="1">_FV(B71,"Employees")</f>
        <v>600</v>
      </c>
      <c r="T71" t="str" cm="1">
        <f t="array" aca="1" ref="T71" ca="1">_FV(B71,"Industry")</f>
        <v>Biotechnology &amp; Medical Research</v>
      </c>
      <c r="U71" s="7" cm="1">
        <f t="array" aca="1" ref="U71" ca="1">_FV(B71,"Market cap",TRUE)</f>
        <v>1756635738</v>
      </c>
      <c r="V71" s="7" cm="1">
        <f t="array" aca="1" ref="V71" ca="1">_FV(B71,"Shares outstanding",TRUE)</f>
        <v>529905200</v>
      </c>
    </row>
    <row r="72" spans="1:22">
      <c r="A72" t="s">
        <v>311</v>
      </c>
      <c r="B72" t="e" vm="77">
        <v>#VALUE!</v>
      </c>
      <c r="C72" s="2" cm="1">
        <f t="array" aca="1" ref="C72" ca="1">_FV(B72,"Last trade time",TRUE)</f>
        <v>46178.900013390623</v>
      </c>
      <c r="D72" t="str" cm="1">
        <f t="array" aca="1" ref="D72" ca="1">_FV(B72,"Currency")</f>
        <v>USD</v>
      </c>
      <c r="E72" s="3" cm="1">
        <f t="array" aca="1" ref="E72" ca="1">_FV(B72,"Price")</f>
        <v>15.96</v>
      </c>
      <c r="F72" s="4" cm="1">
        <f t="array" aca="1" ref="F72" ca="1">_FV(B72,"Change (%)",TRUE)</f>
        <v>-3.4483E-2</v>
      </c>
      <c r="G72" s="5" cm="1">
        <f t="array" aca="1" ref="G72" ca="1">_FV(B72,"Change")</f>
        <v>-0.56999999999999995</v>
      </c>
      <c r="H72" s="6" cm="1">
        <f t="array" aca="1" ref="H72" ca="1">_FV(B72,"P/E",TRUE)</f>
        <v>0</v>
      </c>
      <c r="I72" s="6" cm="1">
        <f t="array" aca="1" ref="I72" ca="1">_FV(B72,"Beta")</f>
        <v>0.83179999999999998</v>
      </c>
      <c r="J72" s="3" cm="1">
        <f t="array" aca="1" ref="J72" ca="1">_FV(B72,"52 week high",TRUE)</f>
        <v>21.4</v>
      </c>
      <c r="K72" s="3" cm="1">
        <f t="array" aca="1" ref="K72" ca="1">_FV(B72,"52 week low",TRUE)</f>
        <v>11.81</v>
      </c>
      <c r="L72" s="3" cm="1">
        <f t="array" aca="1" ref="L72" ca="1">_FV(B72,"High")</f>
        <v>16.61</v>
      </c>
      <c r="M72" s="3" cm="1">
        <f t="array" aca="1" ref="M72" ca="1">_FV(B72,"Low")</f>
        <v>15.640700000000001</v>
      </c>
      <c r="N72" s="3" cm="1">
        <f t="array" aca="1" ref="N72" ca="1">_FV(B72,"Open")</f>
        <v>16.5</v>
      </c>
      <c r="O72" s="3" cm="1">
        <f t="array" aca="1" ref="O72" ca="1">_FV(B72,"Previous close",TRUE)</f>
        <v>16.53</v>
      </c>
      <c r="P72" s="7" cm="1">
        <f t="array" aca="1" ref="P72" ca="1">_FV(B72,"Volume")</f>
        <v>7571048</v>
      </c>
      <c r="Q72" s="7" cm="1">
        <f t="array" aca="1" ref="Q72" ca="1">_FV(B72,"Volume average",TRUE)</f>
        <v>9826033</v>
      </c>
      <c r="R72" s="8" cm="1">
        <f t="array" aca="1" ref="R72" ca="1">_FV(B72,"Year incorporated",TRUE)</f>
        <v>2013</v>
      </c>
      <c r="S72" s="7" cm="1">
        <f t="array" aca="1" ref="S72" ca="1">_FV(B72,"Employees")</f>
        <v>2700</v>
      </c>
      <c r="T72" t="str" cm="1">
        <f t="array" aca="1" ref="T72" ca="1">_FV(B72,"Industry")</f>
        <v>Software &amp; IT Services</v>
      </c>
      <c r="U72" s="7" cm="1">
        <f t="array" aca="1" ref="U72" ca="1">_FV(B72,"Market cap",TRUE)</f>
        <v>5471147052</v>
      </c>
      <c r="V72" s="7" cm="1">
        <f t="array" aca="1" ref="V72" ca="1">_FV(B72,"Shares outstanding",TRUE)</f>
        <v>342803700</v>
      </c>
    </row>
    <row r="73" spans="1:22">
      <c r="A73" t="s">
        <v>615</v>
      </c>
      <c r="B73" t="e" vm="78">
        <v>#VALUE!</v>
      </c>
      <c r="C73" s="2" cm="1">
        <f t="array" aca="1" ref="C73" ca="1">_FV(B73,"Last trade time",TRUE)</f>
        <v>46178.836805555555</v>
      </c>
      <c r="D73" t="str" cm="1">
        <f t="array" aca="1" ref="D73" ca="1">_FV(B73,"Currency")</f>
        <v>EUR</v>
      </c>
      <c r="E73" s="3" cm="1">
        <f t="array" aca="1" ref="E73" ca="1">_FV(B73,"Price")</f>
        <v>161.47999999999999</v>
      </c>
      <c r="F73" s="4" cm="1">
        <f t="array" aca="1" ref="F73" ca="1">_FV(B73,"Change (%)",TRUE)</f>
        <v>-1.8359E-2</v>
      </c>
      <c r="G73" s="5" cm="1">
        <f t="array" aca="1" ref="G73" ca="1">_FV(B73,"Change")</f>
        <v>-3.02</v>
      </c>
      <c r="H73" s="6" cm="1">
        <f t="array" aca="1" ref="H73" ca="1">_FV(B73,"P/E",TRUE)</f>
        <v>26.2151</v>
      </c>
      <c r="I73" s="6" cm="1">
        <f t="array" aca="1" ref="I73" ca="1">_FV(B73,"Beta")</f>
        <v>1.0986</v>
      </c>
      <c r="J73" s="3" cm="1">
        <f t="array" aca="1" ref="J73" ca="1">_FV(B73,"52 week high",TRUE)</f>
        <v>273.55</v>
      </c>
      <c r="K73" s="3" cm="1">
        <f t="array" aca="1" ref="K73" ca="1">_FV(B73,"52 week low",TRUE)</f>
        <v>135.44</v>
      </c>
      <c r="L73" s="3" cm="1">
        <f t="array" aca="1" ref="L73" ca="1">_FV(B73,"High")</f>
        <v>168.74</v>
      </c>
      <c r="M73" s="3" cm="1">
        <f t="array" aca="1" ref="M73" ca="1">_FV(B73,"Low")</f>
        <v>161.47999999999999</v>
      </c>
      <c r="N73" s="3" cm="1">
        <f t="array" aca="1" ref="N73" ca="1">_FV(B73,"Open")</f>
        <v>163.74</v>
      </c>
      <c r="O73" s="3" cm="1">
        <f t="array" aca="1" ref="O73" ca="1">_FV(B73,"Previous close",TRUE)</f>
        <v>164.5</v>
      </c>
      <c r="P73" s="7" cm="1">
        <f t="array" aca="1" ref="P73" ca="1">_FV(B73,"Volume")</f>
        <v>2968649</v>
      </c>
      <c r="Q73" s="7" cm="1">
        <f t="array" aca="1" ref="Q73" ca="1">_FV(B73,"Volume average",TRUE)</f>
        <v>3118390</v>
      </c>
      <c r="R73" s="8" cm="1">
        <f t="array" aca="1" ref="R73" ca="1">_FV(B73,"Year incorporated",TRUE)</f>
        <v>2014</v>
      </c>
      <c r="S73" s="7" cm="1">
        <f t="array" aca="1" ref="S73" ca="1">_FV(B73,"Employees")</f>
        <v>111038</v>
      </c>
      <c r="T73" t="str" cm="1">
        <f t="array" aca="1" ref="T73" ca="1">_FV(B73,"Industry")</f>
        <v>Software &amp; IT Services</v>
      </c>
      <c r="U73" s="7" cm="1">
        <f t="array" aca="1" ref="U73" ca="1">_FV(B73,"Market cap",TRUE)</f>
        <v>262224200000</v>
      </c>
      <c r="V73" s="7" cm="1">
        <f t="array" aca="1" ref="V73" ca="1">_FV(B73,"Shares outstanding",TRUE)</f>
        <v>1228504000</v>
      </c>
    </row>
    <row r="74" spans="1:22">
      <c r="A74" t="s">
        <v>30</v>
      </c>
      <c r="B74" t="e" vm="79">
        <v>#VALUE!</v>
      </c>
      <c r="C74" s="2">
        <f t="array" aca="1" ref="C74" ca="1">_FV(B74,"Last trade time",TRUE)</f>
        <v>46178.899415474218</v>
      </c>
      <c r="D74" t="str">
        <f t="array" aca="1" ref="D74" ca="1">_FV(B74,"Currency")</f>
        <v>USD</v>
      </c>
      <c r="E74" s="3">
        <f t="array" aca="1" ref="E74" ca="1">_FV(B74,"Price")</f>
        <v>88.81</v>
      </c>
      <c r="F74" s="4">
        <f t="array" aca="1" ref="F74" ca="1">_FV(B74,"Change (%)",TRUE)</f>
        <v>9.2049999999999996E-3</v>
      </c>
      <c r="G74" s="5">
        <f t="array" aca="1" ref="G74" ca="1">_FV(B74,"Change")</f>
        <v>0.81</v>
      </c>
      <c r="H74" s="6">
        <f t="array" aca="1" ref="H74" ca="1">_FV(B74,"P/E",TRUE)</f>
        <v>17.450700000000001</v>
      </c>
      <c r="I74" s="6">
        <f t="array" aca="1" ref="I74" ca="1">_FV(B74,"Beta")</f>
        <v>0.77229999999999999</v>
      </c>
      <c r="J74" s="3">
        <f t="array" aca="1" ref="J74" ca="1">_FV(B74,"52 week high",TRUE)</f>
        <v>107.5</v>
      </c>
      <c r="K74" s="3">
        <f t="array" aca="1" ref="K74" ca="1">_FV(B74,"52 week low",TRUE)</f>
        <v>83.96</v>
      </c>
      <c r="L74" s="3">
        <f t="array" aca="1" ref="L74" ca="1">_FV(B74,"High")</f>
        <v>88.94</v>
      </c>
      <c r="M74" s="3">
        <f t="array" aca="1" ref="M74" ca="1">_FV(B74,"Low")</f>
        <v>87.674999999999997</v>
      </c>
      <c r="N74" s="3">
        <f t="array" aca="1" ref="N74" ca="1">_FV(B74,"Open")</f>
        <v>88.46</v>
      </c>
      <c r="O74" s="3">
        <f t="array" aca="1" ref="O74" ca="1">_FV(B74,"Previous close",TRUE)</f>
        <v>88</v>
      </c>
      <c r="P74" s="7">
        <f t="array" aca="1" ref="P74" ca="1">_FV(B74,"Volume")</f>
        <v>9211116</v>
      </c>
      <c r="Q74" s="7">
        <f t="array" aca="1" ref="Q74" ca="1">_FV(B74,"Volume average",TRUE)</f>
        <v>11334281</v>
      </c>
      <c r="R74" s="8">
        <f t="array" aca="1" ref="R74" ca="1">_FV(B74,"Year incorporated",TRUE)</f>
        <v>1986</v>
      </c>
      <c r="S74" s="7">
        <f t="array" aca="1" ref="S74" ca="1">_FV(B74,"Employees")</f>
        <v>33500</v>
      </c>
      <c r="T74" t="str">
        <f t="array" aca="1" ref="T74" ca="1">_FV(B74,"Industry")</f>
        <v>Investment Banking &amp; Investment Services</v>
      </c>
      <c r="U74" s="7">
        <f t="array" aca="1" ref="U74" ca="1">_FV(B74,"Market cap",TRUE)</f>
        <v>154452579350</v>
      </c>
      <c r="V74" s="7">
        <f t="array" aca="1" ref="V74" ca="1">_FV(B74,"Shares outstanding",TRUE)</f>
        <v>1739135000</v>
      </c>
    </row>
    <row r="75" spans="1:22">
      <c r="A75" t="s">
        <v>32</v>
      </c>
      <c r="B75" t="e" vm="80">
        <v>#VALUE!</v>
      </c>
      <c r="C75" s="2">
        <f t="array" aca="1" ref="C75" ca="1">_FV(B75,"Last trade time",TRUE)</f>
        <v>46178.664901712502</v>
      </c>
      <c r="D75" t="str">
        <f t="array" aca="1" ref="D75" ca="1">_FV(B75,"Currency")</f>
        <v>GBp</v>
      </c>
      <c r="E75" s="9">
        <f t="array" aca="1" ref="E75" ca="1">_FV(B75,"Price")</f>
        <v>870</v>
      </c>
      <c r="F75" s="4">
        <f t="array" aca="1" ref="F75" ca="1">_FV(B75,"Change (%)",TRUE)</f>
        <v>-1.4945999999999999E-2</v>
      </c>
      <c r="G75" s="5">
        <f t="array" aca="1" ref="G75" ca="1">_FV(B75,"Change")</f>
        <v>-13.2</v>
      </c>
      <c r="H75" s="6">
        <f t="array" aca="1" ref="H75" ca="1">_FV(B75,"P/E",TRUE)</f>
        <v>0</v>
      </c>
      <c r="I75" s="6">
        <f t="array" aca="1" ref="I75" ca="1">_FV(B75,"Beta")</f>
        <v>0.3473</v>
      </c>
      <c r="J75" s="9">
        <f t="array" aca="1" ref="J75" ca="1">_FV(B75,"52 week high",TRUE)</f>
        <v>1335</v>
      </c>
      <c r="K75" s="9">
        <f t="array" aca="1" ref="K75" ca="1">_FV(B75,"52 week low",TRUE)</f>
        <v>771.66</v>
      </c>
      <c r="L75" s="9">
        <f t="array" aca="1" ref="L75" ca="1">_FV(B75,"High")</f>
        <v>901.6</v>
      </c>
      <c r="M75" s="9">
        <f t="array" aca="1" ref="M75" ca="1">_FV(B75,"Low")</f>
        <v>870</v>
      </c>
      <c r="N75" s="9">
        <f t="array" aca="1" ref="N75" ca="1">_FV(B75,"Open")</f>
        <v>886</v>
      </c>
      <c r="O75" s="9">
        <f t="array" aca="1" ref="O75" ca="1">_FV(B75,"Previous close",TRUE)</f>
        <v>883.2</v>
      </c>
      <c r="P75" s="7">
        <f t="array" aca="1" ref="P75" ca="1">_FV(B75,"Volume")</f>
        <v>7727115</v>
      </c>
      <c r="Q75" s="7">
        <f t="array" aca="1" ref="Q75" ca="1">_FV(B75,"Volume average",TRUE)</f>
        <v>4696590</v>
      </c>
      <c r="R75" s="8">
        <f t="array" aca="1" ref="R75" ca="1">_FV(B75,"Year incorporated",TRUE)</f>
        <v>1988</v>
      </c>
      <c r="S75" s="7">
        <f t="array" aca="1" ref="S75" ca="1">_FV(B75,"Employees")</f>
        <v>11074</v>
      </c>
      <c r="T75" t="str">
        <f t="array" aca="1" ref="T75" ca="1">_FV(B75,"Industry")</f>
        <v>Software &amp; IT Services</v>
      </c>
      <c r="U75" s="7">
        <f t="array" aca="1" ref="U75" ca="1">_FV(B75,"Market cap",TRUE)</f>
        <v>10571700000</v>
      </c>
      <c r="V75" s="7">
        <f t="array" aca="1" ref="V75" ca="1">_FV(B75,"Shares outstanding",TRUE)</f>
        <v>907731600</v>
      </c>
    </row>
    <row r="76" spans="1:22">
      <c r="A76" t="s">
        <v>55</v>
      </c>
      <c r="B76" t="e" vm="81">
        <v>#VALUE!</v>
      </c>
      <c r="C76" s="2">
        <f t="array" aca="1" ref="C76" ca="1">_FV(B76,"Last trade time",TRUE)</f>
        <v>46178.895729560158</v>
      </c>
      <c r="D76" t="str">
        <f t="array" aca="1" ref="D76" ca="1">_FV(B76,"Currency")</f>
        <v>USD</v>
      </c>
      <c r="E76" s="3">
        <f t="array" aca="1" ref="E76" ca="1">_FV(B76,"Price")</f>
        <v>34.97</v>
      </c>
      <c r="F76" s="4">
        <f t="array" aca="1" ref="F76" ca="1">_FV(B76,"Change (%)",TRUE)</f>
        <v>-7.8523999999999997E-2</v>
      </c>
      <c r="G76" s="5">
        <f t="array" aca="1" ref="G76" ca="1">_FV(B76,"Change")</f>
        <v>-2.98</v>
      </c>
      <c r="H76" s="6">
        <f t="array" aca="1" ref="H76" ca="1">_FV(B76,"P/E",TRUE)</f>
        <v>16.267199999999999</v>
      </c>
      <c r="I76" s="6">
        <f t="array" aca="1" ref="I76" ca="1">_FV(B76,"Beta")</f>
        <v>3.3264</v>
      </c>
      <c r="J76" s="3">
        <f t="array" aca="1" ref="J76" ca="1">_FV(B76,"52 week high",TRUE)</f>
        <v>39.93</v>
      </c>
      <c r="K76" s="3">
        <f t="array" aca="1" ref="K76" ca="1">_FV(B76,"52 week low",TRUE)</f>
        <v>8.18</v>
      </c>
      <c r="L76" s="3">
        <f t="array" aca="1" ref="L76" ca="1">_FV(B76,"High")</f>
        <v>36.770000000000003</v>
      </c>
      <c r="M76" s="3">
        <f t="array" aca="1" ref="M76" ca="1">_FV(B76,"Low")</f>
        <v>34.81</v>
      </c>
      <c r="N76" s="3">
        <f t="array" aca="1" ref="N76" ca="1">_FV(B76,"Open")</f>
        <v>36.630000000000003</v>
      </c>
      <c r="O76" s="3">
        <f t="array" aca="1" ref="O76" ca="1">_FV(B76,"Previous close",TRUE)</f>
        <v>37.950000000000003</v>
      </c>
      <c r="P76" s="7">
        <f t="array" aca="1" ref="P76" ca="1">_FV(B76,"Volume")</f>
        <v>1097087</v>
      </c>
      <c r="Q76" s="7">
        <f t="array" aca="1" ref="Q76" ca="1">_FV(B76,"Volume average",TRUE)</f>
        <v>1173283</v>
      </c>
      <c r="R76" s="8">
        <f t="array" aca="1" ref="R76" ca="1">_FV(B76,"Year incorporated",TRUE)</f>
        <v>2016</v>
      </c>
      <c r="S76" s="7">
        <f t="array" aca="1" ref="S76" ca="1">_FV(B76,"Employees")</f>
        <v>1551</v>
      </c>
      <c r="T76" t="str">
        <f t="array" aca="1" ref="T76" ca="1">_FV(B76,"Industry")</f>
        <v>Semiconductors &amp; Semiconductor Equipment</v>
      </c>
      <c r="U76" s="7">
        <f t="array" aca="1" ref="U76" ca="1">_FV(B76,"Market cap",TRUE)</f>
        <v>1720684862</v>
      </c>
      <c r="V76" s="7">
        <f t="array" aca="1" ref="V76" ca="1">_FV(B76,"Shares outstanding",TRUE)</f>
        <v>49204600</v>
      </c>
    </row>
    <row r="77" spans="1:22">
      <c r="A77" t="s">
        <v>72</v>
      </c>
      <c r="B77" t="e" vm="82">
        <v>#VALUE!</v>
      </c>
      <c r="C77" s="2">
        <f t="array" aca="1" ref="C77" ca="1">_FV(B77,"Last trade time",TRUE)</f>
        <v>46178.90346310156</v>
      </c>
      <c r="D77" t="str">
        <f t="array" aca="1" ref="D77" ca="1">_FV(B77,"Currency")</f>
        <v>USD</v>
      </c>
      <c r="E77" s="3">
        <f t="array" aca="1" ref="E77" ca="1">_FV(B77,"Price")</f>
        <v>41.64</v>
      </c>
      <c r="F77" s="4">
        <f t="array" aca="1" ref="F77" ca="1">_FV(B77,"Change (%)",TRUE)</f>
        <v>-0.112154</v>
      </c>
      <c r="G77" s="5">
        <f t="array" aca="1" ref="G77" ca="1">_FV(B77,"Change")</f>
        <v>-5.26</v>
      </c>
      <c r="H77" s="6">
        <f t="array" aca="1" ref="H77" ca="1">_FV(B77,"P/E",TRUE)</f>
        <v>25.555099999999999</v>
      </c>
      <c r="I77" s="6">
        <f t="array" aca="1" ref="I77" ca="1">_FV(B77,"Beta")</f>
        <v>1.8715999999999999</v>
      </c>
      <c r="J77" s="3">
        <f t="array" aca="1" ref="J77" ca="1">_FV(B77,"52 week high",TRUE)</f>
        <v>62.357999999999997</v>
      </c>
      <c r="K77" s="3">
        <f t="array" aca="1" ref="K77" ca="1">_FV(B77,"52 week low",TRUE)</f>
        <v>19.48</v>
      </c>
      <c r="L77" s="3">
        <f t="array" aca="1" ref="L77" ca="1">_FV(B77,"High")</f>
        <v>45.259900000000002</v>
      </c>
      <c r="M77" s="3">
        <f t="array" aca="1" ref="M77" ca="1">_FV(B77,"Low")</f>
        <v>41.040100000000002</v>
      </c>
      <c r="N77" s="3">
        <f t="array" aca="1" ref="N77" ca="1">_FV(B77,"Open")</f>
        <v>45</v>
      </c>
      <c r="O77" s="3">
        <f t="array" aca="1" ref="O77" ca="1">_FV(B77,"Previous close",TRUE)</f>
        <v>46.9</v>
      </c>
      <c r="P77" s="7">
        <f t="array" aca="1" ref="P77" ca="1">_FV(B77,"Volume")</f>
        <v>48999521</v>
      </c>
      <c r="Q77" s="7">
        <f t="array" aca="1" ref="Q77" ca="1">_FV(B77,"Volume average",TRUE)</f>
        <v>44861883</v>
      </c>
      <c r="R77" s="8">
        <f t="array" aca="1" ref="R77" ca="1">_FV(B77,"Year incorporated",TRUE)</f>
        <v>2006</v>
      </c>
      <c r="S77" s="7">
        <f t="array" aca="1" ref="S77" ca="1">_FV(B77,"Employees")</f>
        <v>6238</v>
      </c>
      <c r="T77" t="str">
        <f t="array" aca="1" ref="T77" ca="1">_FV(B77,"Industry")</f>
        <v>Computers, Phones &amp; Household Electronics</v>
      </c>
      <c r="U77" s="7">
        <f t="array" aca="1" ref="U77" ca="1">_FV(B77,"Market cap",TRUE)</f>
        <v>25043066340</v>
      </c>
      <c r="V77" s="7">
        <f t="array" aca="1" ref="V77" ca="1">_FV(B77,"Shares outstanding",TRUE)</f>
        <v>601418500</v>
      </c>
    </row>
    <row r="78" spans="1:22">
      <c r="A78" t="s">
        <v>154</v>
      </c>
      <c r="B78" t="e" vm="83">
        <v>#VALUE!</v>
      </c>
      <c r="C78" s="2" cm="1">
        <f t="array" aca="1" ref="C78" ca="1">_FV(B78,"Last trade time",TRUE)</f>
        <v>46178.903555450779</v>
      </c>
      <c r="D78" t="str" cm="1">
        <f t="array" aca="1" ref="D78" ca="1">_FV(B78,"Currency")</f>
        <v>USD</v>
      </c>
      <c r="E78" s="3" cm="1">
        <f t="array" aca="1" ref="E78" ca="1">_FV(B78,"Price")</f>
        <v>569.69000000000005</v>
      </c>
      <c r="F78" s="4" cm="1">
        <f t="array" aca="1" ref="F78" ca="1">_FV(B78,"Change (%)",TRUE)</f>
        <v>-9.2171000000000003E-2</v>
      </c>
      <c r="G78" s="5" cm="1">
        <f t="array" aca="1" ref="G78" ca="1">_FV(B78,"Change")</f>
        <v>-57.84</v>
      </c>
      <c r="H78" s="6" t="e" cm="1" vm="13">
        <f t="array" ref="H78">_FV(B78,"P/E",TRUE)</f>
        <v>#VALUE!</v>
      </c>
      <c r="I78" s="6" cm="1">
        <f t="array" aca="1" ref="I78" ca="1">_FV(B78,"Beta")</f>
        <v>1.5567</v>
      </c>
      <c r="J78" s="3" cm="1">
        <f t="array" aca="1" ref="J78" ca="1">_FV(B78,"52 week high",TRUE)</f>
        <v>642.77</v>
      </c>
      <c r="K78" s="3" cm="1">
        <f t="array" aca="1" ref="K78" ca="1">_FV(B78,"52 week low",TRUE)</f>
        <v>249.76</v>
      </c>
      <c r="L78" s="3" cm="1">
        <f t="array" aca="1" ref="L78" ca="1">_FV(B78,"High")</f>
        <v>607</v>
      </c>
      <c r="M78" s="3" cm="1">
        <f t="array" aca="1" ref="M78" ca="1">_FV(B78,"Low")</f>
        <v>569.69000000000005</v>
      </c>
      <c r="N78" s="3" cm="1">
        <f t="array" aca="1" ref="N78" ca="1">_FV(B78,"Open")</f>
        <v>605.09</v>
      </c>
      <c r="O78" s="3" cm="1">
        <f t="array" aca="1" ref="O78" ca="1">_FV(B78,"Previous close",TRUE)</f>
        <v>627.53</v>
      </c>
      <c r="P78" s="7" cm="1">
        <f t="array" aca="1" ref="P78" ca="1">_FV(B78,"Volume")</f>
        <v>21985741</v>
      </c>
      <c r="Q78" s="7" cm="1">
        <f t="array" aca="1" ref="Q78" ca="1">_FV(B78,"Volume average",TRUE)</f>
        <v>9925831</v>
      </c>
      <c r="R78" s="8" t="e" cm="1" vm="14">
        <f t="array" ref="R78">_FV(B78,"Year incorporated",TRUE)</f>
        <v>#VALUE!</v>
      </c>
      <c r="S78" s="7" t="e" cm="1" vm="15">
        <f t="array" ref="S78">_FV(B78,"Employees")</f>
        <v>#VALUE!</v>
      </c>
      <c r="T78" t="e" cm="1" vm="16">
        <f t="array" ref="T78">_FV(B78,"Industry")</f>
        <v>#VALUE!</v>
      </c>
      <c r="U78" s="7" cm="1">
        <f t="array" aca="1" ref="U78" ca="1">_FV(B78,"Market cap",TRUE)</f>
        <v>67822489502.050003</v>
      </c>
      <c r="V78" s="7" t="e" cm="1" vm="17">
        <f t="array" ref="V78">_FV(B78,"Shares outstanding",TRUE)</f>
        <v>#VALUE!</v>
      </c>
    </row>
    <row r="79" spans="1:22">
      <c r="A79" t="s">
        <v>151</v>
      </c>
      <c r="B79" t="e" vm="84">
        <v>#VALUE!</v>
      </c>
      <c r="C79" s="2" cm="1">
        <f t="array" aca="1" ref="C79" ca="1">_FV(B79,"Last trade time",TRUE)</f>
        <v>46178.903532291406</v>
      </c>
      <c r="D79" t="str" cm="1">
        <f t="array" aca="1" ref="D79" ca="1">_FV(B79,"Currency")</f>
        <v>USD</v>
      </c>
      <c r="E79" s="3" cm="1">
        <f t="array" aca="1" ref="E79" ca="1">_FV(B79,"Price")</f>
        <v>10.494999999999999</v>
      </c>
      <c r="F79" s="4" cm="1">
        <f t="array" aca="1" ref="F79" ca="1">_FV(B79,"Change (%)",TRUE)</f>
        <v>-0.125417</v>
      </c>
      <c r="G79" s="5" cm="1">
        <f t="array" aca="1" ref="G79" ca="1">_FV(B79,"Change")</f>
        <v>-1.5049999999999999</v>
      </c>
      <c r="H79" s="6" cm="1">
        <f t="array" aca="1" ref="H79" ca="1">_FV(B79,"P/E",TRUE)</f>
        <v>0</v>
      </c>
      <c r="I79" s="6" cm="1">
        <f t="array" aca="1" ref="I79" ca="1">_FV(B79,"Beta")</f>
        <v>2.2237</v>
      </c>
      <c r="J79" s="3" cm="1">
        <f t="array" aca="1" ref="J79" ca="1">_FV(B79,"52 week high",TRUE)</f>
        <v>57.42</v>
      </c>
      <c r="K79" s="3" cm="1">
        <f t="array" aca="1" ref="K79" ca="1">_FV(B79,"52 week low",TRUE)</f>
        <v>8.85</v>
      </c>
      <c r="L79" s="3" cm="1">
        <f t="array" aca="1" ref="L79" ca="1">_FV(B79,"High")</f>
        <v>12.24</v>
      </c>
      <c r="M79" s="3" cm="1">
        <f t="array" aca="1" ref="M79" ca="1">_FV(B79,"Low")</f>
        <v>10.15</v>
      </c>
      <c r="N79" s="3" cm="1">
        <f t="array" aca="1" ref="N79" ca="1">_FV(B79,"Open")</f>
        <v>12.2</v>
      </c>
      <c r="O79" s="3" cm="1">
        <f t="array" aca="1" ref="O79" ca="1">_FV(B79,"Previous close",TRUE)</f>
        <v>12</v>
      </c>
      <c r="P79" s="7" cm="1">
        <f t="array" aca="1" ref="P79" ca="1">_FV(B79,"Volume")</f>
        <v>49643477</v>
      </c>
      <c r="Q79" s="7" cm="1">
        <f t="array" aca="1" ref="Q79" ca="1">_FV(B79,"Volume average",TRUE)</f>
        <v>34103479</v>
      </c>
      <c r="R79" s="8" cm="1">
        <f t="array" aca="1" ref="R79" ca="1">_FV(B79,"Year incorporated",TRUE)</f>
        <v>2022</v>
      </c>
      <c r="S79" s="7" cm="1">
        <f t="array" aca="1" ref="S79" ca="1">_FV(B79,"Employees")</f>
        <v>428</v>
      </c>
      <c r="T79" t="str" cm="1">
        <f t="array" aca="1" ref="T79" ca="1">_FV(B79,"Industry")</f>
        <v>Electrical Utilities &amp; IPPs</v>
      </c>
      <c r="U79" s="7" cm="1">
        <f t="array" aca="1" ref="U79" ca="1">_FV(B79,"Market cap",TRUE)</f>
        <v>3835725193</v>
      </c>
      <c r="V79" s="7" cm="1">
        <f t="array" aca="1" ref="V79" ca="1">_FV(B79,"Shares outstanding",TRUE)</f>
        <v>365481200</v>
      </c>
    </row>
    <row r="80" spans="1:22">
      <c r="A80" t="s">
        <v>28</v>
      </c>
      <c r="B80" t="e" vm="85">
        <v>#VALUE!</v>
      </c>
      <c r="C80" s="2">
        <f t="array" aca="1" ref="C80" ca="1">_FV(B80,"Last trade time",TRUE)</f>
        <v>46178.903556631252</v>
      </c>
      <c r="D80" t="str">
        <f t="array" aca="1" ref="D80" ca="1">_FV(B80,"Currency")</f>
        <v>USD</v>
      </c>
      <c r="E80" s="3">
        <f t="array" aca="1" ref="E80" ca="1">_FV(B80,"Price")</f>
        <v>1559.32</v>
      </c>
      <c r="F80" s="4">
        <f t="array" aca="1" ref="F80" ca="1">_FV(B80,"Change (%)",TRUE)</f>
        <v>-0.113862</v>
      </c>
      <c r="G80" s="5">
        <f t="array" aca="1" ref="G80" ca="1">_FV(B80,"Change")</f>
        <v>-200.36</v>
      </c>
      <c r="H80" s="6">
        <f t="array" aca="1" ref="H80" ca="1">_FV(B80,"P/E",TRUE)</f>
        <v>62.211199999999998</v>
      </c>
      <c r="I80" s="6">
        <f t="array" aca="1" ref="I80" ca="1">_FV(B80,"Beta")</f>
        <v>2.746</v>
      </c>
      <c r="J80" s="3">
        <f t="array" aca="1" ref="J80" ca="1">_FV(B80,"52 week high",TRUE)</f>
        <v>1861</v>
      </c>
      <c r="K80" s="3">
        <f t="array" aca="1" ref="K80" ca="1">_FV(B80,"52 week low",TRUE)</f>
        <v>37.33</v>
      </c>
      <c r="L80" s="3">
        <f t="array" aca="1" ref="L80" ca="1">_FV(B80,"High")</f>
        <v>1681.9999</v>
      </c>
      <c r="M80" s="3">
        <f t="array" aca="1" ref="M80" ca="1">_FV(B80,"Low")</f>
        <v>1514.36</v>
      </c>
      <c r="N80" s="3">
        <f t="array" aca="1" ref="N80" ca="1">_FV(B80,"Open")</f>
        <v>1678.88</v>
      </c>
      <c r="O80" s="3">
        <f t="array" aca="1" ref="O80" ca="1">_FV(B80,"Previous close",TRUE)</f>
        <v>1759.68</v>
      </c>
      <c r="P80" s="7">
        <f t="array" aca="1" ref="P80" ca="1">_FV(B80,"Volume")</f>
        <v>13139609</v>
      </c>
      <c r="Q80" s="7">
        <f t="array" aca="1" ref="Q80" ca="1">_FV(B80,"Volume average",TRUE)</f>
        <v>13846622</v>
      </c>
      <c r="R80" s="8">
        <f t="array" aca="1" ref="R80" ca="1">_FV(B80,"Year incorporated",TRUE)</f>
        <v>2024</v>
      </c>
      <c r="S80" s="7">
        <f t="array" aca="1" ref="S80" ca="1">_FV(B80,"Employees")</f>
        <v>11000</v>
      </c>
      <c r="T80" t="str">
        <f t="array" aca="1" ref="T80" ca="1">_FV(B80,"Industry")</f>
        <v>Computers, Phones &amp; Household Electronics</v>
      </c>
      <c r="U80" s="7">
        <f t="array" aca="1" ref="U80" ca="1">_FV(B80,"Market cap",TRUE)</f>
        <v>230919386936</v>
      </c>
      <c r="V80" s="7">
        <f t="array" aca="1" ref="V80" ca="1">_FV(B80,"Shares outstanding",TRUE)</f>
        <v>148089800</v>
      </c>
    </row>
    <row r="81" spans="1:22">
      <c r="A81" t="s">
        <v>137</v>
      </c>
      <c r="B81" t="e" vm="86">
        <v>#VALUE!</v>
      </c>
      <c r="C81" s="2" cm="1">
        <f t="array" aca="1" ref="C81" ca="1">_FV(B81,"Last trade time",TRUE)</f>
        <v>46178.903320763282</v>
      </c>
      <c r="D81" t="str" cm="1">
        <f t="array" aca="1" ref="D81" ca="1">_FV(B81,"Currency")</f>
        <v>USD</v>
      </c>
      <c r="E81" s="3" cm="1">
        <f t="array" aca="1" ref="E81" ca="1">_FV(B81,"Price")</f>
        <v>238.23</v>
      </c>
      <c r="F81" s="4" cm="1">
        <f t="array" aca="1" ref="F81" ca="1">_FV(B81,"Change (%)",TRUE)</f>
        <v>-2.4367E-2</v>
      </c>
      <c r="G81" s="5" cm="1">
        <f t="array" aca="1" ref="G81" ca="1">_FV(B81,"Change")</f>
        <v>-5.95</v>
      </c>
      <c r="H81" s="6" cm="1">
        <f t="array" aca="1" ref="H81" ca="1">_FV(B81,"P/E",TRUE)</f>
        <v>0</v>
      </c>
      <c r="I81" s="6" cm="1">
        <f t="array" aca="1" ref="I81" ca="1">_FV(B81,"Beta")</f>
        <v>1.3585</v>
      </c>
      <c r="J81" s="3" cm="1">
        <f t="array" aca="1" ref="J81" ca="1">_FV(B81,"52 week high",TRUE)</f>
        <v>284.99</v>
      </c>
      <c r="K81" s="3" cm="1">
        <f t="array" aca="1" ref="K81" ca="1">_FV(B81,"52 week low",TRUE)</f>
        <v>118.3</v>
      </c>
      <c r="L81" s="3" cm="1">
        <f t="array" aca="1" ref="L81" ca="1">_FV(B81,"High")</f>
        <v>247.55</v>
      </c>
      <c r="M81" s="3" cm="1">
        <f t="array" aca="1" ref="M81" ca="1">_FV(B81,"Low")</f>
        <v>235</v>
      </c>
      <c r="N81" s="3" cm="1">
        <f t="array" aca="1" ref="N81" ca="1">_FV(B81,"Open")</f>
        <v>242.2</v>
      </c>
      <c r="O81" s="3" cm="1">
        <f t="array" aca="1" ref="O81" ca="1">_FV(B81,"Previous close",TRUE)</f>
        <v>244.18</v>
      </c>
      <c r="P81" s="7" cm="1">
        <f t="array" aca="1" ref="P81" ca="1">_FV(B81,"Volume")</f>
        <v>7148731</v>
      </c>
      <c r="Q81" s="7" cm="1">
        <f t="array" aca="1" ref="Q81" ca="1">_FV(B81,"Volume average",TRUE)</f>
        <v>10883534</v>
      </c>
      <c r="R81" s="8" cm="1">
        <f t="array" aca="1" ref="R81" ca="1">_FV(B81,"Year incorporated",TRUE)</f>
        <v>2012</v>
      </c>
      <c r="S81" s="7" cm="1">
        <f t="array" aca="1" ref="S81" ca="1">_FV(B81,"Employees")</f>
        <v>9060</v>
      </c>
      <c r="T81" t="str" cm="1">
        <f t="array" aca="1" ref="T81" ca="1">_FV(B81,"Industry")</f>
        <v>Software &amp; IT Services</v>
      </c>
      <c r="U81" s="7" cm="1">
        <f t="array" aca="1" ref="U81" ca="1">_FV(B81,"Market cap",TRUE)</f>
        <v>60745624254</v>
      </c>
      <c r="V81" s="7" cm="1">
        <f t="array" aca="1" ref="V81" ca="1">_FV(B81,"Shares outstanding",TRUE)</f>
        <v>346600000</v>
      </c>
    </row>
    <row r="82" spans="1:22">
      <c r="A82" t="s">
        <v>305</v>
      </c>
      <c r="B82" t="e" vm="87">
        <v>#VALUE!</v>
      </c>
      <c r="C82" s="2" cm="1">
        <f t="array" aca="1" ref="C82" ca="1">_FV(B82,"Last trade time",TRUE)</f>
        <v>46178.902526296093</v>
      </c>
      <c r="D82" t="str" cm="1">
        <f t="array" aca="1" ref="D82" ca="1">_FV(B82,"Currency")</f>
        <v>USD</v>
      </c>
      <c r="E82" s="3" cm="1">
        <f t="array" aca="1" ref="E82" ca="1">_FV(B82,"Price")</f>
        <v>464.85</v>
      </c>
      <c r="F82" s="4" cm="1">
        <f t="array" aca="1" ref="F82" ca="1">_FV(B82,"Change (%)",TRUE)</f>
        <v>-5.9922000000000003E-2</v>
      </c>
      <c r="G82" s="5" cm="1">
        <f t="array" aca="1" ref="G82" ca="1">_FV(B82,"Change")</f>
        <v>-29.63</v>
      </c>
      <c r="H82" s="6" cm="1">
        <f t="array" aca="1" ref="H82" ca="1">_FV(B82,"P/E",TRUE)</f>
        <v>114.598</v>
      </c>
      <c r="I82" s="6" cm="1">
        <f t="array" aca="1" ref="I82" ca="1">_FV(B82,"Beta")</f>
        <v>1.2104999999999999</v>
      </c>
      <c r="J82" s="3" cm="1">
        <f t="array" aca="1" ref="J82" ca="1">_FV(B82,"52 week high",TRUE)</f>
        <v>651.73</v>
      </c>
      <c r="K82" s="3" cm="1">
        <f t="array" aca="1" ref="K82" ca="1">_FV(B82,"52 week low",TRUE)</f>
        <v>376.18</v>
      </c>
      <c r="L82" s="3" cm="1">
        <f t="array" aca="1" ref="L82" ca="1">_FV(B82,"High")</f>
        <v>488.952</v>
      </c>
      <c r="M82" s="3" cm="1">
        <f t="array" aca="1" ref="M82" ca="1">_FV(B82,"Low")</f>
        <v>458.53</v>
      </c>
      <c r="N82" s="3" cm="1">
        <f t="array" aca="1" ref="N82" ca="1">_FV(B82,"Open")</f>
        <v>487.98</v>
      </c>
      <c r="O82" s="3" cm="1">
        <f t="array" aca="1" ref="O82" ca="1">_FV(B82,"Previous close",TRUE)</f>
        <v>494.48</v>
      </c>
      <c r="P82" s="7" cm="1">
        <f t="array" aca="1" ref="P82" ca="1">_FV(B82,"Volume")</f>
        <v>1837962</v>
      </c>
      <c r="Q82" s="7" cm="1">
        <f t="array" aca="1" ref="Q82" ca="1">_FV(B82,"Volume average",TRUE)</f>
        <v>1884765</v>
      </c>
      <c r="R82" s="8" cm="1">
        <f t="array" aca="1" ref="R82" ca="1">_FV(B82,"Year incorporated",TRUE)</f>
        <v>1987</v>
      </c>
      <c r="S82" s="7" cm="1">
        <f t="array" aca="1" ref="S82" ca="1">_FV(B82,"Employees")</f>
        <v>28000</v>
      </c>
      <c r="T82" t="str" cm="1">
        <f t="array" aca="1" ref="T82" ca="1">_FV(B82,"Industry")</f>
        <v>Software &amp; IT Services</v>
      </c>
      <c r="U82" s="7" cm="1">
        <f t="array" aca="1" ref="U82" ca="1">_FV(B82,"Market cap",TRUE)</f>
        <v>89009152605</v>
      </c>
      <c r="V82" s="7" cm="1">
        <f t="array" aca="1" ref="V82" ca="1">_FV(B82,"Shares outstanding",TRUE)</f>
        <v>191479300</v>
      </c>
    </row>
    <row r="83" spans="1:22">
      <c r="A83" t="s">
        <v>43</v>
      </c>
      <c r="B83" t="e" vm="88">
        <v>#VALUE!</v>
      </c>
      <c r="C83" s="2">
        <f t="array" aca="1" ref="C83" ca="1">_FV(B83,"Last trade time",TRUE)</f>
        <v>46178.903227464842</v>
      </c>
      <c r="D83" t="str">
        <f t="array" aca="1" ref="D83" ca="1">_FV(B83,"Currency")</f>
        <v>USD</v>
      </c>
      <c r="E83" s="3">
        <f t="array" aca="1" ref="E83" ca="1">_FV(B83,"Price")</f>
        <v>7.39</v>
      </c>
      <c r="F83" s="4">
        <f t="array" aca="1" ref="F83" ca="1">_FV(B83,"Change (%)",TRUE)</f>
        <v>-7.7403E-2</v>
      </c>
      <c r="G83" s="5">
        <f t="array" aca="1" ref="G83" ca="1">_FV(B83,"Change")</f>
        <v>-0.62</v>
      </c>
      <c r="H83" s="6">
        <f t="array" aca="1" ref="H83" ca="1">_FV(B83,"P/E",TRUE)</f>
        <v>0</v>
      </c>
      <c r="I83" s="6">
        <f t="array" aca="1" ref="I83" ca="1">_FV(B83,"Beta")</f>
        <v>2.7570999999999999</v>
      </c>
      <c r="J83" s="3">
        <f t="array" aca="1" ref="J83" ca="1">_FV(B83,"52 week high",TRUE)</f>
        <v>22.17</v>
      </c>
      <c r="K83" s="3">
        <f t="array" aca="1" ref="K83" ca="1">_FV(B83,"52 week low",TRUE)</f>
        <v>5.83</v>
      </c>
      <c r="L83" s="3">
        <f t="array" aca="1" ref="L83" ca="1">_FV(B83,"High")</f>
        <v>7.94</v>
      </c>
      <c r="M83" s="3">
        <f t="array" aca="1" ref="M83" ca="1">_FV(B83,"Low")</f>
        <v>7.21</v>
      </c>
      <c r="N83" s="3">
        <f t="array" aca="1" ref="N83" ca="1">_FV(B83,"Open")</f>
        <v>7.9</v>
      </c>
      <c r="O83" s="3">
        <f t="array" aca="1" ref="O83" ca="1">_FV(B83,"Previous close",TRUE)</f>
        <v>8.01</v>
      </c>
      <c r="P83" s="7">
        <f t="array" aca="1" ref="P83" ca="1">_FV(B83,"Volume")</f>
        <v>31706696</v>
      </c>
      <c r="Q83" s="7">
        <f t="array" aca="1" ref="Q83" ca="1">_FV(B83,"Volume average",TRUE)</f>
        <v>30633277</v>
      </c>
      <c r="R83" s="8">
        <f t="array" aca="1" ref="R83" ca="1">_FV(B83,"Year incorporated",TRUE)</f>
        <v>2020</v>
      </c>
      <c r="S83" s="7">
        <f t="array" aca="1" ref="S83" ca="1">_FV(B83,"Employees")</f>
        <v>954</v>
      </c>
      <c r="T83" t="str">
        <f t="array" aca="1" ref="T83" ca="1">_FV(B83,"Industry")</f>
        <v>Software &amp; IT Services</v>
      </c>
      <c r="U83" s="7">
        <f t="array" aca="1" ref="U83" ca="1">_FV(B83,"Market cap",TRUE)</f>
        <v>3198167344</v>
      </c>
      <c r="V83" s="7">
        <f t="array" aca="1" ref="V83" ca="1">_FV(B83,"Shares outstanding",TRUE)</f>
        <v>432769600</v>
      </c>
    </row>
    <row r="84" spans="1:22">
      <c r="A84" t="s">
        <v>155</v>
      </c>
      <c r="B84" t="e" vm="89">
        <v>#VALUE!</v>
      </c>
      <c r="C84" s="2" cm="1">
        <f t="array" aca="1" ref="C84" ca="1">_FV(B84,"Last trade time",TRUE)</f>
        <v>46178.903428171092</v>
      </c>
      <c r="D84" t="str" cm="1">
        <f t="array" aca="1" ref="D84" ca="1">_FV(B84,"Currency")</f>
        <v>USD</v>
      </c>
      <c r="E84" s="3" cm="1">
        <f t="array" aca="1" ref="E84" ca="1">_FV(B84,"Price")</f>
        <v>539.77</v>
      </c>
      <c r="F84" s="4" cm="1">
        <f t="array" aca="1" ref="F84" ca="1">_FV(B84,"Change (%)",TRUE)</f>
        <v>-0.10444300000000001</v>
      </c>
      <c r="G84" s="5" cm="1">
        <f t="array" aca="1" ref="G84" ca="1">_FV(B84,"Change")</f>
        <v>-62.95</v>
      </c>
      <c r="H84" s="6" t="e" cm="1" vm="13">
        <f t="array" ref="H84">_FV(B84,"P/E",TRUE)</f>
        <v>#VALUE!</v>
      </c>
      <c r="I84" s="6" cm="1">
        <f t="array" aca="1" ref="I84" ca="1">_FV(B84,"Beta")</f>
        <v>1.7036</v>
      </c>
      <c r="J84" s="3" cm="1">
        <f t="array" aca="1" ref="J84" ca="1">_FV(B84,"52 week high",TRUE)</f>
        <v>618.84</v>
      </c>
      <c r="K84" s="3" cm="1">
        <f t="array" aca="1" ref="K84" ca="1">_FV(B84,"52 week low",TRUE)</f>
        <v>214.41</v>
      </c>
      <c r="L84" s="3" cm="1">
        <f t="array" aca="1" ref="L84" ca="1">_FV(B84,"High")</f>
        <v>580.5</v>
      </c>
      <c r="M84" s="3" cm="1">
        <f t="array" aca="1" ref="M84" ca="1">_FV(B84,"Low")</f>
        <v>539.57000000000005</v>
      </c>
      <c r="N84" s="3" cm="1">
        <f t="array" aca="1" ref="N84" ca="1">_FV(B84,"Open")</f>
        <v>577.86</v>
      </c>
      <c r="O84" s="3" cm="1">
        <f t="array" aca="1" ref="O84" ca="1">_FV(B84,"Previous close",TRUE)</f>
        <v>602.72</v>
      </c>
      <c r="P84" s="7" cm="1">
        <f t="array" aca="1" ref="P84" ca="1">_FV(B84,"Volume")</f>
        <v>22286805</v>
      </c>
      <c r="Q84" s="7" cm="1">
        <f t="array" aca="1" ref="Q84" ca="1">_FV(B84,"Volume average",TRUE)</f>
        <v>8332202</v>
      </c>
      <c r="R84" s="8" t="e" cm="1" vm="14">
        <f t="array" ref="R84">_FV(B84,"Year incorporated",TRUE)</f>
        <v>#VALUE!</v>
      </c>
      <c r="S84" s="7" t="e" cm="1" vm="15">
        <f t="array" ref="S84">_FV(B84,"Employees")</f>
        <v>#VALUE!</v>
      </c>
      <c r="T84" t="e" cm="1" vm="16">
        <f t="array" ref="T84">_FV(B84,"Industry")</f>
        <v>#VALUE!</v>
      </c>
      <c r="U84" s="7" cm="1">
        <f t="array" aca="1" ref="U84" ca="1">_FV(B84,"Market cap",TRUE)</f>
        <v>38373488686.160004</v>
      </c>
      <c r="V84" s="7" t="e" cm="1" vm="17">
        <f t="array" ref="V84">_FV(B84,"Shares outstanding",TRUE)</f>
        <v>#VALUE!</v>
      </c>
    </row>
    <row r="85" spans="1:22">
      <c r="A85" t="s">
        <v>152</v>
      </c>
      <c r="B85" t="e" vm="90">
        <v>#VALUE!</v>
      </c>
      <c r="C85" s="2" cm="1">
        <f t="array" aca="1" ref="C85" ca="1">_FV(B85,"Last trade time",TRUE)</f>
        <v>46178.903564582812</v>
      </c>
      <c r="D85" t="str" cm="1">
        <f t="array" aca="1" ref="D85" ca="1">_FV(B85,"Currency")</f>
        <v>USD</v>
      </c>
      <c r="E85" s="3" cm="1">
        <f t="array" aca="1" ref="E85" ca="1">_FV(B85,"Price")</f>
        <v>737.41</v>
      </c>
      <c r="F85" s="4" cm="1">
        <f t="array" aca="1" ref="F85" ca="1">_FV(B85,"Change (%)",TRUE)</f>
        <v>-2.5994000000000003E-2</v>
      </c>
      <c r="G85" s="5" cm="1">
        <f t="array" aca="1" ref="G85" ca="1">_FV(B85,"Change")</f>
        <v>-19.68</v>
      </c>
      <c r="H85" s="6" t="e" vm="13">
        <f t="array" ref="H85">_FV(B85,"P/E",TRUE)</f>
        <v>#VALUE!</v>
      </c>
      <c r="I85" s="6" cm="1">
        <f t="array" aca="1" ref="I85" ca="1">_FV(B85,"Beta")</f>
        <v>0.99709999999999999</v>
      </c>
      <c r="J85" s="3" cm="1">
        <f t="array" aca="1" ref="J85" ca="1">_FV(B85,"52 week high",TRUE)</f>
        <v>760.4</v>
      </c>
      <c r="K85" s="3" cm="1">
        <f t="array" aca="1" ref="K85" ca="1">_FV(B85,"52 week low",TRUE)</f>
        <v>591.04999999999995</v>
      </c>
      <c r="L85" s="3" cm="1">
        <f t="array" aca="1" ref="L85" ca="1">_FV(B85,"High")</f>
        <v>752.82</v>
      </c>
      <c r="M85" s="3" cm="1">
        <f t="array" aca="1" ref="M85" ca="1">_FV(B85,"Low")</f>
        <v>735.52499999999998</v>
      </c>
      <c r="N85" s="3" cm="1">
        <f t="array" aca="1" ref="N85" ca="1">_FV(B85,"Open")</f>
        <v>752.31</v>
      </c>
      <c r="O85" s="3" cm="1">
        <f t="array" aca="1" ref="O85" ca="1">_FV(B85,"Previous close",TRUE)</f>
        <v>757.09</v>
      </c>
      <c r="P85" s="7" cm="1">
        <f t="array" aca="1" ref="P85" ca="1">_FV(B85,"Volume")</f>
        <v>92040132</v>
      </c>
      <c r="Q85" s="7" cm="1">
        <f t="array" aca="1" ref="Q85" ca="1">_FV(B85,"Volume average",TRUE)</f>
        <v>44866988</v>
      </c>
      <c r="R85" s="8" t="e" cm="1" vm="14">
        <f t="array" ref="R85">_FV(B85,"Year incorporated",TRUE)</f>
        <v>#VALUE!</v>
      </c>
      <c r="S85" s="7" t="e" cm="1" vm="15">
        <f t="array" ref="S85">_FV(B85,"Employees")</f>
        <v>#VALUE!</v>
      </c>
      <c r="T85" t="e" cm="1" vm="16">
        <f t="array" ref="T85">_FV(B85,"Industry")</f>
        <v>#VALUE!</v>
      </c>
      <c r="U85" s="7" cm="1">
        <f t="array" aca="1" ref="U85" ca="1">_FV(B85,"Market cap",TRUE)</f>
        <v>783796407176.76001</v>
      </c>
      <c r="V85" s="7" t="e" cm="1" vm="17">
        <f t="array" ref="V85">_FV(B85,"Shares outstanding",TRUE)</f>
        <v>#VALUE!</v>
      </c>
    </row>
    <row r="86" spans="1:22">
      <c r="A86" t="s">
        <v>21</v>
      </c>
      <c r="B86" t="e" vm="91">
        <v>#VALUE!</v>
      </c>
      <c r="C86" s="2">
        <f t="array" aca="1" ref="C86" ca="1">_FV(B86,"Last trade time",TRUE)</f>
        <v>46178.900726203123</v>
      </c>
      <c r="D86" t="str">
        <f t="array" aca="1" ref="D86" ca="1">_FV(B86,"Currency")</f>
        <v>USD</v>
      </c>
      <c r="E86" s="3">
        <f t="array" aca="1" ref="E86" ca="1">_FV(B86,"Price")</f>
        <v>73.569999999999993</v>
      </c>
      <c r="F86" s="4">
        <f t="array" aca="1" ref="F86" ca="1">_FV(B86,"Change (%)",TRUE)</f>
        <v>-7.9570000000000002E-2</v>
      </c>
      <c r="G86" s="5">
        <f t="array" aca="1" ref="G86" ca="1">_FV(B86,"Change")</f>
        <v>-6.36</v>
      </c>
      <c r="H86" s="6">
        <f t="array" aca="1" ref="H86" ca="1">_FV(B86,"P/E",TRUE)</f>
        <v>31.577400000000001</v>
      </c>
      <c r="I86" s="6">
        <f t="array" aca="1" ref="I86" ca="1">_FV(B86,"Beta")</f>
        <v>1.4782</v>
      </c>
      <c r="J86" s="3">
        <f t="array" aca="1" ref="J86" ca="1">_FV(B86,"52 week high",TRUE)</f>
        <v>90.9</v>
      </c>
      <c r="K86" s="3">
        <f t="array" aca="1" ref="K86" ca="1">_FV(B86,"52 week low",TRUE)</f>
        <v>51.93</v>
      </c>
      <c r="L86" s="3">
        <f t="array" aca="1" ref="L86" ca="1">_FV(B86,"High")</f>
        <v>78.37</v>
      </c>
      <c r="M86" s="3">
        <f t="array" aca="1" ref="M86" ca="1">_FV(B86,"Low")</f>
        <v>72.8</v>
      </c>
      <c r="N86" s="3">
        <f t="array" aca="1" ref="N86" ca="1">_FV(B86,"Open")</f>
        <v>78</v>
      </c>
      <c r="O86" s="3">
        <f t="array" aca="1" ref="O86" ca="1">_FV(B86,"Previous close",TRUE)</f>
        <v>79.930000000000007</v>
      </c>
      <c r="P86" s="7">
        <f t="array" aca="1" ref="P86" ca="1">_FV(B86,"Volume")</f>
        <v>7168503</v>
      </c>
      <c r="Q86" s="7">
        <f t="array" aca="1" ref="Q86" ca="1">_FV(B86,"Volume average",TRUE)</f>
        <v>5532867</v>
      </c>
      <c r="R86" s="8">
        <f t="array" aca="1" ref="R86" ca="1">_FV(B86,"Year incorporated",TRUE)</f>
        <v>2002</v>
      </c>
      <c r="S86" s="7">
        <f t="array" aca="1" ref="S86" ca="1">_FV(B86,"Employees")</f>
        <v>10000</v>
      </c>
      <c r="T86" t="str">
        <f t="array" aca="1" ref="T86" ca="1">_FV(B86,"Industry")</f>
        <v>Semiconductors &amp; Semiconductor Equipment</v>
      </c>
      <c r="U86" s="7">
        <f t="array" aca="1" ref="U86" ca="1">_FV(B86,"Market cap",TRUE)</f>
        <v>11065362062</v>
      </c>
      <c r="V86" s="7">
        <f t="array" aca="1" ref="V86" ca="1">_FV(B86,"Shares outstanding",TRUE)</f>
        <v>150405900</v>
      </c>
    </row>
    <row r="87" spans="1:22">
      <c r="A87" t="s">
        <v>146</v>
      </c>
      <c r="B87" t="e" vm="92">
        <v>#VALUE!</v>
      </c>
      <c r="C87" s="2" cm="1">
        <f t="array" aca="1" ref="C87" ca="1">_FV(B87,"Last trade time",TRUE)</f>
        <v>46178.903448541409</v>
      </c>
      <c r="D87" t="str" cm="1">
        <f t="array" aca="1" ref="D87" ca="1">_FV(B87,"Currency")</f>
        <v>USD</v>
      </c>
      <c r="E87" s="3" cm="1">
        <f t="array" aca="1" ref="E87" ca="1">_FV(B87,"Price")</f>
        <v>44.02</v>
      </c>
      <c r="F87" s="4" cm="1">
        <f t="array" aca="1" ref="F87" ca="1">_FV(B87,"Change (%)",TRUE)</f>
        <v>-7.1503999999999998E-2</v>
      </c>
      <c r="G87" s="5" cm="1">
        <f t="array" aca="1" ref="G87" ca="1">_FV(B87,"Change")</f>
        <v>-3.39</v>
      </c>
      <c r="H87" s="6" cm="1">
        <f t="array" aca="1" ref="H87" ca="1">_FV(B87,"P/E",TRUE)</f>
        <v>0</v>
      </c>
      <c r="I87" s="6" cm="1">
        <f t="array" aca="1" ref="I87" ca="1">_FV(B87,"Beta")</f>
        <v>1.9272</v>
      </c>
      <c r="J87" s="3" cm="1">
        <f t="array" aca="1" ref="J87" ca="1">_FV(B87,"52 week high",TRUE)</f>
        <v>87.88</v>
      </c>
      <c r="K87" s="3" cm="1">
        <f t="array" aca="1" ref="K87" ca="1">_FV(B87,"52 week low",TRUE)</f>
        <v>27.26</v>
      </c>
      <c r="L87" s="3" cm="1">
        <f t="array" aca="1" ref="L87" ca="1">_FV(B87,"High")</f>
        <v>46.75</v>
      </c>
      <c r="M87" s="3" cm="1">
        <f t="array" aca="1" ref="M87" ca="1">_FV(B87,"Low")</f>
        <v>43.29</v>
      </c>
      <c r="N87" s="3" cm="1">
        <f t="array" aca="1" ref="N87" ca="1">_FV(B87,"Open")</f>
        <v>46.505000000000003</v>
      </c>
      <c r="O87" s="3" cm="1">
        <f t="array" aca="1" ref="O87" ca="1">_FV(B87,"Previous close",TRUE)</f>
        <v>47.41</v>
      </c>
      <c r="P87" s="7" cm="1">
        <f t="array" aca="1" ref="P87" ca="1">_FV(B87,"Volume")</f>
        <v>2842944</v>
      </c>
      <c r="Q87" s="7" cm="1">
        <f t="array" aca="1" ref="Q87" ca="1">_FV(B87,"Volume average",TRUE)</f>
        <v>2544090</v>
      </c>
      <c r="R87" s="8" cm="1">
        <f t="array" aca="1" ref="R87" ca="1">_FV(B87,"Year incorporated",TRUE)</f>
        <v>2022</v>
      </c>
      <c r="S87" s="7" cm="1">
        <f t="array" aca="1" ref="S87" ca="1">_FV(B87,"Employees")</f>
        <v>2000</v>
      </c>
      <c r="T87" t="str" cm="1">
        <f t="array" aca="1" ref="T87" ca="1">_FV(B87,"Industry")</f>
        <v>Machinery, Equipment &amp; Components</v>
      </c>
      <c r="U87" s="7" cm="1">
        <f t="array" aca="1" ref="U87" ca="1">_FV(B87,"Market cap",TRUE)</f>
        <v>26531153336</v>
      </c>
      <c r="V87" s="7" cm="1">
        <f t="array" aca="1" ref="V87" ca="1">_FV(B87,"Shares outstanding",TRUE)</f>
        <v>602706800</v>
      </c>
    </row>
    <row r="88" spans="1:22">
      <c r="A88" t="s">
        <v>52</v>
      </c>
      <c r="B88" t="e" vm="93">
        <v>#VALUE!</v>
      </c>
      <c r="C88" s="2">
        <f t="array" aca="1" ref="C88" ca="1">_FV(B88,"Last trade time",TRUE)</f>
        <v>46178.903331365625</v>
      </c>
      <c r="D88" t="str">
        <f t="array" aca="1" ref="D88" ca="1">_FV(B88,"Currency")</f>
        <v>USD</v>
      </c>
      <c r="E88" s="3">
        <f t="array" aca="1" ref="E88" ca="1">_FV(B88,"Price")</f>
        <v>46.43</v>
      </c>
      <c r="F88" s="4">
        <f t="array" aca="1" ref="F88" ca="1">_FV(B88,"Change (%)",TRUE)</f>
        <v>-0.11155799999999999</v>
      </c>
      <c r="G88" s="5">
        <f t="array" aca="1" ref="G88" ca="1">_FV(B88,"Change")</f>
        <v>-5.83</v>
      </c>
      <c r="H88" s="6">
        <f t="array" aca="1" ref="H88" ca="1">_FV(B88,"P/E",TRUE)</f>
        <v>0</v>
      </c>
      <c r="I88" s="6">
        <f t="array" aca="1" ref="I88" ca="1">_FV(B88,"Beta")</f>
        <v>3.121</v>
      </c>
      <c r="J88" s="3">
        <f t="array" aca="1" ref="J88" ca="1">_FV(B88,"52 week high",TRUE)</f>
        <v>104.32</v>
      </c>
      <c r="K88" s="3">
        <f t="array" aca="1" ref="K88" ca="1">_FV(B88,"52 week low",TRUE)</f>
        <v>41.73</v>
      </c>
      <c r="L88" s="3">
        <f t="array" aca="1" ref="L88" ca="1">_FV(B88,"High")</f>
        <v>52.23</v>
      </c>
      <c r="M88" s="3">
        <f t="array" aca="1" ref="M88" ca="1">_FV(B88,"Low")</f>
        <v>45.84</v>
      </c>
      <c r="N88" s="3">
        <f t="array" aca="1" ref="N88" ca="1">_FV(B88,"Open")</f>
        <v>50.82</v>
      </c>
      <c r="O88" s="3">
        <f t="array" aca="1" ref="O88" ca="1">_FV(B88,"Previous close",TRUE)</f>
        <v>52.26</v>
      </c>
      <c r="P88" s="7">
        <f t="array" aca="1" ref="P88" ca="1">_FV(B88,"Volume")</f>
        <v>8819522</v>
      </c>
      <c r="Q88" s="7">
        <f t="array" aca="1" ref="Q88" ca="1">_FV(B88,"Volume average",TRUE)</f>
        <v>7115978</v>
      </c>
      <c r="R88" s="8">
        <f t="array" aca="1" ref="R88" ca="1">_FV(B88,"Year incorporated",TRUE)</f>
        <v>2025</v>
      </c>
      <c r="S88" s="7">
        <f t="array" aca="1" ref="S88" ca="1">_FV(B88,"Employees")</f>
        <v>3800</v>
      </c>
      <c r="T88" t="str">
        <f t="array" aca="1" ref="T88" ca="1">_FV(B88,"Industry")</f>
        <v>Biotechnology &amp; Medical Research</v>
      </c>
      <c r="U88" s="7">
        <f t="array" aca="1" ref="U88" ca="1">_FV(B88,"Market cap",TRUE)</f>
        <v>8337193664</v>
      </c>
      <c r="V88" s="7">
        <f t="array" aca="1" ref="V88" ca="1">_FV(B88,"Shares outstanding",TRUE)</f>
        <v>179564800</v>
      </c>
    </row>
    <row r="89" spans="1:22">
      <c r="A89" t="s">
        <v>306</v>
      </c>
      <c r="B89" t="e" vm="94">
        <v>#VALUE!</v>
      </c>
      <c r="C89" s="2" cm="1">
        <f t="array" aca="1" ref="C89" ca="1">_FV(B89,"Last trade time",TRUE)</f>
        <v>46178.90289351852</v>
      </c>
      <c r="D89" t="str" cm="1">
        <f t="array" aca="1" ref="D89" ca="1">_FV(B89,"Currency")</f>
        <v>USD</v>
      </c>
      <c r="E89" s="3" cm="1">
        <f t="array" aca="1" ref="E89" ca="1">_FV(B89,"Price")</f>
        <v>357.93</v>
      </c>
      <c r="F89" s="4" cm="1">
        <f t="array" aca="1" ref="F89" ca="1">_FV(B89,"Change (%)",TRUE)</f>
        <v>-0.12026199999999999</v>
      </c>
      <c r="G89" s="5" cm="1">
        <f t="array" aca="1" ref="G89" ca="1">_FV(B89,"Change")</f>
        <v>-48.93</v>
      </c>
      <c r="H89" s="6" cm="1">
        <f t="array" aca="1" ref="H89" ca="1">_FV(B89,"P/E",TRUE)</f>
        <v>75.301900000000003</v>
      </c>
      <c r="I89" s="6" cm="1">
        <f t="array" aca="1" ref="I89" ca="1">_FV(B89,"Beta")</f>
        <v>1.7878000000000001</v>
      </c>
      <c r="J89" s="3" cm="1">
        <f t="array" aca="1" ref="J89" ca="1">_FV(B89,"52 week high",TRUE)</f>
        <v>422.11</v>
      </c>
      <c r="K89" s="3" cm="1">
        <f t="array" aca="1" ref="K89" ca="1">_FV(B89,"52 week low",TRUE)</f>
        <v>81.069999999999993</v>
      </c>
      <c r="L89" s="3" cm="1">
        <f t="array" aca="1" ref="L89" ca="1">_FV(B89,"High")</f>
        <v>392.92</v>
      </c>
      <c r="M89" s="3" cm="1">
        <f t="array" aca="1" ref="M89" ca="1">_FV(B89,"Low")</f>
        <v>354.13</v>
      </c>
      <c r="N89" s="3" cm="1">
        <f t="array" aca="1" ref="N89" ca="1">_FV(B89,"Open")</f>
        <v>389.54</v>
      </c>
      <c r="O89" s="3" cm="1">
        <f t="array" aca="1" ref="O89" ca="1">_FV(B89,"Previous close",TRUE)</f>
        <v>406.86</v>
      </c>
      <c r="P89" s="7" cm="1">
        <f t="array" aca="1" ref="P89" ca="1">_FV(B89,"Volume")</f>
        <v>5466474</v>
      </c>
      <c r="Q89" s="7" cm="1">
        <f t="array" aca="1" ref="Q89" ca="1">_FV(B89,"Volume average",TRUE)</f>
        <v>3817823</v>
      </c>
      <c r="R89" s="8" cm="1">
        <f t="array" aca="1" ref="R89" ca="1">_FV(B89,"Year incorporated",TRUE)</f>
        <v>1960</v>
      </c>
      <c r="S89" s="7" cm="1">
        <f t="array" aca="1" ref="S89" ca="1">_FV(B89,"Employees")</f>
        <v>6600</v>
      </c>
      <c r="T89" t="str" cm="1">
        <f t="array" aca="1" ref="T89" ca="1">_FV(B89,"Industry")</f>
        <v>Semiconductors &amp; Semiconductor Equipment</v>
      </c>
      <c r="U89" s="7" cm="1">
        <f t="array" aca="1" ref="U89" ca="1">_FV(B89,"Market cap",TRUE)</f>
        <v>56031149646</v>
      </c>
      <c r="V89" s="7" cm="1">
        <f t="array" aca="1" ref="V89" ca="1">_FV(B89,"Shares outstanding",TRUE)</f>
        <v>156542200</v>
      </c>
    </row>
    <row r="90" spans="1:22">
      <c r="A90" t="s">
        <v>64</v>
      </c>
      <c r="B90" t="e" vm="95">
        <v>#VALUE!</v>
      </c>
      <c r="C90" s="2">
        <f t="array" aca="1" ref="C90" ca="1">_FV(B90,"Last trade time",TRUE)</f>
        <v>46178.90356746484</v>
      </c>
      <c r="D90" t="str">
        <f t="array" aca="1" ref="D90" ca="1">_FV(B90,"Currency")</f>
        <v>USD</v>
      </c>
      <c r="E90" s="3">
        <f t="array" aca="1" ref="E90" ca="1">_FV(B90,"Price")</f>
        <v>391</v>
      </c>
      <c r="F90" s="4">
        <f t="array" aca="1" ref="F90" ca="1">_FV(B90,"Change (%)",TRUE)</f>
        <v>-6.5599000000000005E-2</v>
      </c>
      <c r="G90" s="5">
        <f t="array" aca="1" ref="G90" ca="1">_FV(B90,"Change")</f>
        <v>-27.45</v>
      </c>
      <c r="H90" s="6">
        <f t="array" aca="1" ref="H90" ca="1">_FV(B90,"P/E",TRUE)</f>
        <v>382.47449999999998</v>
      </c>
      <c r="I90" s="6">
        <f t="array" aca="1" ref="I90" ca="1">_FV(B90,"Beta")</f>
        <v>1.802</v>
      </c>
      <c r="J90" s="3">
        <f t="array" aca="1" ref="J90" ca="1">_FV(B90,"52 week high",TRUE)</f>
        <v>498.83</v>
      </c>
      <c r="K90" s="3">
        <f t="array" aca="1" ref="K90" ca="1">_FV(B90,"52 week low",TRUE)</f>
        <v>273.20999999999998</v>
      </c>
      <c r="L90" s="3">
        <f t="array" aca="1" ref="L90" ca="1">_FV(B90,"High")</f>
        <v>424.67989999999998</v>
      </c>
      <c r="M90" s="3">
        <f t="array" aca="1" ref="M90" ca="1">_FV(B90,"Low")</f>
        <v>388.59</v>
      </c>
      <c r="N90" s="3">
        <f t="array" aca="1" ref="N90" ca="1">_FV(B90,"Open")</f>
        <v>420.5</v>
      </c>
      <c r="O90" s="3">
        <f t="array" aca="1" ref="O90" ca="1">_FV(B90,"Previous close",TRUE)</f>
        <v>418.45</v>
      </c>
      <c r="P90" s="7">
        <f t="array" aca="1" ref="P90" ca="1">_FV(B90,"Volume")</f>
        <v>63032456</v>
      </c>
      <c r="Q90" s="7">
        <f t="array" aca="1" ref="Q90" ca="1">_FV(B90,"Volume average",TRUE)</f>
        <v>50602142</v>
      </c>
      <c r="R90" s="8">
        <f t="array" aca="1" ref="R90" ca="1">_FV(B90,"Year incorporated",TRUE)</f>
        <v>2024</v>
      </c>
      <c r="S90" s="7">
        <f t="array" aca="1" ref="S90" ca="1">_FV(B90,"Employees")</f>
        <v>134785</v>
      </c>
      <c r="T90" t="str">
        <f t="array" aca="1" ref="T90" ca="1">_FV(B90,"Industry")</f>
        <v>Automobiles &amp; Auto Parts</v>
      </c>
      <c r="U90" s="7">
        <f t="array" aca="1" ref="U90" ca="1">_FV(B90,"Market cap",TRUE)</f>
        <v>1468488084000</v>
      </c>
      <c r="V90" s="7">
        <f t="array" aca="1" ref="V90" ca="1">_FV(B90,"Shares outstanding",TRUE)</f>
        <v>3755724000</v>
      </c>
    </row>
    <row r="91" spans="1:22">
      <c r="A91" t="s">
        <v>51</v>
      </c>
      <c r="B91" t="e" vm="96">
        <v>#VALUE!</v>
      </c>
      <c r="C91" s="2">
        <f t="array" aca="1" ref="C91" ca="1">_FV(B91,"Last trade time",TRUE)</f>
        <v>46178.90356491875</v>
      </c>
      <c r="D91" t="str">
        <f t="array" aca="1" ref="D91" ca="1">_FV(B91,"Currency")</f>
        <v>USD</v>
      </c>
      <c r="E91" s="3">
        <f t="array" aca="1" ref="E91" ca="1">_FV(B91,"Price")</f>
        <v>415.2</v>
      </c>
      <c r="F91" s="4">
        <f t="array" aca="1" ref="F91" ca="1">_FV(B91,"Change (%)",TRUE)</f>
        <v>-6.6798999999999997E-2</v>
      </c>
      <c r="G91" s="5">
        <f t="array" aca="1" ref="G91" ca="1">_FV(B91,"Change")</f>
        <v>-29.72</v>
      </c>
      <c r="H91" s="6">
        <f t="array" aca="1" ref="H91" ca="1">_FV(B91,"P/E",TRUE)</f>
        <v>37.644300000000001</v>
      </c>
      <c r="I91" s="6">
        <f t="array" aca="1" ref="I91" ca="1">_FV(B91,"Beta")</f>
        <v>1.2762</v>
      </c>
      <c r="J91" s="3">
        <f t="array" aca="1" ref="J91" ca="1">_FV(B91,"52 week high",TRUE)</f>
        <v>450.16359999999997</v>
      </c>
      <c r="K91" s="3">
        <f t="array" aca="1" ref="K91" ca="1">_FV(B91,"52 week low",TRUE)</f>
        <v>202.28</v>
      </c>
      <c r="L91" s="3">
        <f t="array" aca="1" ref="L91" ca="1">_FV(B91,"High")</f>
        <v>433.9</v>
      </c>
      <c r="M91" s="3">
        <f t="array" aca="1" ref="M91" ca="1">_FV(B91,"Low")</f>
        <v>412.79</v>
      </c>
      <c r="N91" s="3">
        <f t="array" aca="1" ref="N91" ca="1">_FV(B91,"Open")</f>
        <v>429.77</v>
      </c>
      <c r="O91" s="3">
        <f t="array" aca="1" ref="O91" ca="1">_FV(B91,"Previous close",TRUE)</f>
        <v>444.92</v>
      </c>
      <c r="P91" s="7">
        <f t="array" aca="1" ref="P91" ca="1">_FV(B91,"Volume")</f>
        <v>19467361</v>
      </c>
      <c r="Q91" s="7">
        <f t="array" aca="1" ref="Q91" ca="1">_FV(B91,"Volume average",TRUE)</f>
        <v>12807836</v>
      </c>
      <c r="R91" s="8">
        <f t="array" aca="1" ref="R91" ca="1">_FV(B91,"Year incorporated",TRUE)</f>
        <v>1987</v>
      </c>
      <c r="S91" s="7">
        <f t="array" aca="1" ref="S91" ca="1">_FV(B91,"Employees")</f>
        <v>52045</v>
      </c>
      <c r="T91" t="str">
        <f t="array" aca="1" ref="T91" ca="1">_FV(B91,"Industry")</f>
        <v>Semiconductors &amp; Semiconductor Equipment</v>
      </c>
      <c r="U91" s="7">
        <f t="array" aca="1" ref="U91" ca="1">_FV(B91,"Market cap",TRUE)</f>
        <v>2264881331060</v>
      </c>
      <c r="V91" s="7">
        <f t="array" aca="1" ref="V91" ca="1">_FV(B91,"Shares outstanding",TRUE)</f>
        <v>25932370000</v>
      </c>
    </row>
    <row r="92" spans="1:22">
      <c r="A92" t="s">
        <v>308</v>
      </c>
      <c r="B92" t="e" vm="97">
        <v>#VALUE!</v>
      </c>
      <c r="C92" s="2" cm="1">
        <f t="array" aca="1" ref="C92" ca="1">_FV(B92,"Last trade time",TRUE)</f>
        <v>46178.898249791404</v>
      </c>
      <c r="D92" t="str" cm="1">
        <f t="array" aca="1" ref="D92" ca="1">_FV(B92,"Currency")</f>
        <v>USD</v>
      </c>
      <c r="E92" s="3" cm="1">
        <f t="array" aca="1" ref="E92" ca="1">_FV(B92,"Price")</f>
        <v>226.12</v>
      </c>
      <c r="F92" s="4" cm="1">
        <f t="array" aca="1" ref="F92" ca="1">_FV(B92,"Change (%)",TRUE)</f>
        <v>-4.4455999999999996E-2</v>
      </c>
      <c r="G92" s="5" cm="1">
        <f t="array" aca="1" ref="G92" ca="1">_FV(B92,"Change")</f>
        <v>-10.52</v>
      </c>
      <c r="H92" s="6" cm="1">
        <f t="array" aca="1" ref="H92" ca="1">_FV(B92,"P/E",TRUE)</f>
        <v>367.84750000000003</v>
      </c>
      <c r="I92" s="6" cm="1">
        <f t="array" aca="1" ref="I92" ca="1">_FV(B92,"Beta")</f>
        <v>1.3594999999999999</v>
      </c>
      <c r="J92" s="3" cm="1">
        <f t="array" aca="1" ref="J92" ca="1">_FV(B92,"52 week high",TRUE)</f>
        <v>238.47989999999999</v>
      </c>
      <c r="K92" s="3" cm="1">
        <f t="array" aca="1" ref="K92" ca="1">_FV(B92,"52 week low",TRUE)</f>
        <v>91.84</v>
      </c>
      <c r="L92" s="3" cm="1">
        <f t="array" aca="1" ref="L92" ca="1">_FV(B92,"High")</f>
        <v>237.3</v>
      </c>
      <c r="M92" s="3" cm="1">
        <f t="array" aca="1" ref="M92" ca="1">_FV(B92,"Low")</f>
        <v>224.23</v>
      </c>
      <c r="N92" s="3" cm="1">
        <f t="array" aca="1" ref="N92" ca="1">_FV(B92,"Open")</f>
        <v>233.79499999999999</v>
      </c>
      <c r="O92" s="3" cm="1">
        <f t="array" aca="1" ref="O92" ca="1">_FV(B92,"Previous close",TRUE)</f>
        <v>236.64</v>
      </c>
      <c r="P92" s="7" cm="1">
        <f t="array" aca="1" ref="P92" ca="1">_FV(B92,"Volume")</f>
        <v>3384902</v>
      </c>
      <c r="Q92" s="7" cm="1">
        <f t="array" aca="1" ref="Q92" ca="1">_FV(B92,"Volume average",TRUE)</f>
        <v>3392471</v>
      </c>
      <c r="R92" s="8" cm="1">
        <f t="array" aca="1" ref="R92" ca="1">_FV(B92,"Year incorporated",TRUE)</f>
        <v>2008</v>
      </c>
      <c r="S92" s="7" cm="1">
        <f t="array" aca="1" ref="S92" ca="1">_FV(B92,"Employees")</f>
        <v>5558</v>
      </c>
      <c r="T92" t="str" cm="1">
        <f t="array" aca="1" ref="T92" ca="1">_FV(B92,"Industry")</f>
        <v>Software &amp; IT Services</v>
      </c>
      <c r="U92" s="7" cm="1">
        <f t="array" aca="1" ref="U92" ca="1">_FV(B92,"Market cap",TRUE)</f>
        <v>34319114268</v>
      </c>
      <c r="V92" s="7" cm="1">
        <f t="array" aca="1" ref="V92" ca="1">_FV(B92,"Shares outstanding",TRUE)</f>
        <v>151773900</v>
      </c>
    </row>
    <row r="93" spans="1:22">
      <c r="A93" t="s">
        <v>148</v>
      </c>
      <c r="B93" t="e" vm="98">
        <v>#VALUE!</v>
      </c>
      <c r="C93" s="2" cm="1">
        <f t="array" aca="1" ref="C93" ca="1">_FV(B93,"Last trade time",TRUE)</f>
        <v>46178.903557638281</v>
      </c>
      <c r="D93" t="str" cm="1">
        <f t="array" aca="1" ref="D93" ca="1">_FV(B93,"Currency")</f>
        <v>USD</v>
      </c>
      <c r="E93" s="3" cm="1">
        <f t="array" aca="1" ref="E93" ca="1">_FV(B93,"Price")</f>
        <v>300.44</v>
      </c>
      <c r="F93" s="4" cm="1">
        <f t="array" aca="1" ref="F93" ca="1">_FV(B93,"Change (%)",TRUE)</f>
        <v>-7.248700000000001E-2</v>
      </c>
      <c r="G93" s="5" cm="1">
        <f t="array" aca="1" ref="G93" ca="1">_FV(B93,"Change")</f>
        <v>-23.48</v>
      </c>
      <c r="H93" s="6" cm="1">
        <f t="array" aca="1" ref="H93" ca="1">_FV(B93,"P/E",TRUE)</f>
        <v>81.325199999999995</v>
      </c>
      <c r="I93" s="6" cm="1">
        <f t="array" aca="1" ref="I93" ca="1">_FV(B93,"Beta")</f>
        <v>2.0377000000000001</v>
      </c>
      <c r="J93" s="3" cm="1">
        <f t="array" aca="1" ref="J93" ca="1">_FV(B93,"52 week high",TRUE)</f>
        <v>379.935</v>
      </c>
      <c r="K93" s="3" cm="1">
        <f t="array" aca="1" ref="K93" ca="1">_FV(B93,"52 week low",TRUE)</f>
        <v>107.38</v>
      </c>
      <c r="L93" s="3" cm="1">
        <f t="array" aca="1" ref="L93" ca="1">_FV(B93,"High")</f>
        <v>315</v>
      </c>
      <c r="M93" s="3" cm="1">
        <f t="array" aca="1" ref="M93" ca="1">_FV(B93,"Low")</f>
        <v>294.39499999999998</v>
      </c>
      <c r="N93" s="3" cm="1">
        <f t="array" aca="1" ref="N93" ca="1">_FV(B93,"Open")</f>
        <v>313.755</v>
      </c>
      <c r="O93" s="3" cm="1">
        <f t="array" aca="1" ref="O93" ca="1">_FV(B93,"Previous close",TRUE)</f>
        <v>323.92</v>
      </c>
      <c r="P93" s="7" cm="1">
        <f t="array" aca="1" ref="P93" ca="1">_FV(B93,"Volume")</f>
        <v>7295984</v>
      </c>
      <c r="Q93" s="7" cm="1">
        <f t="array" aca="1" ref="Q93" ca="1">_FV(B93,"Volume average",TRUE)</f>
        <v>5671869</v>
      </c>
      <c r="R93" s="8" cm="1">
        <f t="array" aca="1" ref="R93" ca="1">_FV(B93,"Year incorporated",TRUE)</f>
        <v>2016</v>
      </c>
      <c r="S93" s="7" cm="1">
        <f t="array" aca="1" ref="S93" ca="1">_FV(B93,"Employees")</f>
        <v>34000</v>
      </c>
      <c r="T93" t="str" cm="1">
        <f t="array" aca="1" ref="T93" ca="1">_FV(B93,"Industry")</f>
        <v>Machinery, Equipment &amp; Components</v>
      </c>
      <c r="U93" s="7" cm="1">
        <f t="array" aca="1" ref="U93" ca="1">_FV(B93,"Market cap",TRUE)</f>
        <v>115401647872</v>
      </c>
      <c r="V93" s="7" cm="1">
        <f t="array" aca="1" ref="V93" ca="1">_FV(B93,"Shares outstanding",TRUE)</f>
        <v>384108800</v>
      </c>
    </row>
    <row r="94" spans="1:22">
      <c r="A94" t="s">
        <v>307</v>
      </c>
      <c r="B94" t="e" vm="99">
        <v>#VALUE!</v>
      </c>
      <c r="C94" s="2" cm="1">
        <f t="array" aca="1" ref="C94" ca="1">_FV(B94,"Last trade time",TRUE)</f>
        <v>46178.902455821095</v>
      </c>
      <c r="D94" t="str" cm="1">
        <f t="array" aca="1" ref="D94" ca="1">_FV(B94,"Currency")</f>
        <v>USD</v>
      </c>
      <c r="E94" s="3" cm="1">
        <f t="array" aca="1" ref="E94" ca="1">_FV(B94,"Price")</f>
        <v>144.28</v>
      </c>
      <c r="F94" s="4" cm="1">
        <f t="array" aca="1" ref="F94" ca="1">_FV(B94,"Change (%)",TRUE)</f>
        <v>-2.4542000000000001E-2</v>
      </c>
      <c r="G94" s="5" cm="1">
        <f t="array" aca="1" ref="G94" ca="1">_FV(B94,"Change")</f>
        <v>-3.63</v>
      </c>
      <c r="H94" s="6" cm="1">
        <f t="array" aca="1" ref="H94" ca="1">_FV(B94,"P/E",TRUE)</f>
        <v>46.171399999999998</v>
      </c>
      <c r="I94" s="6" cm="1">
        <f t="array" aca="1" ref="I94" ca="1">_FV(B94,"Beta")</f>
        <v>1.0787</v>
      </c>
      <c r="J94" s="3" cm="1">
        <f t="array" aca="1" ref="J94" ca="1">_FV(B94,"52 week high",TRUE)</f>
        <v>257.08999999999997</v>
      </c>
      <c r="K94" s="3" cm="1">
        <f t="array" aca="1" ref="K94" ca="1">_FV(B94,"52 week low",TRUE)</f>
        <v>110.36</v>
      </c>
      <c r="L94" s="3" cm="1">
        <f t="array" aca="1" ref="L94" ca="1">_FV(B94,"High")</f>
        <v>151.5</v>
      </c>
      <c r="M94" s="3" cm="1">
        <f t="array" aca="1" ref="M94" ca="1">_FV(B94,"Low")</f>
        <v>143.53</v>
      </c>
      <c r="N94" s="3" cm="1">
        <f t="array" aca="1" ref="N94" ca="1">_FV(B94,"Open")</f>
        <v>149.32</v>
      </c>
      <c r="O94" s="3" cm="1">
        <f t="array" aca="1" ref="O94" ca="1">_FV(B94,"Previous close",TRUE)</f>
        <v>147.91</v>
      </c>
      <c r="P94" s="7" cm="1">
        <f t="array" aca="1" ref="P94" ca="1">_FV(B94,"Volume")</f>
        <v>4594660</v>
      </c>
      <c r="Q94" s="7" cm="1">
        <f t="array" aca="1" ref="Q94" ca="1">_FV(B94,"Volume average",TRUE)</f>
        <v>5505662</v>
      </c>
      <c r="R94" s="8" cm="1">
        <f t="array" aca="1" ref="R94" ca="1">_FV(B94,"Year incorporated",TRUE)</f>
        <v>2012</v>
      </c>
      <c r="S94" s="7" cm="1">
        <f t="array" aca="1" ref="S94" ca="1">_FV(B94,"Employees")</f>
        <v>20834</v>
      </c>
      <c r="T94" t="str" cm="1">
        <f t="array" aca="1" ref="T94" ca="1">_FV(B94,"Industry")</f>
        <v>Software &amp; IT Services</v>
      </c>
      <c r="U94" s="7" cm="1">
        <f t="array" aca="1" ref="U94" ca="1">_FV(B94,"Market cap",TRUE)</f>
        <v>35637160000</v>
      </c>
      <c r="V94" s="7" cm="1">
        <f t="array" aca="1" ref="V94" ca="1">_FV(B94,"Shares outstanding",TRUE)</f>
        <v>247000000</v>
      </c>
    </row>
    <row r="95" spans="1:22">
      <c r="A95" t="s">
        <v>144</v>
      </c>
      <c r="B95" t="e" vm="100">
        <v>#VALUE!</v>
      </c>
      <c r="C95" s="2" cm="1">
        <f t="array" aca="1" ref="C95" ca="1">_FV(B95,"Last trade time",TRUE)</f>
        <v>46178.903391226566</v>
      </c>
      <c r="D95" t="str" cm="1">
        <f t="array" aca="1" ref="D95" ca="1">_FV(B95,"Currency")</f>
        <v>USD</v>
      </c>
      <c r="E95" s="3" cm="1">
        <f t="array" aca="1" ref="E95" ca="1">_FV(B95,"Price")</f>
        <v>130.78</v>
      </c>
      <c r="F95" s="4" cm="1">
        <f t="array" aca="1" ref="F95" ca="1">_FV(B95,"Change (%)",TRUE)</f>
        <v>-3.3120999999999998E-2</v>
      </c>
      <c r="G95" s="5" cm="1">
        <f t="array" aca="1" ref="G95" ca="1">_FV(B95,"Change")</f>
        <v>-4.4800000000000004</v>
      </c>
      <c r="H95" s="6" cm="1">
        <f t="array" aca="1" ref="H95" ca="1">_FV(B95,"P/E",TRUE)</f>
        <v>0</v>
      </c>
      <c r="I95" s="6" cm="1">
        <f t="array" aca="1" ref="I95" ca="1">_FV(B95,"Beta")</f>
        <v>0.9647</v>
      </c>
      <c r="J95" s="3" cm="1">
        <f t="array" aca="1" ref="J95" ca="1">_FV(B95,"52 week high",TRUE)</f>
        <v>336.99</v>
      </c>
      <c r="K95" s="3" cm="1">
        <f t="array" aca="1" ref="K95" ca="1">_FV(B95,"52 week low",TRUE)</f>
        <v>114.625</v>
      </c>
      <c r="L95" s="3" cm="1">
        <f t="array" aca="1" ref="L95" ca="1">_FV(B95,"High")</f>
        <v>137.2099</v>
      </c>
      <c r="M95" s="3" cm="1">
        <f t="array" aca="1" ref="M95" ca="1">_FV(B95,"Low")</f>
        <v>128.97999999999999</v>
      </c>
      <c r="N95" s="3" cm="1">
        <f t="array" aca="1" ref="N95" ca="1">_FV(B95,"Open")</f>
        <v>133.755</v>
      </c>
      <c r="O95" s="3" cm="1">
        <f t="array" aca="1" ref="O95" ca="1">_FV(B95,"Previous close",TRUE)</f>
        <v>135.26</v>
      </c>
      <c r="P95" s="7" cm="1">
        <f t="array" aca="1" ref="P95" ca="1">_FV(B95,"Volume")</f>
        <v>4598738</v>
      </c>
      <c r="Q95" s="7" cm="1">
        <f t="array" aca="1" ref="Q95" ca="1">_FV(B95,"Volume average",TRUE)</f>
        <v>6283847</v>
      </c>
      <c r="R95" s="8" cm="1">
        <f t="array" aca="1" ref="R95" ca="1">_FV(B95,"Year incorporated",TRUE)</f>
        <v>2007</v>
      </c>
      <c r="S95" s="7" cm="1">
        <f t="array" aca="1" ref="S95" ca="1">_FV(B95,"Employees")</f>
        <v>7923</v>
      </c>
      <c r="T95" t="str" cm="1">
        <f t="array" aca="1" ref="T95" ca="1">_FV(B95,"Industry")</f>
        <v>Software &amp; IT Services</v>
      </c>
      <c r="U95" s="7" cm="1">
        <f t="array" aca="1" ref="U95" ca="1">_FV(B95,"Market cap",TRUE)</f>
        <v>21148368410</v>
      </c>
      <c r="V95" s="7" cm="1">
        <f t="array" aca="1" ref="V95" ca="1">_FV(B95,"Shares outstanding",TRUE)</f>
        <v>161709500</v>
      </c>
    </row>
  </sheetData>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027A5-E4FB-4AA7-BEAE-7B9653141BA1}">
  <dimension ref="A1:N10"/>
  <sheetViews>
    <sheetView tabSelected="1" topLeftCell="B1" workbookViewId="0">
      <selection activeCell="L9" sqref="L2:L9"/>
    </sheetView>
  </sheetViews>
  <sheetFormatPr defaultColWidth="9.1328125" defaultRowHeight="15.4"/>
  <cols>
    <col min="1" max="1" width="9.86328125" style="14" bestFit="1" customWidth="1"/>
    <col min="2" max="2" width="42.33203125" style="14" customWidth="1"/>
    <col min="3" max="3" width="7.3984375" style="14" customWidth="1"/>
    <col min="4" max="4" width="6.53125" style="14" customWidth="1"/>
    <col min="5" max="5" width="9.46484375" style="14" customWidth="1"/>
    <col min="6" max="6" width="11.46484375" style="14" customWidth="1"/>
    <col min="7" max="7" width="12.3984375" style="14" bestFit="1" customWidth="1"/>
    <col min="8" max="8" width="17.6640625" style="14" bestFit="1" customWidth="1"/>
    <col min="9" max="9" width="10" style="14" customWidth="1"/>
    <col min="10" max="10" width="7.6640625" style="14" customWidth="1"/>
    <col min="11" max="11" width="21.6640625" style="37" bestFit="1" customWidth="1"/>
    <col min="12" max="12" width="18.46484375" style="14" bestFit="1" customWidth="1"/>
    <col min="13" max="13" width="14.46484375" style="14" bestFit="1" customWidth="1"/>
    <col min="14" max="14" width="12.73046875" style="14" bestFit="1" customWidth="1"/>
    <col min="15" max="16384" width="9.1328125" style="14"/>
  </cols>
  <sheetData>
    <row r="1" spans="1:14" ht="24">
      <c r="A1" s="13" t="s">
        <v>312</v>
      </c>
      <c r="B1" s="38" t="s">
        <v>93</v>
      </c>
      <c r="C1" s="39" t="s">
        <v>95</v>
      </c>
      <c r="D1" s="40" t="s">
        <v>313</v>
      </c>
      <c r="E1" s="40" t="s">
        <v>314</v>
      </c>
      <c r="F1" s="40" t="s">
        <v>315</v>
      </c>
      <c r="G1" s="40" t="s">
        <v>316</v>
      </c>
      <c r="H1" s="40" t="s">
        <v>317</v>
      </c>
      <c r="I1" s="40" t="s">
        <v>96</v>
      </c>
      <c r="J1" s="40" t="s">
        <v>318</v>
      </c>
      <c r="K1" s="41" t="s">
        <v>97</v>
      </c>
      <c r="L1" s="40" t="s">
        <v>319</v>
      </c>
      <c r="M1" s="40" t="s">
        <v>320</v>
      </c>
      <c r="N1" s="40" t="s">
        <v>321</v>
      </c>
    </row>
    <row r="2" spans="1:14" ht="24">
      <c r="A2" s="15" t="s">
        <v>41</v>
      </c>
      <c r="B2" s="42" t="e" vm="52">
        <v>#VALUE!</v>
      </c>
      <c r="C2" s="43" t="str">
        <f t="shared" ref="C2:C10" ca="1" si="0">_FV(B2,"Currency")</f>
        <v>USD</v>
      </c>
      <c r="D2" s="44">
        <v>6</v>
      </c>
      <c r="E2" s="44">
        <v>0</v>
      </c>
      <c r="F2" s="44">
        <v>6</v>
      </c>
      <c r="G2" s="45">
        <v>527.97666700000002</v>
      </c>
      <c r="H2" s="45">
        <f t="shared" ref="H2:H10" si="1">F2*G2</f>
        <v>3167.8600020000003</v>
      </c>
      <c r="I2" s="46">
        <f t="shared" ref="I2:I10" ca="1" si="2">_FV(B2,"Price")</f>
        <v>593</v>
      </c>
      <c r="J2" s="47">
        <f ca="1">Config!$C$1</f>
        <v>0.74950000000000006</v>
      </c>
      <c r="K2" s="48" cm="1">
        <f t="array" aca="1" ref="K2" ca="1">_FV(B2,"Change (%)",TRUE)</f>
        <v>-5.5084999999999995E-2</v>
      </c>
      <c r="L2" s="45">
        <f t="shared" ref="L2:L10" ca="1" si="3">F2*I2*J2</f>
        <v>2666.721</v>
      </c>
      <c r="M2" s="45">
        <f t="shared" ref="M2:M10" ca="1" si="4">L2-H2</f>
        <v>-501.13900200000035</v>
      </c>
      <c r="N2" s="48">
        <f t="shared" ref="N2:N10" ca="1" si="5">IF(H2=0,"",M2/H2)</f>
        <v>-0.15819480712014125</v>
      </c>
    </row>
    <row r="3" spans="1:14" ht="24">
      <c r="A3" s="15" t="s">
        <v>60</v>
      </c>
      <c r="B3" s="42" t="e" vm="39">
        <v>#VALUE!</v>
      </c>
      <c r="C3" s="43" t="str">
        <f t="shared" ca="1" si="0"/>
        <v>USD</v>
      </c>
      <c r="D3" s="44">
        <v>75</v>
      </c>
      <c r="E3" s="44">
        <v>0</v>
      </c>
      <c r="F3" s="44">
        <v>75</v>
      </c>
      <c r="G3" s="45">
        <v>48.637323999999992</v>
      </c>
      <c r="H3" s="45">
        <f t="shared" si="1"/>
        <v>3647.7992999999992</v>
      </c>
      <c r="I3" s="46">
        <f t="shared" ca="1" si="2"/>
        <v>82.47</v>
      </c>
      <c r="J3" s="47">
        <f ca="1">Config!$C$1</f>
        <v>0.74950000000000006</v>
      </c>
      <c r="K3" s="48" cm="1">
        <f t="array" aca="1" ref="K3" ca="1">_FV(B3,"Change (%)",TRUE)</f>
        <v>-6.6341999999999998E-2</v>
      </c>
      <c r="L3" s="45">
        <f t="shared" ca="1" si="3"/>
        <v>4635.8448750000007</v>
      </c>
      <c r="M3" s="45">
        <f t="shared" ca="1" si="4"/>
        <v>988.04557500000146</v>
      </c>
      <c r="N3" s="48">
        <f t="shared" ca="1" si="5"/>
        <v>0.27086072827526497</v>
      </c>
    </row>
    <row r="4" spans="1:14" ht="24">
      <c r="A4" s="15" t="s">
        <v>200</v>
      </c>
      <c r="B4" s="42" t="e" vm="63">
        <v>#VALUE!</v>
      </c>
      <c r="C4" s="43" t="str">
        <f t="shared" ca="1" si="0"/>
        <v>USD</v>
      </c>
      <c r="D4" s="44">
        <v>18</v>
      </c>
      <c r="E4" s="44">
        <v>0</v>
      </c>
      <c r="F4" s="44">
        <v>18</v>
      </c>
      <c r="G4" s="45">
        <v>129.58000000000001</v>
      </c>
      <c r="H4" s="45">
        <f t="shared" si="1"/>
        <v>2332.44</v>
      </c>
      <c r="I4" s="46">
        <f t="shared" ca="1" si="2"/>
        <v>205.1</v>
      </c>
      <c r="J4" s="47">
        <f ca="1">Config!$C$1</f>
        <v>0.74950000000000006</v>
      </c>
      <c r="K4" s="48" cm="1">
        <f t="array" aca="1" ref="K4" ca="1">_FV(B4,"Change (%)",TRUE)</f>
        <v>-6.2013999999999993E-2</v>
      </c>
      <c r="L4" s="45">
        <f t="shared" ca="1" si="3"/>
        <v>2767.0041000000001</v>
      </c>
      <c r="M4" s="45">
        <f t="shared" ca="1" si="4"/>
        <v>434.56410000000005</v>
      </c>
      <c r="N4" s="48">
        <f t="shared" ca="1" si="5"/>
        <v>0.18631308843957403</v>
      </c>
    </row>
    <row r="5" spans="1:14" ht="24">
      <c r="A5" s="15" t="s">
        <v>63</v>
      </c>
      <c r="B5" s="42" t="e" vm="8">
        <v>#VALUE!</v>
      </c>
      <c r="C5" s="43" t="str">
        <f t="shared" ca="1" si="0"/>
        <v>USD</v>
      </c>
      <c r="D5" s="44">
        <v>12</v>
      </c>
      <c r="E5" s="44">
        <v>0</v>
      </c>
      <c r="F5" s="44">
        <v>12</v>
      </c>
      <c r="G5" s="45">
        <v>154.96</v>
      </c>
      <c r="H5" s="45">
        <f t="shared" si="1"/>
        <v>1859.52</v>
      </c>
      <c r="I5" s="46">
        <f t="shared" ca="1" si="2"/>
        <v>466.38</v>
      </c>
      <c r="J5" s="47">
        <f ca="1">Config!$C$1</f>
        <v>0.74950000000000006</v>
      </c>
      <c r="K5" s="48" cm="1">
        <f t="array" aca="1" ref="K5" ca="1">_FV(B5,"Change (%)",TRUE)</f>
        <v>-0.10860099999999999</v>
      </c>
      <c r="L5" s="45">
        <f t="shared" ca="1" si="3"/>
        <v>4194.6217200000001</v>
      </c>
      <c r="M5" s="45">
        <f t="shared" ca="1" si="4"/>
        <v>2335.1017200000001</v>
      </c>
      <c r="N5" s="48">
        <f t="shared" ca="1" si="5"/>
        <v>1.2557550980898298</v>
      </c>
    </row>
    <row r="6" spans="1:14" ht="24">
      <c r="A6" s="15" t="s">
        <v>70</v>
      </c>
      <c r="B6" s="42" t="e" vm="28">
        <v>#VALUE!</v>
      </c>
      <c r="C6" s="43" t="str">
        <f t="shared" ca="1" si="0"/>
        <v>USD</v>
      </c>
      <c r="D6" s="44">
        <v>31</v>
      </c>
      <c r="E6" s="44">
        <v>0</v>
      </c>
      <c r="F6" s="44">
        <v>31</v>
      </c>
      <c r="G6" s="45">
        <v>66.906129000000007</v>
      </c>
      <c r="H6" s="45">
        <f t="shared" si="1"/>
        <v>2074.0899990000003</v>
      </c>
      <c r="I6" s="46">
        <f t="shared" ca="1" si="2"/>
        <v>100.39</v>
      </c>
      <c r="J6" s="47">
        <f ca="1">Config!$C$1</f>
        <v>0.74950000000000006</v>
      </c>
      <c r="K6" s="48" cm="1">
        <f t="array" aca="1" ref="K6" ca="1">_FV(B6,"Change (%)",TRUE)</f>
        <v>-7.0720999999999992E-2</v>
      </c>
      <c r="L6" s="45">
        <f t="shared" ca="1" si="3"/>
        <v>2332.5114550000003</v>
      </c>
      <c r="M6" s="45">
        <f t="shared" ca="1" si="4"/>
        <v>258.42145600000003</v>
      </c>
      <c r="N6" s="48">
        <f t="shared" ca="1" si="5"/>
        <v>0.12459510249053565</v>
      </c>
    </row>
    <row r="7" spans="1:14" ht="24">
      <c r="A7" s="15" t="s">
        <v>64</v>
      </c>
      <c r="B7" s="42" t="e" vm="95">
        <v>#VALUE!</v>
      </c>
      <c r="C7" s="43" t="str">
        <f t="shared" ca="1" si="0"/>
        <v>USD</v>
      </c>
      <c r="D7" s="44">
        <v>18</v>
      </c>
      <c r="E7" s="44">
        <v>0</v>
      </c>
      <c r="F7" s="44">
        <v>18</v>
      </c>
      <c r="G7" s="45">
        <v>269.68166111111105</v>
      </c>
      <c r="H7" s="45">
        <f t="shared" si="1"/>
        <v>4854.2698999999993</v>
      </c>
      <c r="I7" s="46">
        <f t="shared" ca="1" si="2"/>
        <v>391</v>
      </c>
      <c r="J7" s="47">
        <f ca="1">Config!$C$1</f>
        <v>0.74950000000000006</v>
      </c>
      <c r="K7" s="48" cm="1">
        <f t="array" aca="1" ref="K7" ca="1">_FV(B7,"Change (%)",TRUE)</f>
        <v>-6.5599000000000005E-2</v>
      </c>
      <c r="L7" s="45">
        <f t="shared" ca="1" si="3"/>
        <v>5274.9810000000007</v>
      </c>
      <c r="M7" s="45">
        <f t="shared" ca="1" si="4"/>
        <v>420.71110000000135</v>
      </c>
      <c r="N7" s="48">
        <f t="shared" ca="1" si="5"/>
        <v>8.6668254684396803E-2</v>
      </c>
    </row>
    <row r="8" spans="1:14" ht="24">
      <c r="A8" s="15" t="s">
        <v>76</v>
      </c>
      <c r="B8" s="42" t="e" vm="49">
        <v>#VALUE!</v>
      </c>
      <c r="C8" s="43" t="str">
        <f t="shared" ca="1" si="0"/>
        <v>USD</v>
      </c>
      <c r="D8" s="44">
        <v>124</v>
      </c>
      <c r="E8" s="44">
        <v>0</v>
      </c>
      <c r="F8" s="44">
        <v>124</v>
      </c>
      <c r="G8" s="45">
        <v>8.8163710000000002</v>
      </c>
      <c r="H8" s="45">
        <f t="shared" si="1"/>
        <v>1093.230004</v>
      </c>
      <c r="I8" s="46">
        <f t="shared" ca="1" si="2"/>
        <v>10.14</v>
      </c>
      <c r="J8" s="47">
        <f ca="1">Config!$C$1</f>
        <v>0.74950000000000006</v>
      </c>
      <c r="K8" s="48" cm="1">
        <f t="array" aca="1" ref="K8" ca="1">_FV(B8,"Change (%)",TRUE)</f>
        <v>-0.167488</v>
      </c>
      <c r="L8" s="45">
        <f t="shared" ca="1" si="3"/>
        <v>942.39132000000018</v>
      </c>
      <c r="M8" s="45">
        <f t="shared" ca="1" si="4"/>
        <v>-150.83868399999983</v>
      </c>
      <c r="N8" s="48">
        <f t="shared" ca="1" si="5"/>
        <v>-0.13797525081464909</v>
      </c>
    </row>
    <row r="9" spans="1:14" ht="24">
      <c r="A9" s="15" t="s">
        <v>80</v>
      </c>
      <c r="B9" s="42" t="e" vm="71">
        <v>#VALUE!</v>
      </c>
      <c r="C9" s="43" t="str">
        <f t="shared" ca="1" si="0"/>
        <v>USD</v>
      </c>
      <c r="D9" s="44">
        <v>446</v>
      </c>
      <c r="E9" s="44">
        <v>0</v>
      </c>
      <c r="F9" s="44">
        <v>446</v>
      </c>
      <c r="G9" s="45">
        <v>5.6275115156950681</v>
      </c>
      <c r="H9" s="45">
        <f t="shared" si="1"/>
        <v>2509.8701360000005</v>
      </c>
      <c r="I9" s="46">
        <f t="shared" ca="1" si="2"/>
        <v>11.86</v>
      </c>
      <c r="J9" s="47">
        <f ca="1">Config!$C$1</f>
        <v>0.74950000000000006</v>
      </c>
      <c r="K9" s="48" cm="1">
        <f t="array" aca="1" ref="K9" ca="1">_FV(B9,"Change (%)",TRUE)</f>
        <v>-0.23360299999999998</v>
      </c>
      <c r="L9" s="45">
        <f t="shared" ca="1" si="3"/>
        <v>3964.52522</v>
      </c>
      <c r="M9" s="45">
        <f t="shared" ca="1" si="4"/>
        <v>1454.6550839999995</v>
      </c>
      <c r="N9" s="48">
        <f t="shared" ca="1" si="5"/>
        <v>0.57957384453296645</v>
      </c>
    </row>
    <row r="10" spans="1:14" hidden="1">
      <c r="A10" s="15" t="s">
        <v>32</v>
      </c>
      <c r="B10" s="15" t="e" vm="80">
        <v>#VALUE!</v>
      </c>
      <c r="C10" s="16" t="str">
        <f t="shared" ca="1" si="0"/>
        <v>GBp</v>
      </c>
      <c r="D10" s="17">
        <v>100</v>
      </c>
      <c r="E10" s="17">
        <v>50</v>
      </c>
      <c r="F10" s="17">
        <v>50</v>
      </c>
      <c r="G10" s="18">
        <v>100</v>
      </c>
      <c r="H10" s="18">
        <f t="shared" si="1"/>
        <v>5000</v>
      </c>
      <c r="I10" s="19">
        <f t="shared" ca="1" si="2"/>
        <v>870</v>
      </c>
      <c r="J10" s="20">
        <f ca="1">Config!$C$1</f>
        <v>0.74950000000000006</v>
      </c>
      <c r="K10" s="36" cm="1">
        <f t="array" aca="1" ref="K10" ca="1">_FV(B10,"Change (%)",TRUE)</f>
        <v>-1.4945999999999999E-2</v>
      </c>
      <c r="L10" s="18">
        <f t="shared" ca="1" si="3"/>
        <v>32603.250000000004</v>
      </c>
      <c r="M10" s="18">
        <f t="shared" ca="1" si="4"/>
        <v>27603.250000000004</v>
      </c>
      <c r="N10" s="21">
        <f t="shared" ca="1" si="5"/>
        <v>5.5206500000000007</v>
      </c>
    </row>
  </sheetData>
  <conditionalFormatting sqref="A2:A10">
    <cfRule type="expression" dxfId="8" priority="19" stopIfTrue="1">
      <formula>M2&gt;0</formula>
    </cfRule>
    <cfRule type="expression" dxfId="7" priority="20" stopIfTrue="1">
      <formula>M2&lt;0</formula>
    </cfRule>
    <cfRule type="expression" dxfId="6" priority="21" stopIfTrue="1">
      <formula>M2=0</formula>
    </cfRule>
  </conditionalFormatting>
  <conditionalFormatting sqref="G2:H10 L2:N10">
    <cfRule type="cellIs" dxfId="5" priority="4" stopIfTrue="1" operator="greaterThan">
      <formula>0</formula>
    </cfRule>
    <cfRule type="cellIs" dxfId="4" priority="5" stopIfTrue="1" operator="lessThan">
      <formula>0</formula>
    </cfRule>
    <cfRule type="cellIs" dxfId="3" priority="6" stopIfTrue="1" operator="equal">
      <formula>0</formula>
    </cfRule>
  </conditionalFormatting>
  <conditionalFormatting sqref="K2:K9">
    <cfRule type="cellIs" dxfId="2" priority="1" stopIfTrue="1" operator="greaterThan">
      <formula>0</formula>
    </cfRule>
    <cfRule type="cellIs" dxfId="1" priority="2" stopIfTrue="1" operator="lessThan">
      <formula>0</formula>
    </cfRule>
    <cfRule type="cellIs" dxfId="0" priority="3" stopIfTrue="1" operator="equal">
      <formula>0</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94125-30C0-4E5C-96A7-41F5431259DA}">
  <dimension ref="A1:C1"/>
  <sheetViews>
    <sheetView workbookViewId="0">
      <selection activeCell="C1" sqref="C1"/>
    </sheetView>
  </sheetViews>
  <sheetFormatPr defaultRowHeight="14.25"/>
  <sheetData>
    <row r="1" spans="1:3">
      <c r="A1" t="s">
        <v>395</v>
      </c>
      <c r="B1" t="e" vm="101">
        <v>#VALUE!</v>
      </c>
      <c r="C1" s="3" cm="1">
        <f t="array" aca="1" ref="C1" ca="1">_FV(B1,"Price")</f>
        <v>0.74950000000000006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02"/>
  <sheetViews>
    <sheetView topLeftCell="A13" workbookViewId="0">
      <selection activeCell="D10" sqref="D10"/>
    </sheetView>
  </sheetViews>
  <sheetFormatPr defaultRowHeight="14.25"/>
  <cols>
    <col min="1" max="1" width="19.53125" bestFit="1" customWidth="1"/>
    <col min="2" max="2" width="10.46484375" bestFit="1" customWidth="1"/>
  </cols>
  <sheetData>
    <row r="1" spans="1:10">
      <c r="A1" t="s">
        <v>0</v>
      </c>
      <c r="B1" t="s">
        <v>1</v>
      </c>
      <c r="C1" t="s">
        <v>2</v>
      </c>
      <c r="D1" t="s">
        <v>3</v>
      </c>
      <c r="E1" t="s">
        <v>4</v>
      </c>
      <c r="F1" t="s">
        <v>5</v>
      </c>
      <c r="G1" t="s">
        <v>6</v>
      </c>
      <c r="H1" t="s">
        <v>7</v>
      </c>
      <c r="I1" t="s">
        <v>8</v>
      </c>
      <c r="J1" t="s">
        <v>9</v>
      </c>
    </row>
    <row r="2" spans="1:10">
      <c r="A2" s="10"/>
      <c r="B2" s="11"/>
    </row>
    <row r="3" spans="1:10">
      <c r="A3" s="10"/>
      <c r="B3" s="11"/>
    </row>
    <row r="4" spans="1:10">
      <c r="A4" s="10"/>
      <c r="B4" s="11"/>
    </row>
    <row r="5" spans="1:10">
      <c r="A5" s="10"/>
      <c r="B5" s="11"/>
    </row>
    <row r="6" spans="1:10">
      <c r="A6" s="10"/>
      <c r="B6" s="11"/>
    </row>
    <row r="7" spans="1:10">
      <c r="A7" s="10"/>
      <c r="B7" s="11"/>
    </row>
    <row r="8" spans="1:10">
      <c r="A8" s="10"/>
      <c r="B8" s="11"/>
    </row>
    <row r="9" spans="1:10">
      <c r="A9" s="10"/>
      <c r="B9" s="11"/>
    </row>
    <row r="10" spans="1:10">
      <c r="A10" s="10"/>
      <c r="B10" s="11"/>
    </row>
    <row r="11" spans="1:10">
      <c r="A11" s="10"/>
      <c r="B11" s="11"/>
    </row>
    <row r="12" spans="1:10">
      <c r="A12" s="10"/>
      <c r="B12" s="11"/>
    </row>
    <row r="13" spans="1:10">
      <c r="A13" s="10"/>
      <c r="B13" s="11"/>
    </row>
    <row r="14" spans="1:10">
      <c r="A14" s="10"/>
      <c r="B14" s="11"/>
    </row>
    <row r="15" spans="1:10">
      <c r="A15" s="10"/>
      <c r="B15" s="11"/>
    </row>
    <row r="16" spans="1:10">
      <c r="A16" s="10"/>
      <c r="B16" s="11"/>
    </row>
    <row r="17" spans="1:2">
      <c r="A17" s="10"/>
      <c r="B17" s="11"/>
    </row>
    <row r="18" spans="1:2">
      <c r="A18" s="10"/>
      <c r="B18" s="11"/>
    </row>
    <row r="19" spans="1:2">
      <c r="A19" s="10"/>
      <c r="B19" s="11"/>
    </row>
    <row r="20" spans="1:2">
      <c r="A20" s="10"/>
      <c r="B20" s="11"/>
    </row>
    <row r="21" spans="1:2">
      <c r="A21" s="10"/>
      <c r="B21" s="11"/>
    </row>
    <row r="22" spans="1:2">
      <c r="A22" s="10"/>
      <c r="B22" s="11"/>
    </row>
    <row r="23" spans="1:2">
      <c r="A23" s="10"/>
      <c r="B23" s="11"/>
    </row>
    <row r="24" spans="1:2">
      <c r="A24" s="10"/>
      <c r="B24" s="11"/>
    </row>
    <row r="25" spans="1:2">
      <c r="A25" s="10"/>
      <c r="B25" s="11"/>
    </row>
    <row r="26" spans="1:2">
      <c r="A26" s="10"/>
      <c r="B26" s="11"/>
    </row>
    <row r="27" spans="1:2">
      <c r="A27" s="10"/>
      <c r="B27" s="11"/>
    </row>
    <row r="28" spans="1:2">
      <c r="A28" s="10"/>
      <c r="B28" s="11"/>
    </row>
    <row r="29" spans="1:2">
      <c r="A29" s="10"/>
      <c r="B29" s="11"/>
    </row>
    <row r="30" spans="1:2">
      <c r="A30" s="10"/>
      <c r="B30" s="11"/>
    </row>
    <row r="31" spans="1:2">
      <c r="A31" s="10"/>
      <c r="B31" s="11"/>
    </row>
    <row r="32" spans="1:2">
      <c r="A32" s="10"/>
      <c r="B32" s="11"/>
    </row>
    <row r="33" spans="1:2">
      <c r="A33" s="10"/>
      <c r="B33" s="11"/>
    </row>
    <row r="34" spans="1:2">
      <c r="A34" s="10"/>
      <c r="B34" s="11"/>
    </row>
    <row r="35" spans="1:2">
      <c r="A35" s="10"/>
      <c r="B35" s="11"/>
    </row>
    <row r="36" spans="1:2">
      <c r="A36" s="10"/>
      <c r="B36" s="11"/>
    </row>
    <row r="37" spans="1:2">
      <c r="A37" s="10"/>
      <c r="B37" s="11"/>
    </row>
    <row r="38" spans="1:2">
      <c r="A38" s="10"/>
      <c r="B38" s="11"/>
    </row>
    <row r="39" spans="1:2">
      <c r="A39" s="10"/>
      <c r="B39" s="11"/>
    </row>
    <row r="40" spans="1:2">
      <c r="A40" s="10"/>
      <c r="B40" s="11"/>
    </row>
    <row r="41" spans="1:2">
      <c r="A41" s="10"/>
      <c r="B41" s="11"/>
    </row>
    <row r="42" spans="1:2">
      <c r="A42" s="10"/>
      <c r="B42" s="11"/>
    </row>
    <row r="43" spans="1:2">
      <c r="A43" s="10"/>
      <c r="B43" s="11"/>
    </row>
    <row r="44" spans="1:2">
      <c r="A44" s="10"/>
      <c r="B44" s="11"/>
    </row>
    <row r="45" spans="1:2">
      <c r="A45" s="10"/>
      <c r="B45" s="11"/>
    </row>
    <row r="46" spans="1:2">
      <c r="A46" s="10"/>
      <c r="B46" s="11"/>
    </row>
    <row r="47" spans="1:2">
      <c r="A47" s="10"/>
      <c r="B47" s="11"/>
    </row>
    <row r="48" spans="1:2">
      <c r="A48" s="10"/>
      <c r="B48" s="11"/>
    </row>
    <row r="49" spans="1:2">
      <c r="A49" s="10"/>
      <c r="B49" s="11"/>
    </row>
    <row r="50" spans="1:2">
      <c r="A50" s="10"/>
      <c r="B50" s="11"/>
    </row>
    <row r="51" spans="1:2">
      <c r="A51" s="10"/>
      <c r="B51" s="11"/>
    </row>
    <row r="52" spans="1:2">
      <c r="A52" s="10"/>
      <c r="B52" s="11"/>
    </row>
    <row r="53" spans="1:2">
      <c r="A53" s="10"/>
      <c r="B53" s="11"/>
    </row>
    <row r="54" spans="1:2">
      <c r="A54" s="10"/>
      <c r="B54" s="11"/>
    </row>
    <row r="55" spans="1:2">
      <c r="A55" s="10"/>
      <c r="B55" s="11"/>
    </row>
    <row r="56" spans="1:2">
      <c r="A56" s="10"/>
      <c r="B56" s="11"/>
    </row>
    <row r="57" spans="1:2">
      <c r="A57" s="10"/>
      <c r="B57" s="11"/>
    </row>
    <row r="58" spans="1:2">
      <c r="A58" s="10"/>
      <c r="B58" s="11"/>
    </row>
    <row r="59" spans="1:2">
      <c r="A59" s="10"/>
      <c r="B59" s="11"/>
    </row>
    <row r="60" spans="1:2">
      <c r="A60" s="10"/>
      <c r="B60" s="11"/>
    </row>
    <row r="61" spans="1:2">
      <c r="A61" s="10"/>
      <c r="B61" s="11"/>
    </row>
    <row r="62" spans="1:2">
      <c r="A62" s="10"/>
      <c r="B62" s="11"/>
    </row>
    <row r="63" spans="1:2">
      <c r="A63" s="10"/>
      <c r="B63" s="11"/>
    </row>
    <row r="64" spans="1:2">
      <c r="A64" s="10"/>
      <c r="B64" s="11"/>
    </row>
    <row r="65" spans="1:2">
      <c r="A65" s="10"/>
      <c r="B65" s="11"/>
    </row>
    <row r="66" spans="1:2">
      <c r="A66" s="10"/>
      <c r="B66" s="11"/>
    </row>
    <row r="67" spans="1:2">
      <c r="A67" s="10"/>
      <c r="B67" s="11"/>
    </row>
    <row r="68" spans="1:2">
      <c r="A68" s="10"/>
      <c r="B68" s="11"/>
    </row>
    <row r="69" spans="1:2">
      <c r="A69" s="10"/>
      <c r="B69" s="11"/>
    </row>
    <row r="70" spans="1:2">
      <c r="A70" s="10"/>
      <c r="B70" s="11"/>
    </row>
    <row r="71" spans="1:2">
      <c r="A71" s="10"/>
      <c r="B71" s="11"/>
    </row>
    <row r="72" spans="1:2">
      <c r="A72" s="10"/>
      <c r="B72" s="11"/>
    </row>
    <row r="73" spans="1:2">
      <c r="A73" s="10"/>
      <c r="B73" s="11"/>
    </row>
    <row r="74" spans="1:2">
      <c r="A74" s="10"/>
      <c r="B74" s="11"/>
    </row>
    <row r="75" spans="1:2">
      <c r="A75" s="10"/>
      <c r="B75" s="11"/>
    </row>
    <row r="76" spans="1:2">
      <c r="A76" s="10"/>
      <c r="B76" s="11"/>
    </row>
    <row r="77" spans="1:2">
      <c r="A77" s="10"/>
      <c r="B77" s="11"/>
    </row>
    <row r="78" spans="1:2">
      <c r="A78" s="10"/>
      <c r="B78" s="11"/>
    </row>
    <row r="79" spans="1:2">
      <c r="A79" s="10"/>
      <c r="B79" s="11"/>
    </row>
    <row r="80" spans="1:2">
      <c r="A80" s="10"/>
      <c r="B80" s="11"/>
    </row>
    <row r="81" spans="1:2">
      <c r="A81" s="10"/>
      <c r="B81" s="11"/>
    </row>
    <row r="82" spans="1:2">
      <c r="A82" s="10"/>
      <c r="B82" s="11"/>
    </row>
    <row r="83" spans="1:2">
      <c r="A83" s="10"/>
      <c r="B83" s="11"/>
    </row>
    <row r="84" spans="1:2">
      <c r="A84" s="10"/>
      <c r="B84" s="11"/>
    </row>
    <row r="85" spans="1:2">
      <c r="A85" s="10"/>
      <c r="B85" s="11"/>
    </row>
    <row r="86" spans="1:2">
      <c r="A86" s="10"/>
      <c r="B86" s="11"/>
    </row>
    <row r="87" spans="1:2">
      <c r="A87" s="10"/>
      <c r="B87" s="11"/>
    </row>
    <row r="88" spans="1:2">
      <c r="A88" s="10"/>
      <c r="B88" s="11"/>
    </row>
    <row r="89" spans="1:2">
      <c r="A89" s="10"/>
      <c r="B89" s="11"/>
    </row>
    <row r="90" spans="1:2">
      <c r="A90" s="10"/>
      <c r="B90" s="11"/>
    </row>
    <row r="91" spans="1:2">
      <c r="A91" s="10"/>
      <c r="B91" s="11"/>
    </row>
    <row r="92" spans="1:2">
      <c r="A92" s="10"/>
      <c r="B92" s="11"/>
    </row>
    <row r="93" spans="1:2">
      <c r="A93" s="10"/>
      <c r="B93" s="11"/>
    </row>
    <row r="94" spans="1:2">
      <c r="A94" s="10"/>
      <c r="B94" s="11"/>
    </row>
    <row r="95" spans="1:2">
      <c r="A95" s="10"/>
      <c r="B95" s="11"/>
    </row>
    <row r="96" spans="1:2">
      <c r="A96" s="10"/>
      <c r="B96" s="11"/>
    </row>
    <row r="97" spans="1:10">
      <c r="A97" s="10"/>
      <c r="B97" s="11"/>
    </row>
    <row r="98" spans="1:10">
      <c r="A98" s="10"/>
      <c r="B98" s="11"/>
    </row>
    <row r="99" spans="1:10">
      <c r="A99" s="10"/>
      <c r="B99" s="11"/>
    </row>
    <row r="100" spans="1:10">
      <c r="A100" s="10"/>
      <c r="B100" s="11"/>
    </row>
    <row r="101" spans="1:10">
      <c r="A101" s="10"/>
      <c r="B101" s="11"/>
    </row>
    <row r="102" spans="1:10">
      <c r="A102" s="10">
        <v>46161.887965208327</v>
      </c>
      <c r="B102" s="11">
        <v>46161</v>
      </c>
      <c r="C102" t="s">
        <v>10</v>
      </c>
      <c r="D102" t="s">
        <v>11</v>
      </c>
      <c r="E102" t="s">
        <v>12</v>
      </c>
      <c r="F102">
        <v>10.55</v>
      </c>
      <c r="G102">
        <v>20.288464000000001</v>
      </c>
      <c r="H102">
        <v>0.90900000000000003</v>
      </c>
      <c r="I102">
        <v>5490677760</v>
      </c>
      <c r="J102" t="s">
        <v>13</v>
      </c>
    </row>
    <row r="103" spans="1:10">
      <c r="A103" s="10">
        <v>46161.887968900461</v>
      </c>
      <c r="B103" s="11">
        <v>46161</v>
      </c>
      <c r="C103" t="s">
        <v>10</v>
      </c>
      <c r="D103" t="s">
        <v>14</v>
      </c>
      <c r="E103" t="s">
        <v>12</v>
      </c>
      <c r="F103">
        <v>88.19</v>
      </c>
      <c r="G103">
        <v>78.741069999999993</v>
      </c>
      <c r="H103">
        <v>2.403</v>
      </c>
      <c r="I103">
        <v>2879876096</v>
      </c>
      <c r="J103" t="s">
        <v>15</v>
      </c>
    </row>
    <row r="104" spans="1:10">
      <c r="A104" s="10">
        <v>46161.887972372693</v>
      </c>
      <c r="B104" s="11">
        <v>46161</v>
      </c>
      <c r="C104" t="s">
        <v>10</v>
      </c>
      <c r="D104" t="s">
        <v>16</v>
      </c>
      <c r="E104" t="s">
        <v>12</v>
      </c>
      <c r="F104">
        <v>101.83</v>
      </c>
      <c r="G104">
        <v>60.613100000000003</v>
      </c>
      <c r="H104">
        <v>0.81899999999999995</v>
      </c>
      <c r="I104">
        <v>105018097664</v>
      </c>
      <c r="J104" t="s">
        <v>17</v>
      </c>
    </row>
    <row r="105" spans="1:10">
      <c r="A105" s="10">
        <v>46161.88797596065</v>
      </c>
      <c r="B105" s="11">
        <v>46161</v>
      </c>
      <c r="C105" t="s">
        <v>10</v>
      </c>
      <c r="D105" t="s">
        <v>18</v>
      </c>
      <c r="E105" t="s">
        <v>12</v>
      </c>
      <c r="F105">
        <v>22.52</v>
      </c>
      <c r="G105">
        <v>34.646155999999998</v>
      </c>
      <c r="H105">
        <v>1.325</v>
      </c>
      <c r="I105">
        <v>1724220928</v>
      </c>
      <c r="J105" t="s">
        <v>13</v>
      </c>
    </row>
    <row r="106" spans="1:10">
      <c r="A106" s="10">
        <v>46161.887979594911</v>
      </c>
      <c r="B106" s="11">
        <v>46161</v>
      </c>
      <c r="C106" t="s">
        <v>10</v>
      </c>
      <c r="D106" t="s">
        <v>19</v>
      </c>
      <c r="E106" t="s">
        <v>12</v>
      </c>
      <c r="F106">
        <v>254.99</v>
      </c>
      <c r="G106">
        <v>14.868221999999999</v>
      </c>
      <c r="H106">
        <v>1.417</v>
      </c>
      <c r="I106">
        <v>103066959872</v>
      </c>
      <c r="J106" t="s">
        <v>17</v>
      </c>
    </row>
    <row r="107" spans="1:10">
      <c r="A107" s="10">
        <v>46161.887985370369</v>
      </c>
      <c r="B107" s="11">
        <v>46161</v>
      </c>
      <c r="C107" t="s">
        <v>10</v>
      </c>
      <c r="D107" t="s">
        <v>20</v>
      </c>
      <c r="E107" t="s">
        <v>12</v>
      </c>
      <c r="F107">
        <v>100.09</v>
      </c>
      <c r="G107">
        <v>17.969479</v>
      </c>
      <c r="H107">
        <v>0.57899999999999996</v>
      </c>
      <c r="I107">
        <v>3524870144</v>
      </c>
      <c r="J107" t="s">
        <v>13</v>
      </c>
    </row>
    <row r="108" spans="1:10">
      <c r="A108" s="10">
        <v>46161.887988796298</v>
      </c>
      <c r="B108" s="11">
        <v>46161</v>
      </c>
      <c r="C108" t="s">
        <v>10</v>
      </c>
      <c r="D108" t="s">
        <v>21</v>
      </c>
      <c r="E108" t="s">
        <v>12</v>
      </c>
      <c r="F108">
        <v>70.349999999999994</v>
      </c>
      <c r="G108">
        <v>29.312498000000001</v>
      </c>
      <c r="H108">
        <v>1.476</v>
      </c>
      <c r="I108">
        <v>10581059584</v>
      </c>
      <c r="J108" t="s">
        <v>22</v>
      </c>
    </row>
    <row r="109" spans="1:10">
      <c r="A109" s="10">
        <v>46161.887992094897</v>
      </c>
      <c r="B109" s="11">
        <v>46161</v>
      </c>
      <c r="C109" t="s">
        <v>10</v>
      </c>
      <c r="D109" t="s">
        <v>23</v>
      </c>
      <c r="E109" t="s">
        <v>12</v>
      </c>
      <c r="F109">
        <v>417.42</v>
      </c>
      <c r="G109">
        <v>24.890877</v>
      </c>
      <c r="H109">
        <v>1.093</v>
      </c>
      <c r="I109">
        <v>3100777381888</v>
      </c>
      <c r="J109" t="s">
        <v>13</v>
      </c>
    </row>
    <row r="110" spans="1:10">
      <c r="A110" s="10">
        <v>46161.887995833327</v>
      </c>
      <c r="B110" s="11">
        <v>46161</v>
      </c>
      <c r="C110" t="s">
        <v>10</v>
      </c>
      <c r="D110" t="s">
        <v>24</v>
      </c>
      <c r="E110" t="s">
        <v>12</v>
      </c>
      <c r="F110">
        <v>476.9</v>
      </c>
      <c r="G110">
        <v>41.397568</v>
      </c>
      <c r="H110">
        <v>2.3660000000000001</v>
      </c>
      <c r="I110">
        <v>160209551360</v>
      </c>
      <c r="J110" t="s">
        <v>25</v>
      </c>
    </row>
    <row r="111" spans="1:10">
      <c r="A111" s="10">
        <v>46161.887999259263</v>
      </c>
      <c r="B111" s="11">
        <v>46161</v>
      </c>
      <c r="C111" t="s">
        <v>10</v>
      </c>
      <c r="D111" t="s">
        <v>26</v>
      </c>
      <c r="E111" t="s">
        <v>12</v>
      </c>
      <c r="F111">
        <v>215.15</v>
      </c>
      <c r="G111">
        <v>537.875</v>
      </c>
      <c r="H111">
        <v>1.2949999999999999</v>
      </c>
      <c r="I111">
        <v>76584837120</v>
      </c>
      <c r="J111" t="s">
        <v>17</v>
      </c>
    </row>
    <row r="112" spans="1:10">
      <c r="A112" s="10">
        <v>46161.888003182867</v>
      </c>
      <c r="B112" s="11">
        <v>46161</v>
      </c>
      <c r="C112" t="s">
        <v>10</v>
      </c>
      <c r="D112" t="s">
        <v>27</v>
      </c>
      <c r="E112" t="s">
        <v>12</v>
      </c>
      <c r="F112">
        <v>244.26</v>
      </c>
      <c r="G112">
        <v>163.93288000000001</v>
      </c>
      <c r="H112">
        <v>3.363</v>
      </c>
      <c r="I112">
        <v>41868099584</v>
      </c>
      <c r="J112" t="s">
        <v>22</v>
      </c>
    </row>
    <row r="113" spans="1:10">
      <c r="A113" s="10">
        <v>46161.888006770831</v>
      </c>
      <c r="B113" s="11">
        <v>46161</v>
      </c>
      <c r="C113" t="s">
        <v>10</v>
      </c>
      <c r="D113" t="s">
        <v>28</v>
      </c>
      <c r="E113" t="s">
        <v>12</v>
      </c>
      <c r="F113">
        <v>1383.29</v>
      </c>
      <c r="G113">
        <v>47.162975000000003</v>
      </c>
      <c r="I113">
        <v>204851085312</v>
      </c>
      <c r="J113" t="s">
        <v>29</v>
      </c>
    </row>
    <row r="114" spans="1:10">
      <c r="A114" s="10">
        <v>46161.888010277777</v>
      </c>
      <c r="B114" s="11">
        <v>46161</v>
      </c>
      <c r="C114" t="s">
        <v>10</v>
      </c>
      <c r="D114" t="s">
        <v>30</v>
      </c>
      <c r="E114" t="s">
        <v>12</v>
      </c>
      <c r="F114">
        <v>91.81</v>
      </c>
      <c r="G114">
        <v>18.252483000000002</v>
      </c>
      <c r="H114">
        <v>0.79700000000000004</v>
      </c>
      <c r="I114">
        <v>159670026240</v>
      </c>
      <c r="J114" t="s">
        <v>31</v>
      </c>
    </row>
    <row r="115" spans="1:10">
      <c r="A115" s="10">
        <v>46161.888013865741</v>
      </c>
      <c r="B115" s="11">
        <v>46161</v>
      </c>
      <c r="C115" t="s">
        <v>10</v>
      </c>
      <c r="D115" t="s">
        <v>32</v>
      </c>
      <c r="E115" t="s">
        <v>33</v>
      </c>
      <c r="F115">
        <v>908</v>
      </c>
      <c r="G115">
        <v>24.54054</v>
      </c>
      <c r="H115">
        <v>0.30399999999999999</v>
      </c>
      <c r="I115">
        <v>8206142464</v>
      </c>
      <c r="J115" t="s">
        <v>17</v>
      </c>
    </row>
    <row r="116" spans="1:10">
      <c r="A116" s="10">
        <v>46161.888020243059</v>
      </c>
      <c r="B116" s="11">
        <v>46161</v>
      </c>
      <c r="C116" t="s">
        <v>10</v>
      </c>
      <c r="D116" t="s">
        <v>34</v>
      </c>
      <c r="E116" t="s">
        <v>12</v>
      </c>
      <c r="F116">
        <v>222.33</v>
      </c>
      <c r="G116">
        <v>19.692647999999998</v>
      </c>
      <c r="H116">
        <v>0.58099999999999996</v>
      </c>
      <c r="I116">
        <v>208964698112</v>
      </c>
      <c r="J116" t="s">
        <v>15</v>
      </c>
    </row>
    <row r="117" spans="1:10">
      <c r="A117" s="10">
        <v>46161.888023738429</v>
      </c>
      <c r="B117" s="11">
        <v>46161</v>
      </c>
      <c r="C117" t="s">
        <v>10</v>
      </c>
      <c r="D117" t="s">
        <v>35</v>
      </c>
      <c r="E117" t="s">
        <v>12</v>
      </c>
      <c r="F117">
        <v>298.97000000000003</v>
      </c>
      <c r="G117">
        <v>36.238790000000002</v>
      </c>
      <c r="H117">
        <v>1.0649999999999999</v>
      </c>
      <c r="I117">
        <v>4391078723584</v>
      </c>
      <c r="J117" t="s">
        <v>36</v>
      </c>
    </row>
    <row r="118" spans="1:10">
      <c r="A118" s="10">
        <v>46161.888027627312</v>
      </c>
      <c r="B118" s="11">
        <v>46161</v>
      </c>
      <c r="C118" t="s">
        <v>10</v>
      </c>
      <c r="D118" t="s">
        <v>37</v>
      </c>
      <c r="E118" t="s">
        <v>12</v>
      </c>
      <c r="F118">
        <v>81.92</v>
      </c>
      <c r="G118">
        <v>25.761005000000001</v>
      </c>
      <c r="H118">
        <v>0.35599999999999998</v>
      </c>
      <c r="I118">
        <v>352459358208</v>
      </c>
      <c r="J118" t="s">
        <v>38</v>
      </c>
    </row>
    <row r="119" spans="1:10">
      <c r="A119" s="10">
        <v>46161.888033136573</v>
      </c>
      <c r="B119" s="11">
        <v>46161</v>
      </c>
      <c r="C119" t="s">
        <v>10</v>
      </c>
      <c r="D119" t="s">
        <v>39</v>
      </c>
      <c r="E119" t="s">
        <v>12</v>
      </c>
      <c r="F119">
        <v>76.69</v>
      </c>
      <c r="H119">
        <v>2.1640000000000001</v>
      </c>
      <c r="I119">
        <v>3363737344</v>
      </c>
      <c r="J119" t="s">
        <v>40</v>
      </c>
    </row>
    <row r="120" spans="1:10">
      <c r="A120" s="10">
        <v>46161.888036597222</v>
      </c>
      <c r="B120" s="11">
        <v>46161</v>
      </c>
      <c r="C120" t="s">
        <v>10</v>
      </c>
      <c r="D120" t="s">
        <v>41</v>
      </c>
      <c r="E120" t="s">
        <v>12</v>
      </c>
      <c r="F120">
        <v>602.61</v>
      </c>
      <c r="G120">
        <v>21.91309</v>
      </c>
      <c r="H120">
        <v>1.2430000000000001</v>
      </c>
      <c r="I120">
        <v>1529679183872</v>
      </c>
      <c r="J120" t="s">
        <v>42</v>
      </c>
    </row>
    <row r="121" spans="1:10">
      <c r="A121" s="10">
        <v>46161.888039953701</v>
      </c>
      <c r="B121" s="11">
        <v>46161</v>
      </c>
      <c r="C121" t="s">
        <v>10</v>
      </c>
      <c r="D121" t="s">
        <v>43</v>
      </c>
      <c r="E121" t="s">
        <v>12</v>
      </c>
      <c r="F121">
        <v>8.4499999999999993</v>
      </c>
      <c r="H121">
        <v>2.7629999999999999</v>
      </c>
      <c r="I121">
        <v>3656903424</v>
      </c>
      <c r="J121" t="s">
        <v>17</v>
      </c>
    </row>
    <row r="122" spans="1:10">
      <c r="A122" s="10">
        <v>46161.888043402767</v>
      </c>
      <c r="B122" s="11">
        <v>46161</v>
      </c>
      <c r="C122" t="s">
        <v>10</v>
      </c>
      <c r="D122" t="s">
        <v>44</v>
      </c>
      <c r="E122" t="s">
        <v>12</v>
      </c>
      <c r="F122">
        <v>181.46</v>
      </c>
      <c r="G122">
        <v>32.636691999999996</v>
      </c>
      <c r="H122">
        <v>1.544</v>
      </c>
      <c r="I122">
        <v>521887350784</v>
      </c>
      <c r="J122" t="s">
        <v>13</v>
      </c>
    </row>
    <row r="123" spans="1:10">
      <c r="A123" s="10">
        <v>46161.88804755787</v>
      </c>
      <c r="B123" s="11">
        <v>46161</v>
      </c>
      <c r="C123" t="s">
        <v>10</v>
      </c>
      <c r="D123" t="s">
        <v>45</v>
      </c>
      <c r="E123" t="s">
        <v>12</v>
      </c>
      <c r="F123">
        <v>384.9</v>
      </c>
      <c r="G123">
        <v>29.404125000000001</v>
      </c>
      <c r="H123">
        <v>1.2669999999999999</v>
      </c>
      <c r="I123">
        <v>4663234002944</v>
      </c>
      <c r="J123" t="s">
        <v>42</v>
      </c>
    </row>
    <row r="124" spans="1:10">
      <c r="A124" s="10">
        <v>46161.888052916664</v>
      </c>
      <c r="B124" s="11">
        <v>46161</v>
      </c>
      <c r="C124" t="s">
        <v>10</v>
      </c>
      <c r="D124" t="s">
        <v>46</v>
      </c>
      <c r="E124" t="s">
        <v>12</v>
      </c>
      <c r="F124">
        <v>259.33999999999997</v>
      </c>
      <c r="G124">
        <v>30.984468</v>
      </c>
      <c r="H124">
        <v>1.468</v>
      </c>
      <c r="I124">
        <v>2789748768768</v>
      </c>
      <c r="J124" t="s">
        <v>47</v>
      </c>
    </row>
    <row r="125" spans="1:10">
      <c r="A125" s="10">
        <v>46161.888056354168</v>
      </c>
      <c r="B125" s="11">
        <v>46161</v>
      </c>
      <c r="C125" t="s">
        <v>10</v>
      </c>
      <c r="D125" t="s">
        <v>48</v>
      </c>
      <c r="E125" t="s">
        <v>12</v>
      </c>
      <c r="F125">
        <v>176.27</v>
      </c>
      <c r="G125">
        <v>57.416943000000003</v>
      </c>
      <c r="H125">
        <v>2.2509999999999999</v>
      </c>
      <c r="I125">
        <v>154333757440</v>
      </c>
      <c r="J125" t="s">
        <v>22</v>
      </c>
    </row>
    <row r="126" spans="1:10">
      <c r="A126" s="10">
        <v>46161.888059930563</v>
      </c>
      <c r="B126" s="11">
        <v>46161</v>
      </c>
      <c r="C126" t="s">
        <v>10</v>
      </c>
      <c r="D126" t="s">
        <v>49</v>
      </c>
      <c r="E126" t="s">
        <v>12</v>
      </c>
      <c r="F126">
        <v>5.53</v>
      </c>
      <c r="H126">
        <v>2.2309999999999999</v>
      </c>
      <c r="I126">
        <v>1206388608</v>
      </c>
      <c r="J126" t="s">
        <v>50</v>
      </c>
    </row>
    <row r="127" spans="1:10">
      <c r="A127" s="10">
        <v>46161.888063483799</v>
      </c>
      <c r="B127" s="11">
        <v>46161</v>
      </c>
      <c r="C127" t="s">
        <v>10</v>
      </c>
      <c r="D127" t="s">
        <v>51</v>
      </c>
      <c r="E127" t="s">
        <v>12</v>
      </c>
      <c r="F127">
        <v>392.61</v>
      </c>
      <c r="G127">
        <v>33.729377999999997</v>
      </c>
      <c r="H127">
        <v>1.264</v>
      </c>
      <c r="I127">
        <v>2036232486912</v>
      </c>
      <c r="J127" t="s">
        <v>22</v>
      </c>
    </row>
    <row r="128" spans="1:10">
      <c r="A128" s="10">
        <v>46161.888067256943</v>
      </c>
      <c r="B128" s="11">
        <v>46161</v>
      </c>
      <c r="C128" t="s">
        <v>10</v>
      </c>
      <c r="D128" t="s">
        <v>52</v>
      </c>
      <c r="E128" t="s">
        <v>12</v>
      </c>
      <c r="F128">
        <v>45.53</v>
      </c>
      <c r="I128">
        <v>8175583744</v>
      </c>
      <c r="J128" t="s">
        <v>53</v>
      </c>
    </row>
    <row r="129" spans="1:10">
      <c r="A129" s="10">
        <v>46161.888070682871</v>
      </c>
      <c r="B129" s="11">
        <v>46161</v>
      </c>
      <c r="C129" t="s">
        <v>10</v>
      </c>
      <c r="D129" t="s">
        <v>54</v>
      </c>
      <c r="E129" t="s">
        <v>12</v>
      </c>
      <c r="F129">
        <v>411.07</v>
      </c>
      <c r="G129">
        <v>80.130610000000004</v>
      </c>
      <c r="H129">
        <v>1.44</v>
      </c>
      <c r="I129">
        <v>1946280132608</v>
      </c>
      <c r="J129" t="s">
        <v>22</v>
      </c>
    </row>
    <row r="130" spans="1:10">
      <c r="A130" s="10">
        <v>46161.888074062503</v>
      </c>
      <c r="B130" s="11">
        <v>46161</v>
      </c>
      <c r="C130" t="s">
        <v>10</v>
      </c>
      <c r="D130" t="s">
        <v>55</v>
      </c>
      <c r="E130" t="s">
        <v>12</v>
      </c>
      <c r="F130">
        <v>34.25</v>
      </c>
      <c r="G130">
        <v>14.636753000000001</v>
      </c>
      <c r="H130">
        <v>3.3039999999999998</v>
      </c>
      <c r="I130">
        <v>1685257600</v>
      </c>
      <c r="J130" t="s">
        <v>22</v>
      </c>
    </row>
    <row r="131" spans="1:10">
      <c r="A131" s="10">
        <v>46161.888077951393</v>
      </c>
      <c r="B131" s="11">
        <v>46161</v>
      </c>
      <c r="C131" t="s">
        <v>10</v>
      </c>
      <c r="D131" t="s">
        <v>56</v>
      </c>
      <c r="E131" t="s">
        <v>12</v>
      </c>
      <c r="F131">
        <v>8.83</v>
      </c>
      <c r="H131">
        <v>1.9870000000000001</v>
      </c>
      <c r="I131">
        <v>1282921472</v>
      </c>
      <c r="J131" t="s">
        <v>13</v>
      </c>
    </row>
    <row r="132" spans="1:10">
      <c r="A132" s="10">
        <v>46161.888081319441</v>
      </c>
      <c r="B132" s="11">
        <v>46161</v>
      </c>
      <c r="C132" t="s">
        <v>10</v>
      </c>
      <c r="D132" t="s">
        <v>57</v>
      </c>
      <c r="E132" t="s">
        <v>12</v>
      </c>
      <c r="F132">
        <v>141.58000000000001</v>
      </c>
      <c r="G132">
        <v>48.652920000000002</v>
      </c>
      <c r="H132">
        <v>1.673</v>
      </c>
      <c r="I132">
        <v>178273206272</v>
      </c>
      <c r="J132" t="s">
        <v>29</v>
      </c>
    </row>
    <row r="133" spans="1:10">
      <c r="A133" s="10">
        <v>46161.888084849539</v>
      </c>
      <c r="B133" s="11">
        <v>46161</v>
      </c>
      <c r="C133" t="s">
        <v>10</v>
      </c>
      <c r="D133" t="s">
        <v>58</v>
      </c>
      <c r="E133" t="s">
        <v>12</v>
      </c>
      <c r="F133">
        <v>45.77</v>
      </c>
      <c r="G133">
        <v>19.559830000000002</v>
      </c>
      <c r="H133">
        <v>1.5069999999999999</v>
      </c>
      <c r="I133">
        <v>2698891776</v>
      </c>
      <c r="J133" t="s">
        <v>40</v>
      </c>
    </row>
    <row r="134" spans="1:10">
      <c r="A134" s="10">
        <v>46161.888088611107</v>
      </c>
      <c r="B134" s="11">
        <v>46161</v>
      </c>
      <c r="C134" t="s">
        <v>10</v>
      </c>
      <c r="D134" t="s">
        <v>59</v>
      </c>
      <c r="E134" t="s">
        <v>12</v>
      </c>
      <c r="F134">
        <v>220.61</v>
      </c>
      <c r="G134">
        <v>45.114519999999999</v>
      </c>
      <c r="H134">
        <v>2.2440000000000002</v>
      </c>
      <c r="I134">
        <v>5343290064896</v>
      </c>
      <c r="J134" t="s">
        <v>22</v>
      </c>
    </row>
    <row r="135" spans="1:10">
      <c r="A135" s="10">
        <v>46161.888092152767</v>
      </c>
      <c r="B135" s="11">
        <v>46161</v>
      </c>
      <c r="C135" t="s">
        <v>10</v>
      </c>
      <c r="D135" t="s">
        <v>60</v>
      </c>
      <c r="E135" t="s">
        <v>12</v>
      </c>
      <c r="F135">
        <v>74.16</v>
      </c>
      <c r="G135">
        <v>36.000003999999997</v>
      </c>
      <c r="H135">
        <v>2.294</v>
      </c>
      <c r="I135">
        <v>66781462528</v>
      </c>
      <c r="J135" t="s">
        <v>31</v>
      </c>
    </row>
    <row r="136" spans="1:10">
      <c r="A136" s="10">
        <v>46161.888095682873</v>
      </c>
      <c r="B136" s="11">
        <v>46161</v>
      </c>
      <c r="C136" t="s">
        <v>10</v>
      </c>
      <c r="D136" t="s">
        <v>61</v>
      </c>
      <c r="E136" t="s">
        <v>12</v>
      </c>
      <c r="F136">
        <v>13.88</v>
      </c>
      <c r="I136">
        <v>871516992</v>
      </c>
      <c r="J136" t="s">
        <v>62</v>
      </c>
    </row>
    <row r="137" spans="1:10">
      <c r="A137" s="10">
        <v>46161.888099270836</v>
      </c>
      <c r="B137" s="11">
        <v>46161</v>
      </c>
      <c r="C137" t="s">
        <v>10</v>
      </c>
      <c r="D137" t="s">
        <v>63</v>
      </c>
      <c r="E137" t="s">
        <v>12</v>
      </c>
      <c r="F137">
        <v>414.05</v>
      </c>
      <c r="G137">
        <v>138.47826000000001</v>
      </c>
      <c r="H137">
        <v>2.399</v>
      </c>
      <c r="I137">
        <v>675150168064</v>
      </c>
      <c r="J137" t="s">
        <v>22</v>
      </c>
    </row>
    <row r="138" spans="1:10">
      <c r="A138" s="10">
        <v>46161.888102951387</v>
      </c>
      <c r="B138" s="11">
        <v>46161</v>
      </c>
      <c r="C138" t="s">
        <v>10</v>
      </c>
      <c r="D138" t="s">
        <v>64</v>
      </c>
      <c r="E138" t="s">
        <v>12</v>
      </c>
      <c r="F138">
        <v>404.11</v>
      </c>
      <c r="G138">
        <v>364.06304999999998</v>
      </c>
      <c r="H138">
        <v>1.7929999999999999</v>
      </c>
      <c r="I138">
        <v>1517725417472</v>
      </c>
      <c r="J138" t="s">
        <v>65</v>
      </c>
    </row>
    <row r="139" spans="1:10">
      <c r="A139" s="10">
        <v>46161.888106446757</v>
      </c>
      <c r="B139" s="11">
        <v>46161</v>
      </c>
      <c r="C139" t="s">
        <v>10</v>
      </c>
      <c r="D139" t="s">
        <v>66</v>
      </c>
      <c r="E139" t="s">
        <v>12</v>
      </c>
      <c r="F139">
        <v>1459.44</v>
      </c>
      <c r="G139">
        <v>48.583218000000002</v>
      </c>
      <c r="H139">
        <v>1.373</v>
      </c>
      <c r="I139">
        <v>562493915136</v>
      </c>
      <c r="J139" t="s">
        <v>40</v>
      </c>
    </row>
    <row r="140" spans="1:10">
      <c r="A140" s="10">
        <v>46161.888110138891</v>
      </c>
      <c r="B140" s="11">
        <v>46161</v>
      </c>
      <c r="C140" t="s">
        <v>10</v>
      </c>
      <c r="D140" t="s">
        <v>67</v>
      </c>
      <c r="E140" t="s">
        <v>12</v>
      </c>
      <c r="F140">
        <v>698.74</v>
      </c>
      <c r="G140">
        <v>32.959429999999998</v>
      </c>
      <c r="H140">
        <v>1.919</v>
      </c>
      <c r="I140">
        <v>787992870912</v>
      </c>
      <c r="J140" t="s">
        <v>22</v>
      </c>
    </row>
    <row r="141" spans="1:10">
      <c r="A141" s="10">
        <v>46161.888114143519</v>
      </c>
      <c r="B141" s="11">
        <v>46161</v>
      </c>
      <c r="C141" t="s">
        <v>10</v>
      </c>
      <c r="D141" t="s">
        <v>68</v>
      </c>
      <c r="E141" t="s">
        <v>12</v>
      </c>
      <c r="F141">
        <v>3.84</v>
      </c>
      <c r="H141">
        <v>3.0510000000000002</v>
      </c>
      <c r="I141">
        <v>1839165824</v>
      </c>
      <c r="J141" t="s">
        <v>15</v>
      </c>
    </row>
    <row r="142" spans="1:10">
      <c r="A142" s="10">
        <v>46161.888117939823</v>
      </c>
      <c r="B142" s="11">
        <v>46161</v>
      </c>
      <c r="C142" t="s">
        <v>10</v>
      </c>
      <c r="D142" t="s">
        <v>69</v>
      </c>
      <c r="E142" t="s">
        <v>12</v>
      </c>
      <c r="F142">
        <v>168.99</v>
      </c>
      <c r="G142">
        <v>93.364649999999997</v>
      </c>
      <c r="H142">
        <v>3.1760000000000002</v>
      </c>
      <c r="I142">
        <v>31170195456</v>
      </c>
      <c r="J142" t="s">
        <v>22</v>
      </c>
    </row>
    <row r="143" spans="1:10">
      <c r="A143" s="10">
        <v>46161.888121875003</v>
      </c>
      <c r="B143" s="11">
        <v>46161</v>
      </c>
      <c r="C143" t="s">
        <v>10</v>
      </c>
      <c r="D143" t="s">
        <v>70</v>
      </c>
      <c r="E143" t="s">
        <v>12</v>
      </c>
      <c r="F143">
        <v>99.81</v>
      </c>
      <c r="I143">
        <v>54453379072</v>
      </c>
      <c r="J143" t="s">
        <v>13</v>
      </c>
    </row>
    <row r="144" spans="1:10">
      <c r="A144" s="10">
        <v>46161.8881253125</v>
      </c>
      <c r="B144" s="11">
        <v>46161</v>
      </c>
      <c r="C144" t="s">
        <v>10</v>
      </c>
      <c r="D144" t="s">
        <v>71</v>
      </c>
      <c r="E144" t="s">
        <v>12</v>
      </c>
      <c r="F144">
        <v>110.8</v>
      </c>
      <c r="H144">
        <v>2.19</v>
      </c>
      <c r="I144">
        <v>556880822272</v>
      </c>
      <c r="J144" t="s">
        <v>22</v>
      </c>
    </row>
    <row r="145" spans="1:10">
      <c r="A145" s="10">
        <v>46161.888128854167</v>
      </c>
      <c r="B145" s="11">
        <v>46161</v>
      </c>
      <c r="C145" t="s">
        <v>10</v>
      </c>
      <c r="D145" t="s">
        <v>72</v>
      </c>
      <c r="E145" t="s">
        <v>12</v>
      </c>
      <c r="F145">
        <v>30.56</v>
      </c>
      <c r="G145">
        <v>16.084211</v>
      </c>
      <c r="H145">
        <v>1.6839999999999999</v>
      </c>
      <c r="I145">
        <v>18379347968</v>
      </c>
      <c r="J145" t="s">
        <v>29</v>
      </c>
    </row>
    <row r="146" spans="1:10">
      <c r="A146" s="10">
        <v>46161.888132523149</v>
      </c>
      <c r="B146" s="11">
        <v>46161</v>
      </c>
      <c r="C146" t="s">
        <v>10</v>
      </c>
      <c r="D146" t="s">
        <v>73</v>
      </c>
      <c r="E146" t="s">
        <v>12</v>
      </c>
      <c r="F146">
        <v>171.33</v>
      </c>
      <c r="H146">
        <v>3.7589999999999999</v>
      </c>
      <c r="I146">
        <v>13747993600</v>
      </c>
      <c r="J146" t="s">
        <v>74</v>
      </c>
    </row>
    <row r="147" spans="1:10">
      <c r="A147" s="10">
        <v>46161.888136666668</v>
      </c>
      <c r="B147" s="11">
        <v>46161</v>
      </c>
      <c r="C147" t="s">
        <v>10</v>
      </c>
      <c r="D147" t="s">
        <v>75</v>
      </c>
      <c r="E147" t="s">
        <v>12</v>
      </c>
      <c r="F147">
        <v>81.135000000000005</v>
      </c>
      <c r="H147">
        <v>3.2709999999999999</v>
      </c>
      <c r="I147">
        <v>2551959808</v>
      </c>
      <c r="J147" t="s">
        <v>40</v>
      </c>
    </row>
    <row r="148" spans="1:10">
      <c r="A148" s="10">
        <v>46161.888140208343</v>
      </c>
      <c r="B148" s="11">
        <v>46161</v>
      </c>
      <c r="C148" t="s">
        <v>10</v>
      </c>
      <c r="D148" t="s">
        <v>76</v>
      </c>
      <c r="E148" t="s">
        <v>12</v>
      </c>
      <c r="F148">
        <v>11.59</v>
      </c>
      <c r="I148">
        <v>1785782912</v>
      </c>
      <c r="J148" t="s">
        <v>77</v>
      </c>
    </row>
    <row r="149" spans="1:10">
      <c r="A149" s="10">
        <v>46161.888143645832</v>
      </c>
      <c r="B149" s="11">
        <v>46161</v>
      </c>
      <c r="C149" t="s">
        <v>10</v>
      </c>
      <c r="D149" t="s">
        <v>78</v>
      </c>
      <c r="E149" t="s">
        <v>12</v>
      </c>
      <c r="F149">
        <v>223.15</v>
      </c>
      <c r="G149">
        <v>259.47674999999998</v>
      </c>
      <c r="H149">
        <v>3.4060000000000001</v>
      </c>
      <c r="I149">
        <v>237431275520</v>
      </c>
      <c r="J149" t="s">
        <v>22</v>
      </c>
    </row>
    <row r="150" spans="1:10">
      <c r="A150" s="10">
        <v>46161.888147314807</v>
      </c>
      <c r="B150" s="11">
        <v>46161</v>
      </c>
      <c r="C150" t="s">
        <v>10</v>
      </c>
      <c r="D150" t="s">
        <v>79</v>
      </c>
      <c r="E150" t="s">
        <v>12</v>
      </c>
      <c r="F150">
        <v>48.44</v>
      </c>
      <c r="G150">
        <v>124.20513</v>
      </c>
      <c r="H150">
        <v>3.052</v>
      </c>
      <c r="I150">
        <v>18081196032</v>
      </c>
      <c r="J150" t="s">
        <v>29</v>
      </c>
    </row>
    <row r="151" spans="1:10">
      <c r="A151" s="10">
        <v>46161.888150868057</v>
      </c>
      <c r="B151" s="11">
        <v>46161</v>
      </c>
      <c r="C151" t="s">
        <v>10</v>
      </c>
      <c r="D151" t="s">
        <v>80</v>
      </c>
      <c r="E151" t="s">
        <v>12</v>
      </c>
      <c r="F151">
        <v>13.07</v>
      </c>
      <c r="H151">
        <v>0.54300000000000004</v>
      </c>
      <c r="I151">
        <v>1995935104</v>
      </c>
      <c r="J151" t="s">
        <v>22</v>
      </c>
    </row>
    <row r="152" spans="1:10">
      <c r="A152" s="10">
        <v>46161.888821666667</v>
      </c>
      <c r="B152" s="11">
        <v>46161</v>
      </c>
      <c r="C152" t="s">
        <v>10</v>
      </c>
      <c r="D152" t="s">
        <v>11</v>
      </c>
      <c r="E152" t="s">
        <v>12</v>
      </c>
      <c r="F152">
        <v>10.55</v>
      </c>
      <c r="G152">
        <v>20.288464000000001</v>
      </c>
      <c r="H152">
        <v>0.90900000000000003</v>
      </c>
      <c r="I152">
        <v>5490677760</v>
      </c>
      <c r="J152" t="s">
        <v>13</v>
      </c>
    </row>
    <row r="153" spans="1:10">
      <c r="A153" s="10">
        <v>46161.888825381953</v>
      </c>
      <c r="B153" s="11">
        <v>46161</v>
      </c>
      <c r="C153" t="s">
        <v>10</v>
      </c>
      <c r="D153" t="s">
        <v>14</v>
      </c>
      <c r="E153" t="s">
        <v>12</v>
      </c>
      <c r="F153">
        <v>88.19</v>
      </c>
      <c r="G153">
        <v>78.741069999999993</v>
      </c>
      <c r="H153">
        <v>2.403</v>
      </c>
      <c r="I153">
        <v>2879876096</v>
      </c>
      <c r="J153" t="s">
        <v>15</v>
      </c>
    </row>
    <row r="154" spans="1:10">
      <c r="A154" s="10">
        <v>46161.888828784722</v>
      </c>
      <c r="B154" s="11">
        <v>46161</v>
      </c>
      <c r="C154" t="s">
        <v>10</v>
      </c>
      <c r="D154" t="s">
        <v>16</v>
      </c>
      <c r="E154" t="s">
        <v>12</v>
      </c>
      <c r="F154">
        <v>101.83</v>
      </c>
      <c r="G154">
        <v>60.613100000000003</v>
      </c>
      <c r="H154">
        <v>0.81899999999999995</v>
      </c>
      <c r="I154">
        <v>105018097664</v>
      </c>
      <c r="J154" t="s">
        <v>17</v>
      </c>
    </row>
    <row r="155" spans="1:10">
      <c r="A155" s="10">
        <v>46161.888832256947</v>
      </c>
      <c r="B155" s="11">
        <v>46161</v>
      </c>
      <c r="C155" t="s">
        <v>10</v>
      </c>
      <c r="D155" t="s">
        <v>18</v>
      </c>
      <c r="E155" t="s">
        <v>12</v>
      </c>
      <c r="F155">
        <v>22.52</v>
      </c>
      <c r="G155">
        <v>34.646155999999998</v>
      </c>
      <c r="H155">
        <v>1.325</v>
      </c>
      <c r="I155">
        <v>1724220928</v>
      </c>
      <c r="J155" t="s">
        <v>13</v>
      </c>
    </row>
    <row r="156" spans="1:10">
      <c r="A156" s="10">
        <v>46161.888836296297</v>
      </c>
      <c r="B156" s="11">
        <v>46161</v>
      </c>
      <c r="C156" t="s">
        <v>10</v>
      </c>
      <c r="D156" t="s">
        <v>19</v>
      </c>
      <c r="E156" t="s">
        <v>12</v>
      </c>
      <c r="F156">
        <v>254.99</v>
      </c>
      <c r="G156">
        <v>14.868221999999999</v>
      </c>
      <c r="H156">
        <v>1.417</v>
      </c>
      <c r="I156">
        <v>103066959872</v>
      </c>
      <c r="J156" t="s">
        <v>17</v>
      </c>
    </row>
    <row r="157" spans="1:10">
      <c r="A157" s="10">
        <v>46161.888839699073</v>
      </c>
      <c r="B157" s="11">
        <v>46161</v>
      </c>
      <c r="C157" t="s">
        <v>10</v>
      </c>
      <c r="D157" t="s">
        <v>20</v>
      </c>
      <c r="E157" t="s">
        <v>12</v>
      </c>
      <c r="F157">
        <v>100.09</v>
      </c>
      <c r="G157">
        <v>17.969479</v>
      </c>
      <c r="H157">
        <v>0.57899999999999996</v>
      </c>
      <c r="I157">
        <v>3524870144</v>
      </c>
      <c r="J157" t="s">
        <v>13</v>
      </c>
    </row>
    <row r="158" spans="1:10">
      <c r="A158" s="10">
        <v>46161.888843368048</v>
      </c>
      <c r="B158" s="11">
        <v>46161</v>
      </c>
      <c r="C158" t="s">
        <v>10</v>
      </c>
      <c r="D158" t="s">
        <v>21</v>
      </c>
      <c r="E158" t="s">
        <v>12</v>
      </c>
      <c r="F158">
        <v>70.349999999999994</v>
      </c>
      <c r="G158">
        <v>29.312498000000001</v>
      </c>
      <c r="H158">
        <v>1.476</v>
      </c>
      <c r="I158">
        <v>10581059584</v>
      </c>
      <c r="J158" t="s">
        <v>22</v>
      </c>
    </row>
    <row r="159" spans="1:10">
      <c r="A159" s="10">
        <v>46161.888846979156</v>
      </c>
      <c r="B159" s="11">
        <v>46161</v>
      </c>
      <c r="C159" t="s">
        <v>10</v>
      </c>
      <c r="D159" t="s">
        <v>23</v>
      </c>
      <c r="E159" t="s">
        <v>12</v>
      </c>
      <c r="F159">
        <v>417.42</v>
      </c>
      <c r="G159">
        <v>24.890877</v>
      </c>
      <c r="H159">
        <v>1.093</v>
      </c>
      <c r="I159">
        <v>3100777381888</v>
      </c>
      <c r="J159" t="s">
        <v>13</v>
      </c>
    </row>
    <row r="160" spans="1:10">
      <c r="A160" s="10">
        <v>46161.888850543983</v>
      </c>
      <c r="B160" s="11">
        <v>46161</v>
      </c>
      <c r="C160" t="s">
        <v>10</v>
      </c>
      <c r="D160" t="s">
        <v>24</v>
      </c>
      <c r="E160" t="s">
        <v>12</v>
      </c>
      <c r="F160">
        <v>476.9</v>
      </c>
      <c r="G160">
        <v>41.397568</v>
      </c>
      <c r="H160">
        <v>2.3660000000000001</v>
      </c>
      <c r="I160">
        <v>160209551360</v>
      </c>
      <c r="J160" t="s">
        <v>25</v>
      </c>
    </row>
    <row r="161" spans="1:10">
      <c r="A161" s="10">
        <v>46161.888854641213</v>
      </c>
      <c r="B161" s="11">
        <v>46161</v>
      </c>
      <c r="C161" t="s">
        <v>10</v>
      </c>
      <c r="D161" t="s">
        <v>26</v>
      </c>
      <c r="E161" t="s">
        <v>12</v>
      </c>
      <c r="F161">
        <v>215.15</v>
      </c>
      <c r="G161">
        <v>537.875</v>
      </c>
      <c r="H161">
        <v>1.2949999999999999</v>
      </c>
      <c r="I161">
        <v>76584837120</v>
      </c>
      <c r="J161" t="s">
        <v>17</v>
      </c>
    </row>
    <row r="162" spans="1:10">
      <c r="A162" s="10">
        <v>46161.888858541657</v>
      </c>
      <c r="B162" s="11">
        <v>46161</v>
      </c>
      <c r="C162" t="s">
        <v>10</v>
      </c>
      <c r="D162" t="s">
        <v>27</v>
      </c>
      <c r="E162" t="s">
        <v>12</v>
      </c>
      <c r="F162">
        <v>244.26</v>
      </c>
      <c r="G162">
        <v>163.93288000000001</v>
      </c>
      <c r="H162">
        <v>3.363</v>
      </c>
      <c r="I162">
        <v>41868099584</v>
      </c>
      <c r="J162" t="s">
        <v>22</v>
      </c>
    </row>
    <row r="163" spans="1:10">
      <c r="A163" s="10">
        <v>46161.88886201389</v>
      </c>
      <c r="B163" s="11">
        <v>46161</v>
      </c>
      <c r="C163" t="s">
        <v>10</v>
      </c>
      <c r="D163" t="s">
        <v>28</v>
      </c>
      <c r="E163" t="s">
        <v>12</v>
      </c>
      <c r="F163">
        <v>1383.29</v>
      </c>
      <c r="G163">
        <v>47.162975000000003</v>
      </c>
      <c r="I163">
        <v>204851085312</v>
      </c>
      <c r="J163" t="s">
        <v>29</v>
      </c>
    </row>
    <row r="164" spans="1:10">
      <c r="A164" s="10">
        <v>46161.888865428242</v>
      </c>
      <c r="B164" s="11">
        <v>46161</v>
      </c>
      <c r="C164" t="s">
        <v>10</v>
      </c>
      <c r="D164" t="s">
        <v>30</v>
      </c>
      <c r="E164" t="s">
        <v>12</v>
      </c>
      <c r="F164">
        <v>91.81</v>
      </c>
      <c r="G164">
        <v>18.252483000000002</v>
      </c>
      <c r="H164">
        <v>0.79700000000000004</v>
      </c>
      <c r="I164">
        <v>159670026240</v>
      </c>
      <c r="J164" t="s">
        <v>31</v>
      </c>
    </row>
    <row r="165" spans="1:10">
      <c r="A165" s="10">
        <v>46161.888869085647</v>
      </c>
      <c r="B165" s="11">
        <v>46161</v>
      </c>
      <c r="C165" t="s">
        <v>10</v>
      </c>
      <c r="D165" t="s">
        <v>32</v>
      </c>
      <c r="E165" t="s">
        <v>33</v>
      </c>
      <c r="F165">
        <v>908</v>
      </c>
      <c r="G165">
        <v>24.54054</v>
      </c>
      <c r="H165">
        <v>0.30399999999999999</v>
      </c>
      <c r="I165">
        <v>8206142464</v>
      </c>
      <c r="J165" t="s">
        <v>17</v>
      </c>
    </row>
    <row r="166" spans="1:10">
      <c r="A166" s="10">
        <v>46161.888873483796</v>
      </c>
      <c r="B166" s="11">
        <v>46161</v>
      </c>
      <c r="C166" t="s">
        <v>10</v>
      </c>
      <c r="D166" t="s">
        <v>34</v>
      </c>
      <c r="E166" t="s">
        <v>12</v>
      </c>
      <c r="F166">
        <v>222.33</v>
      </c>
      <c r="G166">
        <v>19.692647999999998</v>
      </c>
      <c r="H166">
        <v>0.58099999999999996</v>
      </c>
      <c r="I166">
        <v>208964698112</v>
      </c>
      <c r="J166" t="s">
        <v>15</v>
      </c>
    </row>
    <row r="167" spans="1:10">
      <c r="A167" s="10">
        <v>46161.888876909718</v>
      </c>
      <c r="B167" s="11">
        <v>46161</v>
      </c>
      <c r="C167" t="s">
        <v>10</v>
      </c>
      <c r="D167" t="s">
        <v>35</v>
      </c>
      <c r="E167" t="s">
        <v>12</v>
      </c>
      <c r="F167">
        <v>298.97000000000003</v>
      </c>
      <c r="G167">
        <v>36.238790000000002</v>
      </c>
      <c r="H167">
        <v>1.0649999999999999</v>
      </c>
      <c r="I167">
        <v>4391078723584</v>
      </c>
      <c r="J167" t="s">
        <v>36</v>
      </c>
    </row>
    <row r="168" spans="1:10">
      <c r="A168" s="10">
        <v>46161.888880474537</v>
      </c>
      <c r="B168" s="11">
        <v>46161</v>
      </c>
      <c r="C168" t="s">
        <v>10</v>
      </c>
      <c r="D168" t="s">
        <v>37</v>
      </c>
      <c r="E168" t="s">
        <v>12</v>
      </c>
      <c r="F168">
        <v>81.92</v>
      </c>
      <c r="G168">
        <v>25.761005000000001</v>
      </c>
      <c r="H168">
        <v>0.35599999999999998</v>
      </c>
      <c r="I168">
        <v>352459358208</v>
      </c>
      <c r="J168" t="s">
        <v>38</v>
      </c>
    </row>
    <row r="169" spans="1:10">
      <c r="A169" s="10">
        <v>46161.888884247688</v>
      </c>
      <c r="B169" s="11">
        <v>46161</v>
      </c>
      <c r="C169" t="s">
        <v>10</v>
      </c>
      <c r="D169" t="s">
        <v>39</v>
      </c>
      <c r="E169" t="s">
        <v>12</v>
      </c>
      <c r="F169">
        <v>76.69</v>
      </c>
      <c r="H169">
        <v>2.1640000000000001</v>
      </c>
      <c r="I169">
        <v>3363737344</v>
      </c>
      <c r="J169" t="s">
        <v>40</v>
      </c>
    </row>
    <row r="170" spans="1:10">
      <c r="A170" s="10">
        <v>46161.888888402777</v>
      </c>
      <c r="B170" s="11">
        <v>46161</v>
      </c>
      <c r="C170" t="s">
        <v>10</v>
      </c>
      <c r="D170" t="s">
        <v>41</v>
      </c>
      <c r="E170" t="s">
        <v>12</v>
      </c>
      <c r="F170">
        <v>602.61</v>
      </c>
      <c r="G170">
        <v>21.91309</v>
      </c>
      <c r="H170">
        <v>1.2430000000000001</v>
      </c>
      <c r="I170">
        <v>1529679183872</v>
      </c>
      <c r="J170" t="s">
        <v>42</v>
      </c>
    </row>
    <row r="171" spans="1:10">
      <c r="A171" s="10">
        <v>46161.888891840281</v>
      </c>
      <c r="B171" s="11">
        <v>46161</v>
      </c>
      <c r="C171" t="s">
        <v>10</v>
      </c>
      <c r="D171" t="s">
        <v>43</v>
      </c>
      <c r="E171" t="s">
        <v>12</v>
      </c>
      <c r="F171">
        <v>8.4499999999999993</v>
      </c>
      <c r="H171">
        <v>2.7629999999999999</v>
      </c>
      <c r="I171">
        <v>3656903424</v>
      </c>
      <c r="J171" t="s">
        <v>17</v>
      </c>
    </row>
    <row r="172" spans="1:10">
      <c r="A172" s="10">
        <v>46161.888895462973</v>
      </c>
      <c r="B172" s="11">
        <v>46161</v>
      </c>
      <c r="C172" t="s">
        <v>10</v>
      </c>
      <c r="D172" t="s">
        <v>44</v>
      </c>
      <c r="E172" t="s">
        <v>12</v>
      </c>
      <c r="F172">
        <v>181.46</v>
      </c>
      <c r="G172">
        <v>32.636691999999996</v>
      </c>
      <c r="H172">
        <v>1.544</v>
      </c>
      <c r="I172">
        <v>521887350784</v>
      </c>
      <c r="J172" t="s">
        <v>13</v>
      </c>
    </row>
    <row r="173" spans="1:10">
      <c r="A173" s="10">
        <v>46161.88889934028</v>
      </c>
      <c r="B173" s="11">
        <v>46161</v>
      </c>
      <c r="C173" t="s">
        <v>10</v>
      </c>
      <c r="D173" t="s">
        <v>45</v>
      </c>
      <c r="E173" t="s">
        <v>12</v>
      </c>
      <c r="F173">
        <v>384.9</v>
      </c>
      <c r="G173">
        <v>29.404125000000001</v>
      </c>
      <c r="H173">
        <v>1.2669999999999999</v>
      </c>
      <c r="I173">
        <v>4663234002944</v>
      </c>
      <c r="J173" t="s">
        <v>42</v>
      </c>
    </row>
    <row r="174" spans="1:10">
      <c r="A174" s="10">
        <v>46161.888903090279</v>
      </c>
      <c r="B174" s="11">
        <v>46161</v>
      </c>
      <c r="C174" t="s">
        <v>10</v>
      </c>
      <c r="D174" t="s">
        <v>46</v>
      </c>
      <c r="E174" t="s">
        <v>12</v>
      </c>
      <c r="F174">
        <v>259.33999999999997</v>
      </c>
      <c r="G174">
        <v>30.984468</v>
      </c>
      <c r="H174">
        <v>1.468</v>
      </c>
      <c r="I174">
        <v>2789748768768</v>
      </c>
      <c r="J174" t="s">
        <v>47</v>
      </c>
    </row>
    <row r="175" spans="1:10">
      <c r="A175" s="10">
        <v>46161.888908090281</v>
      </c>
      <c r="B175" s="11">
        <v>46161</v>
      </c>
      <c r="C175" t="s">
        <v>10</v>
      </c>
      <c r="D175" t="s">
        <v>48</v>
      </c>
      <c r="E175" t="s">
        <v>12</v>
      </c>
      <c r="F175">
        <v>176.27</v>
      </c>
      <c r="G175">
        <v>57.416943000000003</v>
      </c>
      <c r="H175">
        <v>2.2509999999999999</v>
      </c>
      <c r="I175">
        <v>154333757440</v>
      </c>
      <c r="J175" t="s">
        <v>22</v>
      </c>
    </row>
    <row r="176" spans="1:10">
      <c r="A176" s="10">
        <v>46161.888912199072</v>
      </c>
      <c r="B176" s="11">
        <v>46161</v>
      </c>
      <c r="C176" t="s">
        <v>10</v>
      </c>
      <c r="D176" t="s">
        <v>49</v>
      </c>
      <c r="E176" t="s">
        <v>12</v>
      </c>
      <c r="F176">
        <v>5.53</v>
      </c>
      <c r="H176">
        <v>2.2309999999999999</v>
      </c>
      <c r="I176">
        <v>1206388608</v>
      </c>
      <c r="J176" t="s">
        <v>50</v>
      </c>
    </row>
    <row r="177" spans="1:10">
      <c r="A177" s="10">
        <v>46161.888916122683</v>
      </c>
      <c r="B177" s="11">
        <v>46161</v>
      </c>
      <c r="C177" t="s">
        <v>10</v>
      </c>
      <c r="D177" t="s">
        <v>51</v>
      </c>
      <c r="E177" t="s">
        <v>12</v>
      </c>
      <c r="F177">
        <v>392.61</v>
      </c>
      <c r="G177">
        <v>33.729377999999997</v>
      </c>
      <c r="H177">
        <v>1.264</v>
      </c>
      <c r="I177">
        <v>2036232486912</v>
      </c>
      <c r="J177" t="s">
        <v>22</v>
      </c>
    </row>
    <row r="178" spans="1:10">
      <c r="A178" s="10">
        <v>46161.8889227662</v>
      </c>
      <c r="B178" s="11">
        <v>46161</v>
      </c>
      <c r="C178" t="s">
        <v>10</v>
      </c>
      <c r="D178" t="s">
        <v>52</v>
      </c>
      <c r="E178" t="s">
        <v>12</v>
      </c>
      <c r="F178">
        <v>45.53</v>
      </c>
      <c r="I178">
        <v>8175583744</v>
      </c>
      <c r="J178" t="s">
        <v>53</v>
      </c>
    </row>
    <row r="179" spans="1:10">
      <c r="A179" s="10">
        <v>46161.888926585649</v>
      </c>
      <c r="B179" s="11">
        <v>46161</v>
      </c>
      <c r="C179" t="s">
        <v>10</v>
      </c>
      <c r="D179" t="s">
        <v>54</v>
      </c>
      <c r="E179" t="s">
        <v>12</v>
      </c>
      <c r="F179">
        <v>411.07</v>
      </c>
      <c r="G179">
        <v>80.130610000000004</v>
      </c>
      <c r="H179">
        <v>1.44</v>
      </c>
      <c r="I179">
        <v>1946280132608</v>
      </c>
      <c r="J179" t="s">
        <v>22</v>
      </c>
    </row>
    <row r="180" spans="1:10">
      <c r="A180" s="10">
        <v>46161.88893050926</v>
      </c>
      <c r="B180" s="11">
        <v>46161</v>
      </c>
      <c r="C180" t="s">
        <v>10</v>
      </c>
      <c r="D180" t="s">
        <v>55</v>
      </c>
      <c r="E180" t="s">
        <v>12</v>
      </c>
      <c r="F180">
        <v>34.25</v>
      </c>
      <c r="G180">
        <v>14.636753000000001</v>
      </c>
      <c r="H180">
        <v>3.3039999999999998</v>
      </c>
      <c r="I180">
        <v>1685257600</v>
      </c>
      <c r="J180" t="s">
        <v>22</v>
      </c>
    </row>
    <row r="181" spans="1:10">
      <c r="A181" s="10">
        <v>46161.88893429398</v>
      </c>
      <c r="B181" s="11">
        <v>46161</v>
      </c>
      <c r="C181" t="s">
        <v>10</v>
      </c>
      <c r="D181" t="s">
        <v>56</v>
      </c>
      <c r="E181" t="s">
        <v>12</v>
      </c>
      <c r="F181">
        <v>8.83</v>
      </c>
      <c r="H181">
        <v>1.9870000000000001</v>
      </c>
      <c r="I181">
        <v>1282921472</v>
      </c>
      <c r="J181" t="s">
        <v>13</v>
      </c>
    </row>
    <row r="182" spans="1:10">
      <c r="A182" s="10">
        <v>46161.888937824071</v>
      </c>
      <c r="B182" s="11">
        <v>46161</v>
      </c>
      <c r="C182" t="s">
        <v>10</v>
      </c>
      <c r="D182" t="s">
        <v>57</v>
      </c>
      <c r="E182" t="s">
        <v>12</v>
      </c>
      <c r="F182">
        <v>141.58000000000001</v>
      </c>
      <c r="G182">
        <v>48.652920000000002</v>
      </c>
      <c r="H182">
        <v>1.673</v>
      </c>
      <c r="I182">
        <v>178273206272</v>
      </c>
      <c r="J182" t="s">
        <v>29</v>
      </c>
    </row>
    <row r="183" spans="1:10">
      <c r="A183" s="10">
        <v>46161.888941712961</v>
      </c>
      <c r="B183" s="11">
        <v>46161</v>
      </c>
      <c r="C183" t="s">
        <v>10</v>
      </c>
      <c r="D183" t="s">
        <v>58</v>
      </c>
      <c r="E183" t="s">
        <v>12</v>
      </c>
      <c r="F183">
        <v>45.77</v>
      </c>
      <c r="G183">
        <v>19.559830000000002</v>
      </c>
      <c r="H183">
        <v>1.5069999999999999</v>
      </c>
      <c r="I183">
        <v>2698891776</v>
      </c>
      <c r="J183" t="s">
        <v>40</v>
      </c>
    </row>
    <row r="184" spans="1:10">
      <c r="A184" s="10">
        <v>46161.888945219907</v>
      </c>
      <c r="B184" s="11">
        <v>46161</v>
      </c>
      <c r="C184" t="s">
        <v>10</v>
      </c>
      <c r="D184" t="s">
        <v>59</v>
      </c>
      <c r="E184" t="s">
        <v>12</v>
      </c>
      <c r="F184">
        <v>220.61</v>
      </c>
      <c r="G184">
        <v>45.114519999999999</v>
      </c>
      <c r="H184">
        <v>2.2440000000000002</v>
      </c>
      <c r="I184">
        <v>5343290064896</v>
      </c>
      <c r="J184" t="s">
        <v>22</v>
      </c>
    </row>
    <row r="185" spans="1:10">
      <c r="A185" s="10">
        <v>46161.888948877313</v>
      </c>
      <c r="B185" s="11">
        <v>46161</v>
      </c>
      <c r="C185" t="s">
        <v>10</v>
      </c>
      <c r="D185" t="s">
        <v>60</v>
      </c>
      <c r="E185" t="s">
        <v>12</v>
      </c>
      <c r="F185">
        <v>74.16</v>
      </c>
      <c r="G185">
        <v>36.000003999999997</v>
      </c>
      <c r="H185">
        <v>2.294</v>
      </c>
      <c r="I185">
        <v>66781462528</v>
      </c>
      <c r="J185" t="s">
        <v>31</v>
      </c>
    </row>
    <row r="186" spans="1:10">
      <c r="A186" s="10">
        <v>46161.888952430563</v>
      </c>
      <c r="B186" s="11">
        <v>46161</v>
      </c>
      <c r="C186" t="s">
        <v>10</v>
      </c>
      <c r="D186" t="s">
        <v>61</v>
      </c>
      <c r="E186" t="s">
        <v>12</v>
      </c>
      <c r="F186">
        <v>13.88</v>
      </c>
      <c r="I186">
        <v>871516992</v>
      </c>
      <c r="J186" t="s">
        <v>62</v>
      </c>
    </row>
    <row r="187" spans="1:10">
      <c r="A187" s="10">
        <v>46161.888956168979</v>
      </c>
      <c r="B187" s="11">
        <v>46161</v>
      </c>
      <c r="C187" t="s">
        <v>10</v>
      </c>
      <c r="D187" t="s">
        <v>63</v>
      </c>
      <c r="E187" t="s">
        <v>12</v>
      </c>
      <c r="F187">
        <v>414.05</v>
      </c>
      <c r="G187">
        <v>138.47826000000001</v>
      </c>
      <c r="H187">
        <v>2.399</v>
      </c>
      <c r="I187">
        <v>675150168064</v>
      </c>
      <c r="J187" t="s">
        <v>22</v>
      </c>
    </row>
    <row r="188" spans="1:10">
      <c r="A188" s="10">
        <v>46161.888959664349</v>
      </c>
      <c r="B188" s="11">
        <v>46161</v>
      </c>
      <c r="C188" t="s">
        <v>10</v>
      </c>
      <c r="D188" t="s">
        <v>64</v>
      </c>
      <c r="E188" t="s">
        <v>12</v>
      </c>
      <c r="F188">
        <v>404.11</v>
      </c>
      <c r="G188">
        <v>364.06304999999998</v>
      </c>
      <c r="H188">
        <v>1.7929999999999999</v>
      </c>
      <c r="I188">
        <v>1517725417472</v>
      </c>
      <c r="J188" t="s">
        <v>65</v>
      </c>
    </row>
    <row r="189" spans="1:10">
      <c r="A189" s="10">
        <v>46161.888963159719</v>
      </c>
      <c r="B189" s="11">
        <v>46161</v>
      </c>
      <c r="C189" t="s">
        <v>10</v>
      </c>
      <c r="D189" t="s">
        <v>66</v>
      </c>
      <c r="E189" t="s">
        <v>12</v>
      </c>
      <c r="F189">
        <v>1459.44</v>
      </c>
      <c r="G189">
        <v>48.583218000000002</v>
      </c>
      <c r="H189">
        <v>1.373</v>
      </c>
      <c r="I189">
        <v>562493915136</v>
      </c>
      <c r="J189" t="s">
        <v>40</v>
      </c>
    </row>
    <row r="190" spans="1:10">
      <c r="A190" s="10">
        <v>46161.888966643521</v>
      </c>
      <c r="B190" s="11">
        <v>46161</v>
      </c>
      <c r="C190" t="s">
        <v>10</v>
      </c>
      <c r="D190" t="s">
        <v>67</v>
      </c>
      <c r="E190" t="s">
        <v>12</v>
      </c>
      <c r="F190">
        <v>698.74</v>
      </c>
      <c r="G190">
        <v>32.959429999999998</v>
      </c>
      <c r="H190">
        <v>1.919</v>
      </c>
      <c r="I190">
        <v>787992870912</v>
      </c>
      <c r="J190" t="s">
        <v>22</v>
      </c>
    </row>
    <row r="191" spans="1:10">
      <c r="A191" s="10">
        <v>46161.888970162043</v>
      </c>
      <c r="B191" s="11">
        <v>46161</v>
      </c>
      <c r="C191" t="s">
        <v>10</v>
      </c>
      <c r="D191" t="s">
        <v>68</v>
      </c>
      <c r="E191" t="s">
        <v>12</v>
      </c>
      <c r="F191">
        <v>3.84</v>
      </c>
      <c r="H191">
        <v>3.0510000000000002</v>
      </c>
      <c r="I191">
        <v>1839165824</v>
      </c>
      <c r="J191" t="s">
        <v>15</v>
      </c>
    </row>
    <row r="192" spans="1:10">
      <c r="A192" s="10">
        <v>46161.888973877307</v>
      </c>
      <c r="B192" s="11">
        <v>46161</v>
      </c>
      <c r="C192" t="s">
        <v>10</v>
      </c>
      <c r="D192" t="s">
        <v>69</v>
      </c>
      <c r="E192" t="s">
        <v>12</v>
      </c>
      <c r="F192">
        <v>168.99</v>
      </c>
      <c r="G192">
        <v>93.364649999999997</v>
      </c>
      <c r="H192">
        <v>3.1760000000000002</v>
      </c>
      <c r="I192">
        <v>31170195456</v>
      </c>
      <c r="J192" t="s">
        <v>22</v>
      </c>
    </row>
    <row r="193" spans="1:10">
      <c r="A193" s="10">
        <v>46161.888977546303</v>
      </c>
      <c r="B193" s="11">
        <v>46161</v>
      </c>
      <c r="C193" t="s">
        <v>10</v>
      </c>
      <c r="D193" t="s">
        <v>70</v>
      </c>
      <c r="E193" t="s">
        <v>12</v>
      </c>
      <c r="F193">
        <v>99.81</v>
      </c>
      <c r="I193">
        <v>54453379072</v>
      </c>
      <c r="J193" t="s">
        <v>13</v>
      </c>
    </row>
    <row r="194" spans="1:10">
      <c r="A194" s="10">
        <v>46161.888981689823</v>
      </c>
      <c r="B194" s="11">
        <v>46161</v>
      </c>
      <c r="C194" t="s">
        <v>10</v>
      </c>
      <c r="D194" t="s">
        <v>71</v>
      </c>
      <c r="E194" t="s">
        <v>12</v>
      </c>
      <c r="F194">
        <v>110.8</v>
      </c>
      <c r="H194">
        <v>2.19</v>
      </c>
      <c r="I194">
        <v>556880822272</v>
      </c>
      <c r="J194" t="s">
        <v>22</v>
      </c>
    </row>
    <row r="195" spans="1:10">
      <c r="A195" s="10">
        <v>46161.888985034719</v>
      </c>
      <c r="B195" s="11">
        <v>46161</v>
      </c>
      <c r="C195" t="s">
        <v>10</v>
      </c>
      <c r="D195" t="s">
        <v>72</v>
      </c>
      <c r="E195" t="s">
        <v>12</v>
      </c>
      <c r="F195">
        <v>30.56</v>
      </c>
      <c r="G195">
        <v>16.084211</v>
      </c>
      <c r="H195">
        <v>1.6839999999999999</v>
      </c>
      <c r="I195">
        <v>18379347968</v>
      </c>
      <c r="J195" t="s">
        <v>29</v>
      </c>
    </row>
    <row r="196" spans="1:10">
      <c r="A196" s="10">
        <v>46161.888988854167</v>
      </c>
      <c r="B196" s="11">
        <v>46161</v>
      </c>
      <c r="C196" t="s">
        <v>10</v>
      </c>
      <c r="D196" t="s">
        <v>73</v>
      </c>
      <c r="E196" t="s">
        <v>12</v>
      </c>
      <c r="F196">
        <v>171.33</v>
      </c>
      <c r="H196">
        <v>3.7589999999999999</v>
      </c>
      <c r="I196">
        <v>13747993600</v>
      </c>
      <c r="J196" t="s">
        <v>74</v>
      </c>
    </row>
    <row r="197" spans="1:10">
      <c r="A197" s="10">
        <v>46161.888992465283</v>
      </c>
      <c r="B197" s="11">
        <v>46161</v>
      </c>
      <c r="C197" t="s">
        <v>10</v>
      </c>
      <c r="D197" t="s">
        <v>75</v>
      </c>
      <c r="E197" t="s">
        <v>12</v>
      </c>
      <c r="F197">
        <v>81.135000000000005</v>
      </c>
      <c r="H197">
        <v>3.2709999999999999</v>
      </c>
      <c r="I197">
        <v>2551959808</v>
      </c>
      <c r="J197" t="s">
        <v>40</v>
      </c>
    </row>
    <row r="198" spans="1:10">
      <c r="A198" s="10">
        <v>46161.888996099537</v>
      </c>
      <c r="B198" s="11">
        <v>46161</v>
      </c>
      <c r="C198" t="s">
        <v>10</v>
      </c>
      <c r="D198" t="s">
        <v>76</v>
      </c>
      <c r="E198" t="s">
        <v>12</v>
      </c>
      <c r="F198">
        <v>11.59</v>
      </c>
      <c r="I198">
        <v>1785782912</v>
      </c>
      <c r="J198" t="s">
        <v>77</v>
      </c>
    </row>
    <row r="199" spans="1:10">
      <c r="A199" s="10">
        <v>46161.88899983796</v>
      </c>
      <c r="B199" s="11">
        <v>46161</v>
      </c>
      <c r="C199" t="s">
        <v>10</v>
      </c>
      <c r="D199" t="s">
        <v>78</v>
      </c>
      <c r="E199" t="s">
        <v>12</v>
      </c>
      <c r="F199">
        <v>223.15</v>
      </c>
      <c r="G199">
        <v>259.47674999999998</v>
      </c>
      <c r="H199">
        <v>3.4060000000000001</v>
      </c>
      <c r="I199">
        <v>237431275520</v>
      </c>
      <c r="J199" t="s">
        <v>22</v>
      </c>
    </row>
    <row r="200" spans="1:10">
      <c r="A200" s="10">
        <v>46161.889003310192</v>
      </c>
      <c r="B200" s="11">
        <v>46161</v>
      </c>
      <c r="C200" t="s">
        <v>10</v>
      </c>
      <c r="D200" t="s">
        <v>79</v>
      </c>
      <c r="E200" t="s">
        <v>12</v>
      </c>
      <c r="F200">
        <v>48.44</v>
      </c>
      <c r="G200">
        <v>124.20513</v>
      </c>
      <c r="H200">
        <v>3.052</v>
      </c>
      <c r="I200">
        <v>18081196032</v>
      </c>
      <c r="J200" t="s">
        <v>29</v>
      </c>
    </row>
    <row r="201" spans="1:10">
      <c r="A201" s="10">
        <v>46161.889006874997</v>
      </c>
      <c r="B201" s="11">
        <v>46161</v>
      </c>
      <c r="C201" t="s">
        <v>10</v>
      </c>
      <c r="D201" t="s">
        <v>80</v>
      </c>
      <c r="E201" t="s">
        <v>12</v>
      </c>
      <c r="F201">
        <v>13.07</v>
      </c>
      <c r="H201">
        <v>0.54300000000000004</v>
      </c>
      <c r="I201">
        <v>1995935104</v>
      </c>
      <c r="J201" t="s">
        <v>22</v>
      </c>
    </row>
    <row r="202" spans="1:10">
      <c r="A202" s="10">
        <v>46161.890524120368</v>
      </c>
      <c r="B202" s="11">
        <v>46161</v>
      </c>
      <c r="C202" t="s">
        <v>10</v>
      </c>
      <c r="D202" t="s">
        <v>11</v>
      </c>
      <c r="E202" t="s">
        <v>12</v>
      </c>
      <c r="F202">
        <v>10.55</v>
      </c>
      <c r="G202">
        <v>20.288464000000001</v>
      </c>
      <c r="H202">
        <v>0.90900000000000003</v>
      </c>
      <c r="I202">
        <v>5490677760</v>
      </c>
      <c r="J202" t="s">
        <v>13</v>
      </c>
    </row>
    <row r="203" spans="1:10">
      <c r="A203" s="10">
        <v>46161.890527615738</v>
      </c>
      <c r="B203" s="11">
        <v>46161</v>
      </c>
      <c r="C203" t="s">
        <v>10</v>
      </c>
      <c r="D203" t="s">
        <v>14</v>
      </c>
      <c r="E203" t="s">
        <v>12</v>
      </c>
      <c r="F203">
        <v>88.19</v>
      </c>
      <c r="G203">
        <v>78.741069999999993</v>
      </c>
      <c r="H203">
        <v>2.403</v>
      </c>
      <c r="I203">
        <v>2879876096</v>
      </c>
      <c r="J203" t="s">
        <v>15</v>
      </c>
    </row>
    <row r="204" spans="1:10">
      <c r="A204" s="10">
        <v>46161.890531145837</v>
      </c>
      <c r="B204" s="11">
        <v>46161</v>
      </c>
      <c r="C204" t="s">
        <v>10</v>
      </c>
      <c r="D204" t="s">
        <v>16</v>
      </c>
      <c r="E204" t="s">
        <v>12</v>
      </c>
      <c r="F204">
        <v>101.83</v>
      </c>
      <c r="G204">
        <v>60.613100000000003</v>
      </c>
      <c r="H204">
        <v>0.81899999999999995</v>
      </c>
      <c r="I204">
        <v>105018097664</v>
      </c>
      <c r="J204" t="s">
        <v>17</v>
      </c>
    </row>
    <row r="205" spans="1:10">
      <c r="A205" s="10">
        <v>46161.890534548613</v>
      </c>
      <c r="B205" s="11">
        <v>46161</v>
      </c>
      <c r="C205" t="s">
        <v>10</v>
      </c>
      <c r="D205" t="s">
        <v>18</v>
      </c>
      <c r="E205" t="s">
        <v>12</v>
      </c>
      <c r="F205">
        <v>22.52</v>
      </c>
      <c r="G205">
        <v>34.646155999999998</v>
      </c>
      <c r="H205">
        <v>1.325</v>
      </c>
      <c r="I205">
        <v>1724220928</v>
      </c>
      <c r="J205" t="s">
        <v>13</v>
      </c>
    </row>
    <row r="206" spans="1:10">
      <c r="A206" s="10">
        <v>46161.890537916668</v>
      </c>
      <c r="B206" s="11">
        <v>46161</v>
      </c>
      <c r="C206" t="s">
        <v>10</v>
      </c>
      <c r="D206" t="s">
        <v>19</v>
      </c>
      <c r="E206" t="s">
        <v>12</v>
      </c>
      <c r="F206">
        <v>254.99</v>
      </c>
      <c r="G206">
        <v>14.868221999999999</v>
      </c>
      <c r="H206">
        <v>1.417</v>
      </c>
      <c r="I206">
        <v>103066959872</v>
      </c>
      <c r="J206" t="s">
        <v>17</v>
      </c>
    </row>
    <row r="207" spans="1:10">
      <c r="A207" s="10">
        <v>46161.89054197917</v>
      </c>
      <c r="B207" s="11">
        <v>46161</v>
      </c>
      <c r="C207" t="s">
        <v>10</v>
      </c>
      <c r="D207" t="s">
        <v>20</v>
      </c>
      <c r="E207" t="s">
        <v>12</v>
      </c>
      <c r="F207">
        <v>100.09</v>
      </c>
      <c r="G207">
        <v>17.969479</v>
      </c>
      <c r="H207">
        <v>0.57899999999999996</v>
      </c>
      <c r="I207">
        <v>3524870144</v>
      </c>
      <c r="J207" t="s">
        <v>13</v>
      </c>
    </row>
    <row r="208" spans="1:10">
      <c r="A208" s="10">
        <v>46161.890545671296</v>
      </c>
      <c r="B208" s="11">
        <v>46161</v>
      </c>
      <c r="C208" t="s">
        <v>10</v>
      </c>
      <c r="D208" t="s">
        <v>21</v>
      </c>
      <c r="E208" t="s">
        <v>12</v>
      </c>
      <c r="F208">
        <v>70.349999999999994</v>
      </c>
      <c r="G208">
        <v>29.312498000000001</v>
      </c>
      <c r="H208">
        <v>1.476</v>
      </c>
      <c r="I208">
        <v>10581059584</v>
      </c>
      <c r="J208" t="s">
        <v>22</v>
      </c>
    </row>
    <row r="209" spans="1:10">
      <c r="A209" s="10">
        <v>46161.890549664349</v>
      </c>
      <c r="B209" s="11">
        <v>46161</v>
      </c>
      <c r="C209" t="s">
        <v>10</v>
      </c>
      <c r="D209" t="s">
        <v>23</v>
      </c>
      <c r="E209" t="s">
        <v>12</v>
      </c>
      <c r="F209">
        <v>417.42</v>
      </c>
      <c r="G209">
        <v>24.890877</v>
      </c>
      <c r="H209">
        <v>1.093</v>
      </c>
      <c r="I209">
        <v>3100777381888</v>
      </c>
      <c r="J209" t="s">
        <v>13</v>
      </c>
    </row>
    <row r="210" spans="1:10">
      <c r="A210" s="10">
        <v>46161.890553622688</v>
      </c>
      <c r="B210" s="11">
        <v>46161</v>
      </c>
      <c r="C210" t="s">
        <v>10</v>
      </c>
      <c r="D210" t="s">
        <v>24</v>
      </c>
      <c r="E210" t="s">
        <v>12</v>
      </c>
      <c r="F210">
        <v>476.9</v>
      </c>
      <c r="G210">
        <v>41.397568</v>
      </c>
      <c r="H210">
        <v>2.3660000000000001</v>
      </c>
      <c r="I210">
        <v>160209551360</v>
      </c>
      <c r="J210" t="s">
        <v>25</v>
      </c>
    </row>
    <row r="211" spans="1:10">
      <c r="A211" s="10">
        <v>46161.890557175917</v>
      </c>
      <c r="B211" s="11">
        <v>46161</v>
      </c>
      <c r="C211" t="s">
        <v>10</v>
      </c>
      <c r="D211" t="s">
        <v>26</v>
      </c>
      <c r="E211" t="s">
        <v>12</v>
      </c>
      <c r="F211">
        <v>215.15</v>
      </c>
      <c r="G211">
        <v>537.875</v>
      </c>
      <c r="H211">
        <v>1.2949999999999999</v>
      </c>
      <c r="I211">
        <v>76584837120</v>
      </c>
      <c r="J211" t="s">
        <v>17</v>
      </c>
    </row>
    <row r="212" spans="1:10">
      <c r="A212" s="10">
        <v>46161.890561168977</v>
      </c>
      <c r="B212" s="11">
        <v>46161</v>
      </c>
      <c r="C212" t="s">
        <v>10</v>
      </c>
      <c r="D212" t="s">
        <v>27</v>
      </c>
      <c r="E212" t="s">
        <v>12</v>
      </c>
      <c r="F212">
        <v>244.26</v>
      </c>
      <c r="G212">
        <v>163.93288000000001</v>
      </c>
      <c r="H212">
        <v>3.363</v>
      </c>
      <c r="I212">
        <v>41868099584</v>
      </c>
      <c r="J212" t="s">
        <v>22</v>
      </c>
    </row>
    <row r="213" spans="1:10">
      <c r="A213" s="10">
        <v>46161.890566793983</v>
      </c>
      <c r="B213" s="11">
        <v>46161</v>
      </c>
      <c r="C213" t="s">
        <v>10</v>
      </c>
      <c r="D213" t="s">
        <v>28</v>
      </c>
      <c r="E213" t="s">
        <v>12</v>
      </c>
      <c r="F213">
        <v>1383.29</v>
      </c>
      <c r="G213">
        <v>47.162975000000003</v>
      </c>
      <c r="I213">
        <v>204851085312</v>
      </c>
      <c r="J213" t="s">
        <v>29</v>
      </c>
    </row>
    <row r="214" spans="1:10">
      <c r="A214" s="10">
        <v>46161.890570601849</v>
      </c>
      <c r="B214" s="11">
        <v>46161</v>
      </c>
      <c r="C214" t="s">
        <v>10</v>
      </c>
      <c r="D214" t="s">
        <v>30</v>
      </c>
      <c r="E214" t="s">
        <v>12</v>
      </c>
      <c r="F214">
        <v>91.81</v>
      </c>
      <c r="G214">
        <v>18.252483000000002</v>
      </c>
      <c r="H214">
        <v>0.79700000000000004</v>
      </c>
      <c r="I214">
        <v>159670026240</v>
      </c>
      <c r="J214" t="s">
        <v>31</v>
      </c>
    </row>
    <row r="215" spans="1:10">
      <c r="A215" s="10">
        <v>46161.890574548612</v>
      </c>
      <c r="B215" s="11">
        <v>46161</v>
      </c>
      <c r="C215" t="s">
        <v>10</v>
      </c>
      <c r="D215" t="s">
        <v>32</v>
      </c>
      <c r="E215" t="s">
        <v>33</v>
      </c>
      <c r="F215">
        <v>908</v>
      </c>
      <c r="G215">
        <v>24.54054</v>
      </c>
      <c r="H215">
        <v>0.30399999999999999</v>
      </c>
      <c r="I215">
        <v>8206142464</v>
      </c>
      <c r="J215" t="s">
        <v>17</v>
      </c>
    </row>
    <row r="216" spans="1:10">
      <c r="A216" s="10">
        <v>46161.890578321763</v>
      </c>
      <c r="B216" s="11">
        <v>46161</v>
      </c>
      <c r="C216" t="s">
        <v>10</v>
      </c>
      <c r="D216" t="s">
        <v>34</v>
      </c>
      <c r="E216" t="s">
        <v>12</v>
      </c>
      <c r="F216">
        <v>222.33</v>
      </c>
      <c r="G216">
        <v>19.692647999999998</v>
      </c>
      <c r="H216">
        <v>0.58099999999999996</v>
      </c>
      <c r="I216">
        <v>208964698112</v>
      </c>
      <c r="J216" t="s">
        <v>15</v>
      </c>
    </row>
    <row r="217" spans="1:10">
      <c r="A217" s="10">
        <v>46161.890581990738</v>
      </c>
      <c r="B217" s="11">
        <v>46161</v>
      </c>
      <c r="C217" t="s">
        <v>10</v>
      </c>
      <c r="D217" t="s">
        <v>35</v>
      </c>
      <c r="E217" t="s">
        <v>12</v>
      </c>
      <c r="F217">
        <v>298.97000000000003</v>
      </c>
      <c r="G217">
        <v>36.238790000000002</v>
      </c>
      <c r="H217">
        <v>1.0649999999999999</v>
      </c>
      <c r="I217">
        <v>4391078723584</v>
      </c>
      <c r="J217" t="s">
        <v>36</v>
      </c>
    </row>
    <row r="218" spans="1:10">
      <c r="A218" s="10">
        <v>46161.890587592592</v>
      </c>
      <c r="B218" s="11">
        <v>46161</v>
      </c>
      <c r="C218" t="s">
        <v>10</v>
      </c>
      <c r="D218" t="s">
        <v>37</v>
      </c>
      <c r="E218" t="s">
        <v>12</v>
      </c>
      <c r="F218">
        <v>81.92</v>
      </c>
      <c r="G218">
        <v>25.761005000000001</v>
      </c>
      <c r="H218">
        <v>0.35599999999999998</v>
      </c>
      <c r="I218">
        <v>352459358208</v>
      </c>
      <c r="J218" t="s">
        <v>38</v>
      </c>
    </row>
    <row r="219" spans="1:10">
      <c r="A219" s="10">
        <v>46161.890591215277</v>
      </c>
      <c r="B219" s="11">
        <v>46161</v>
      </c>
      <c r="C219" t="s">
        <v>10</v>
      </c>
      <c r="D219" t="s">
        <v>39</v>
      </c>
      <c r="E219" t="s">
        <v>12</v>
      </c>
      <c r="F219">
        <v>76.69</v>
      </c>
      <c r="H219">
        <v>2.1640000000000001</v>
      </c>
      <c r="I219">
        <v>3363737344</v>
      </c>
      <c r="J219" t="s">
        <v>40</v>
      </c>
    </row>
    <row r="220" spans="1:10">
      <c r="A220" s="10">
        <v>46161.890595092591</v>
      </c>
      <c r="B220" s="11">
        <v>46161</v>
      </c>
      <c r="C220" t="s">
        <v>10</v>
      </c>
      <c r="D220" t="s">
        <v>41</v>
      </c>
      <c r="E220" t="s">
        <v>12</v>
      </c>
      <c r="F220">
        <v>602.61</v>
      </c>
      <c r="G220">
        <v>21.91309</v>
      </c>
      <c r="H220">
        <v>1.2430000000000001</v>
      </c>
      <c r="I220">
        <v>1529679183872</v>
      </c>
      <c r="J220" t="s">
        <v>42</v>
      </c>
    </row>
    <row r="221" spans="1:10">
      <c r="A221" s="10">
        <v>46161.890598715283</v>
      </c>
      <c r="B221" s="11">
        <v>46161</v>
      </c>
      <c r="C221" t="s">
        <v>10</v>
      </c>
      <c r="D221" t="s">
        <v>43</v>
      </c>
      <c r="E221" t="s">
        <v>12</v>
      </c>
      <c r="F221">
        <v>8.4499999999999993</v>
      </c>
      <c r="H221">
        <v>2.7629999999999999</v>
      </c>
      <c r="I221">
        <v>3656903424</v>
      </c>
      <c r="J221" t="s">
        <v>17</v>
      </c>
    </row>
    <row r="222" spans="1:10">
      <c r="A222" s="10">
        <v>46161.890602222222</v>
      </c>
      <c r="B222" s="11">
        <v>46161</v>
      </c>
      <c r="C222" t="s">
        <v>10</v>
      </c>
      <c r="D222" t="s">
        <v>44</v>
      </c>
      <c r="E222" t="s">
        <v>12</v>
      </c>
      <c r="F222">
        <v>181.46</v>
      </c>
      <c r="G222">
        <v>32.636691999999996</v>
      </c>
      <c r="H222">
        <v>1.544</v>
      </c>
      <c r="I222">
        <v>521887350784</v>
      </c>
      <c r="J222" t="s">
        <v>13</v>
      </c>
    </row>
    <row r="223" spans="1:10">
      <c r="A223" s="10">
        <v>46161.890605925917</v>
      </c>
      <c r="B223" s="11">
        <v>46161</v>
      </c>
      <c r="C223" t="s">
        <v>10</v>
      </c>
      <c r="D223" t="s">
        <v>45</v>
      </c>
      <c r="E223" t="s">
        <v>12</v>
      </c>
      <c r="F223">
        <v>384.9</v>
      </c>
      <c r="G223">
        <v>29.404125000000001</v>
      </c>
      <c r="H223">
        <v>1.2669999999999999</v>
      </c>
      <c r="I223">
        <v>4663234002944</v>
      </c>
      <c r="J223" t="s">
        <v>42</v>
      </c>
    </row>
    <row r="224" spans="1:10">
      <c r="A224" s="10">
        <v>46161.89060943287</v>
      </c>
      <c r="B224" s="11">
        <v>46161</v>
      </c>
      <c r="C224" t="s">
        <v>10</v>
      </c>
      <c r="D224" t="s">
        <v>46</v>
      </c>
      <c r="E224" t="s">
        <v>12</v>
      </c>
      <c r="F224">
        <v>259.33999999999997</v>
      </c>
      <c r="G224">
        <v>30.984468</v>
      </c>
      <c r="H224">
        <v>1.468</v>
      </c>
      <c r="I224">
        <v>2789748768768</v>
      </c>
      <c r="J224" t="s">
        <v>47</v>
      </c>
    </row>
    <row r="225" spans="1:10">
      <c r="A225" s="10">
        <v>46161.890613171287</v>
      </c>
      <c r="B225" s="11">
        <v>46161</v>
      </c>
      <c r="C225" t="s">
        <v>10</v>
      </c>
      <c r="D225" t="s">
        <v>48</v>
      </c>
      <c r="E225" t="s">
        <v>12</v>
      </c>
      <c r="F225">
        <v>176.27</v>
      </c>
      <c r="G225">
        <v>57.416943000000003</v>
      </c>
      <c r="H225">
        <v>2.2509999999999999</v>
      </c>
      <c r="I225">
        <v>154333757440</v>
      </c>
      <c r="J225" t="s">
        <v>22</v>
      </c>
    </row>
    <row r="226" spans="1:10">
      <c r="A226" s="10">
        <v>46161.890616712961</v>
      </c>
      <c r="B226" s="11">
        <v>46161</v>
      </c>
      <c r="C226" t="s">
        <v>10</v>
      </c>
      <c r="D226" t="s">
        <v>49</v>
      </c>
      <c r="E226" t="s">
        <v>12</v>
      </c>
      <c r="F226">
        <v>5.53</v>
      </c>
      <c r="H226">
        <v>2.2309999999999999</v>
      </c>
      <c r="I226">
        <v>1206388608</v>
      </c>
      <c r="J226" t="s">
        <v>50</v>
      </c>
    </row>
    <row r="227" spans="1:10">
      <c r="A227" s="10">
        <v>46161.890620254628</v>
      </c>
      <c r="B227" s="11">
        <v>46161</v>
      </c>
      <c r="C227" t="s">
        <v>10</v>
      </c>
      <c r="D227" t="s">
        <v>51</v>
      </c>
      <c r="E227" t="s">
        <v>12</v>
      </c>
      <c r="F227">
        <v>392.61</v>
      </c>
      <c r="G227">
        <v>33.729377999999997</v>
      </c>
      <c r="H227">
        <v>1.264</v>
      </c>
      <c r="I227">
        <v>2036232486912</v>
      </c>
      <c r="J227" t="s">
        <v>22</v>
      </c>
    </row>
    <row r="228" spans="1:10">
      <c r="A228" s="10">
        <v>46161.890623703701</v>
      </c>
      <c r="B228" s="11">
        <v>46161</v>
      </c>
      <c r="C228" t="s">
        <v>10</v>
      </c>
      <c r="D228" t="s">
        <v>52</v>
      </c>
      <c r="E228" t="s">
        <v>12</v>
      </c>
      <c r="F228">
        <v>45.53</v>
      </c>
      <c r="I228">
        <v>8175583744</v>
      </c>
      <c r="J228" t="s">
        <v>53</v>
      </c>
    </row>
    <row r="229" spans="1:10">
      <c r="A229" s="10">
        <v>46161.890627199071</v>
      </c>
      <c r="B229" s="11">
        <v>46161</v>
      </c>
      <c r="C229" t="s">
        <v>10</v>
      </c>
      <c r="D229" t="s">
        <v>54</v>
      </c>
      <c r="E229" t="s">
        <v>12</v>
      </c>
      <c r="F229">
        <v>411.07</v>
      </c>
      <c r="G229">
        <v>80.130610000000004</v>
      </c>
      <c r="H229">
        <v>1.44</v>
      </c>
      <c r="I229">
        <v>1946280132608</v>
      </c>
      <c r="J229" t="s">
        <v>22</v>
      </c>
    </row>
    <row r="230" spans="1:10">
      <c r="A230" s="10">
        <v>46161.890630752307</v>
      </c>
      <c r="B230" s="11">
        <v>46161</v>
      </c>
      <c r="C230" t="s">
        <v>10</v>
      </c>
      <c r="D230" t="s">
        <v>55</v>
      </c>
      <c r="E230" t="s">
        <v>12</v>
      </c>
      <c r="F230">
        <v>34.25</v>
      </c>
      <c r="G230">
        <v>14.636753000000001</v>
      </c>
      <c r="H230">
        <v>3.3039999999999998</v>
      </c>
      <c r="I230">
        <v>1685257600</v>
      </c>
      <c r="J230" t="s">
        <v>22</v>
      </c>
    </row>
    <row r="231" spans="1:10">
      <c r="A231" s="10">
        <v>46161.890634212963</v>
      </c>
      <c r="B231" s="11">
        <v>46161</v>
      </c>
      <c r="C231" t="s">
        <v>10</v>
      </c>
      <c r="D231" t="s">
        <v>56</v>
      </c>
      <c r="E231" t="s">
        <v>12</v>
      </c>
      <c r="F231">
        <v>8.83</v>
      </c>
      <c r="H231">
        <v>1.9870000000000001</v>
      </c>
      <c r="I231">
        <v>1282921472</v>
      </c>
      <c r="J231" t="s">
        <v>13</v>
      </c>
    </row>
    <row r="232" spans="1:10">
      <c r="A232" s="10">
        <v>46161.890637615739</v>
      </c>
      <c r="B232" s="11">
        <v>46161</v>
      </c>
      <c r="C232" t="s">
        <v>10</v>
      </c>
      <c r="D232" t="s">
        <v>57</v>
      </c>
      <c r="E232" t="s">
        <v>12</v>
      </c>
      <c r="F232">
        <v>141.58000000000001</v>
      </c>
      <c r="G232">
        <v>48.652920000000002</v>
      </c>
      <c r="H232">
        <v>1.673</v>
      </c>
      <c r="I232">
        <v>178273206272</v>
      </c>
      <c r="J232" t="s">
        <v>29</v>
      </c>
    </row>
    <row r="233" spans="1:10">
      <c r="A233" s="10">
        <v>46161.89064125</v>
      </c>
      <c r="B233" s="11">
        <v>46161</v>
      </c>
      <c r="C233" t="s">
        <v>10</v>
      </c>
      <c r="D233" t="s">
        <v>58</v>
      </c>
      <c r="E233" t="s">
        <v>12</v>
      </c>
      <c r="F233">
        <v>45.77</v>
      </c>
      <c r="G233">
        <v>19.559830000000002</v>
      </c>
      <c r="H233">
        <v>1.5069999999999999</v>
      </c>
      <c r="I233">
        <v>2698891776</v>
      </c>
      <c r="J233" t="s">
        <v>40</v>
      </c>
    </row>
    <row r="234" spans="1:10">
      <c r="A234" s="10">
        <v>46161.890644594911</v>
      </c>
      <c r="B234" s="11">
        <v>46161</v>
      </c>
      <c r="C234" t="s">
        <v>10</v>
      </c>
      <c r="D234" t="s">
        <v>59</v>
      </c>
      <c r="E234" t="s">
        <v>12</v>
      </c>
      <c r="F234">
        <v>220.61</v>
      </c>
      <c r="G234">
        <v>45.114519999999999</v>
      </c>
      <c r="H234">
        <v>2.2440000000000002</v>
      </c>
      <c r="I234">
        <v>5343290064896</v>
      </c>
      <c r="J234" t="s">
        <v>22</v>
      </c>
    </row>
    <row r="235" spans="1:10">
      <c r="A235" s="10">
        <v>46161.890648263892</v>
      </c>
      <c r="B235" s="11">
        <v>46161</v>
      </c>
      <c r="C235" t="s">
        <v>10</v>
      </c>
      <c r="D235" t="s">
        <v>60</v>
      </c>
      <c r="E235" t="s">
        <v>12</v>
      </c>
      <c r="F235">
        <v>74.16</v>
      </c>
      <c r="G235">
        <v>36.000003999999997</v>
      </c>
      <c r="H235">
        <v>2.294</v>
      </c>
      <c r="I235">
        <v>66781462528</v>
      </c>
      <c r="J235" t="s">
        <v>31</v>
      </c>
    </row>
    <row r="236" spans="1:10">
      <c r="A236" s="10">
        <v>46161.890651793983</v>
      </c>
      <c r="B236" s="11">
        <v>46161</v>
      </c>
      <c r="C236" t="s">
        <v>10</v>
      </c>
      <c r="D236" t="s">
        <v>61</v>
      </c>
      <c r="E236" t="s">
        <v>12</v>
      </c>
      <c r="F236">
        <v>13.88</v>
      </c>
      <c r="I236">
        <v>871516992</v>
      </c>
      <c r="J236" t="s">
        <v>62</v>
      </c>
    </row>
    <row r="237" spans="1:10">
      <c r="A237" s="10">
        <v>46161.890655370371</v>
      </c>
      <c r="B237" s="11">
        <v>46161</v>
      </c>
      <c r="C237" t="s">
        <v>10</v>
      </c>
      <c r="D237" t="s">
        <v>63</v>
      </c>
      <c r="E237" t="s">
        <v>12</v>
      </c>
      <c r="F237">
        <v>414.05</v>
      </c>
      <c r="G237">
        <v>138.47826000000001</v>
      </c>
      <c r="H237">
        <v>2.399</v>
      </c>
      <c r="I237">
        <v>675150168064</v>
      </c>
      <c r="J237" t="s">
        <v>22</v>
      </c>
    </row>
    <row r="238" spans="1:10">
      <c r="A238" s="10">
        <v>46161.890658854158</v>
      </c>
      <c r="B238" s="11">
        <v>46161</v>
      </c>
      <c r="C238" t="s">
        <v>10</v>
      </c>
      <c r="D238" t="s">
        <v>64</v>
      </c>
      <c r="E238" t="s">
        <v>12</v>
      </c>
      <c r="F238">
        <v>404.11</v>
      </c>
      <c r="G238">
        <v>364.06304999999998</v>
      </c>
      <c r="H238">
        <v>1.7929999999999999</v>
      </c>
      <c r="I238">
        <v>1517725417472</v>
      </c>
      <c r="J238" t="s">
        <v>65</v>
      </c>
    </row>
    <row r="239" spans="1:10">
      <c r="A239" s="10">
        <v>46161.890662488433</v>
      </c>
      <c r="B239" s="11">
        <v>46161</v>
      </c>
      <c r="C239" t="s">
        <v>10</v>
      </c>
      <c r="D239" t="s">
        <v>66</v>
      </c>
      <c r="E239" t="s">
        <v>12</v>
      </c>
      <c r="F239">
        <v>1459.44</v>
      </c>
      <c r="G239">
        <v>48.583218000000002</v>
      </c>
      <c r="H239">
        <v>1.373</v>
      </c>
      <c r="I239">
        <v>562493915136</v>
      </c>
      <c r="J239" t="s">
        <v>40</v>
      </c>
    </row>
    <row r="240" spans="1:10">
      <c r="A240" s="10">
        <v>46161.890666099527</v>
      </c>
      <c r="B240" s="11">
        <v>46161</v>
      </c>
      <c r="C240" t="s">
        <v>10</v>
      </c>
      <c r="D240" t="s">
        <v>67</v>
      </c>
      <c r="E240" t="s">
        <v>12</v>
      </c>
      <c r="F240">
        <v>698.74</v>
      </c>
      <c r="G240">
        <v>32.959429999999998</v>
      </c>
      <c r="H240">
        <v>1.919</v>
      </c>
      <c r="I240">
        <v>787992870912</v>
      </c>
      <c r="J240" t="s">
        <v>22</v>
      </c>
    </row>
    <row r="241" spans="1:10">
      <c r="A241" s="10">
        <v>46161.890669618057</v>
      </c>
      <c r="B241" s="11">
        <v>46161</v>
      </c>
      <c r="C241" t="s">
        <v>10</v>
      </c>
      <c r="D241" t="s">
        <v>68</v>
      </c>
      <c r="E241" t="s">
        <v>12</v>
      </c>
      <c r="F241">
        <v>3.84</v>
      </c>
      <c r="H241">
        <v>3.0510000000000002</v>
      </c>
      <c r="I241">
        <v>1839165824</v>
      </c>
      <c r="J241" t="s">
        <v>15</v>
      </c>
    </row>
    <row r="242" spans="1:10">
      <c r="A242" s="10">
        <v>46161.89067320602</v>
      </c>
      <c r="B242" s="11">
        <v>46161</v>
      </c>
      <c r="C242" t="s">
        <v>10</v>
      </c>
      <c r="D242" t="s">
        <v>69</v>
      </c>
      <c r="E242" t="s">
        <v>12</v>
      </c>
      <c r="F242">
        <v>168.99</v>
      </c>
      <c r="G242">
        <v>93.364649999999997</v>
      </c>
      <c r="H242">
        <v>3.1760000000000002</v>
      </c>
      <c r="I242">
        <v>31170195456</v>
      </c>
      <c r="J242" t="s">
        <v>22</v>
      </c>
    </row>
    <row r="243" spans="1:10">
      <c r="A243" s="10">
        <v>46161.890677291667</v>
      </c>
      <c r="B243" s="11">
        <v>46161</v>
      </c>
      <c r="C243" t="s">
        <v>10</v>
      </c>
      <c r="D243" t="s">
        <v>70</v>
      </c>
      <c r="E243" t="s">
        <v>12</v>
      </c>
      <c r="F243">
        <v>99.81</v>
      </c>
      <c r="I243">
        <v>54453379072</v>
      </c>
      <c r="J243" t="s">
        <v>13</v>
      </c>
    </row>
    <row r="244" spans="1:10">
      <c r="A244" s="10">
        <v>46161.890681238423</v>
      </c>
      <c r="B244" s="11">
        <v>46161</v>
      </c>
      <c r="C244" t="s">
        <v>10</v>
      </c>
      <c r="D244" t="s">
        <v>71</v>
      </c>
      <c r="E244" t="s">
        <v>12</v>
      </c>
      <c r="F244">
        <v>110.8</v>
      </c>
      <c r="H244">
        <v>2.19</v>
      </c>
      <c r="I244">
        <v>556880822272</v>
      </c>
      <c r="J244" t="s">
        <v>22</v>
      </c>
    </row>
    <row r="245" spans="1:10">
      <c r="A245" s="10">
        <v>46161.890684791673</v>
      </c>
      <c r="B245" s="11">
        <v>46161</v>
      </c>
      <c r="C245" t="s">
        <v>10</v>
      </c>
      <c r="D245" t="s">
        <v>72</v>
      </c>
      <c r="E245" t="s">
        <v>12</v>
      </c>
      <c r="F245">
        <v>30.56</v>
      </c>
      <c r="G245">
        <v>16.084211</v>
      </c>
      <c r="H245">
        <v>1.6839999999999999</v>
      </c>
      <c r="I245">
        <v>18379347968</v>
      </c>
      <c r="J245" t="s">
        <v>29</v>
      </c>
    </row>
    <row r="246" spans="1:10">
      <c r="A246" s="10">
        <v>46161.890688495369</v>
      </c>
      <c r="B246" s="11">
        <v>46161</v>
      </c>
      <c r="C246" t="s">
        <v>10</v>
      </c>
      <c r="D246" t="s">
        <v>73</v>
      </c>
      <c r="E246" t="s">
        <v>12</v>
      </c>
      <c r="F246">
        <v>171.33</v>
      </c>
      <c r="H246">
        <v>3.7589999999999999</v>
      </c>
      <c r="I246">
        <v>13747993600</v>
      </c>
      <c r="J246" t="s">
        <v>74</v>
      </c>
    </row>
    <row r="247" spans="1:10">
      <c r="A247" s="10">
        <v>46161.890692106477</v>
      </c>
      <c r="B247" s="11">
        <v>46161</v>
      </c>
      <c r="C247" t="s">
        <v>10</v>
      </c>
      <c r="D247" t="s">
        <v>75</v>
      </c>
      <c r="E247" t="s">
        <v>12</v>
      </c>
      <c r="F247">
        <v>81.135000000000005</v>
      </c>
      <c r="H247">
        <v>3.2709999999999999</v>
      </c>
      <c r="I247">
        <v>2551959808</v>
      </c>
      <c r="J247" t="s">
        <v>40</v>
      </c>
    </row>
    <row r="248" spans="1:10">
      <c r="A248" s="10">
        <v>46161.890695671304</v>
      </c>
      <c r="B248" s="11">
        <v>46161</v>
      </c>
      <c r="C248" t="s">
        <v>10</v>
      </c>
      <c r="D248" t="s">
        <v>76</v>
      </c>
      <c r="E248" t="s">
        <v>12</v>
      </c>
      <c r="F248">
        <v>11.59</v>
      </c>
      <c r="I248">
        <v>1785782912</v>
      </c>
      <c r="J248" t="s">
        <v>77</v>
      </c>
    </row>
    <row r="249" spans="1:10">
      <c r="A249" s="10">
        <v>46161.89069954861</v>
      </c>
      <c r="B249" s="11">
        <v>46161</v>
      </c>
      <c r="C249" t="s">
        <v>10</v>
      </c>
      <c r="D249" t="s">
        <v>78</v>
      </c>
      <c r="E249" t="s">
        <v>12</v>
      </c>
      <c r="F249">
        <v>223.15</v>
      </c>
      <c r="G249">
        <v>259.47674999999998</v>
      </c>
      <c r="H249">
        <v>3.4060000000000001</v>
      </c>
      <c r="I249">
        <v>237431275520</v>
      </c>
      <c r="J249" t="s">
        <v>22</v>
      </c>
    </row>
    <row r="250" spans="1:10">
      <c r="A250" s="10">
        <v>46161.890703159719</v>
      </c>
      <c r="B250" s="11">
        <v>46161</v>
      </c>
      <c r="C250" t="s">
        <v>10</v>
      </c>
      <c r="D250" t="s">
        <v>79</v>
      </c>
      <c r="E250" t="s">
        <v>12</v>
      </c>
      <c r="F250">
        <v>48.44</v>
      </c>
      <c r="G250">
        <v>124.20513</v>
      </c>
      <c r="H250">
        <v>3.052</v>
      </c>
      <c r="I250">
        <v>18081196032</v>
      </c>
      <c r="J250" t="s">
        <v>29</v>
      </c>
    </row>
    <row r="251" spans="1:10">
      <c r="A251" s="10">
        <v>46161.890706817132</v>
      </c>
      <c r="B251" s="11">
        <v>46161</v>
      </c>
      <c r="C251" t="s">
        <v>10</v>
      </c>
      <c r="D251" t="s">
        <v>80</v>
      </c>
      <c r="E251" t="s">
        <v>12</v>
      </c>
      <c r="F251">
        <v>13.07</v>
      </c>
      <c r="H251">
        <v>0.54300000000000004</v>
      </c>
      <c r="I251">
        <v>1995935104</v>
      </c>
      <c r="J251" t="s">
        <v>22</v>
      </c>
    </row>
    <row r="252" spans="1:10">
      <c r="A252" s="10">
        <v>46161.909429039362</v>
      </c>
      <c r="B252" s="11">
        <v>46161</v>
      </c>
      <c r="C252" t="s">
        <v>10</v>
      </c>
      <c r="D252" t="s">
        <v>11</v>
      </c>
      <c r="E252" t="s">
        <v>12</v>
      </c>
      <c r="F252">
        <v>10.55</v>
      </c>
      <c r="G252">
        <v>20.288464000000001</v>
      </c>
      <c r="H252">
        <v>0.90900000000000003</v>
      </c>
      <c r="I252">
        <v>5490677760</v>
      </c>
      <c r="J252" t="s">
        <v>13</v>
      </c>
    </row>
    <row r="253" spans="1:10">
      <c r="A253" s="10">
        <v>46161.909432812499</v>
      </c>
      <c r="B253" s="11">
        <v>46161</v>
      </c>
      <c r="C253" t="s">
        <v>10</v>
      </c>
      <c r="D253" t="s">
        <v>14</v>
      </c>
      <c r="E253" t="s">
        <v>12</v>
      </c>
      <c r="F253">
        <v>88.19</v>
      </c>
      <c r="G253">
        <v>78.741069999999993</v>
      </c>
      <c r="H253">
        <v>2.403</v>
      </c>
      <c r="I253">
        <v>2879876096</v>
      </c>
      <c r="J253" t="s">
        <v>15</v>
      </c>
    </row>
    <row r="254" spans="1:10">
      <c r="A254" s="10">
        <v>46161.909436331021</v>
      </c>
      <c r="B254" s="11">
        <v>46161</v>
      </c>
      <c r="C254" t="s">
        <v>10</v>
      </c>
      <c r="D254" t="s">
        <v>16</v>
      </c>
      <c r="E254" t="s">
        <v>12</v>
      </c>
      <c r="F254">
        <v>101.83</v>
      </c>
      <c r="G254">
        <v>60.613100000000003</v>
      </c>
      <c r="H254">
        <v>0.81899999999999995</v>
      </c>
      <c r="I254">
        <v>105018097664</v>
      </c>
      <c r="J254" t="s">
        <v>17</v>
      </c>
    </row>
    <row r="255" spans="1:10">
      <c r="A255" s="10">
        <v>46161.909441805547</v>
      </c>
      <c r="B255" s="11">
        <v>46161</v>
      </c>
      <c r="C255" t="s">
        <v>10</v>
      </c>
      <c r="D255" t="s">
        <v>18</v>
      </c>
      <c r="E255" t="s">
        <v>12</v>
      </c>
      <c r="F255">
        <v>22.52</v>
      </c>
      <c r="G255">
        <v>34.646155999999998</v>
      </c>
      <c r="H255">
        <v>1.325</v>
      </c>
      <c r="I255">
        <v>1724220928</v>
      </c>
      <c r="J255" t="s">
        <v>13</v>
      </c>
    </row>
    <row r="256" spans="1:10">
      <c r="A256" s="10">
        <v>46161.909445219913</v>
      </c>
      <c r="B256" s="11">
        <v>46161</v>
      </c>
      <c r="C256" t="s">
        <v>10</v>
      </c>
      <c r="D256" t="s">
        <v>19</v>
      </c>
      <c r="E256" t="s">
        <v>12</v>
      </c>
      <c r="F256">
        <v>254.99</v>
      </c>
      <c r="G256">
        <v>14.868221999999999</v>
      </c>
      <c r="H256">
        <v>1.417</v>
      </c>
      <c r="I256">
        <v>103066959872</v>
      </c>
      <c r="J256" t="s">
        <v>17</v>
      </c>
    </row>
    <row r="257" spans="1:10">
      <c r="A257" s="10">
        <v>46161.909448726852</v>
      </c>
      <c r="B257" s="11">
        <v>46161</v>
      </c>
      <c r="C257" t="s">
        <v>10</v>
      </c>
      <c r="D257" t="s">
        <v>20</v>
      </c>
      <c r="E257" t="s">
        <v>12</v>
      </c>
      <c r="F257">
        <v>100.09</v>
      </c>
      <c r="G257">
        <v>17.969479</v>
      </c>
      <c r="H257">
        <v>0.57899999999999996</v>
      </c>
      <c r="I257">
        <v>3524870144</v>
      </c>
      <c r="J257" t="s">
        <v>13</v>
      </c>
    </row>
    <row r="258" spans="1:10">
      <c r="A258" s="10">
        <v>46161.909454375003</v>
      </c>
      <c r="B258" s="11">
        <v>46161</v>
      </c>
      <c r="C258" t="s">
        <v>10</v>
      </c>
      <c r="D258" t="s">
        <v>21</v>
      </c>
      <c r="E258" t="s">
        <v>12</v>
      </c>
      <c r="F258">
        <v>70.349999999999994</v>
      </c>
      <c r="G258">
        <v>29.312498000000001</v>
      </c>
      <c r="H258">
        <v>1.476</v>
      </c>
      <c r="I258">
        <v>10581059584</v>
      </c>
      <c r="J258" t="s">
        <v>22</v>
      </c>
    </row>
    <row r="259" spans="1:10">
      <c r="A259" s="10">
        <v>46161.909458263894</v>
      </c>
      <c r="B259" s="11">
        <v>46161</v>
      </c>
      <c r="C259" t="s">
        <v>10</v>
      </c>
      <c r="D259" t="s">
        <v>23</v>
      </c>
      <c r="E259" t="s">
        <v>12</v>
      </c>
      <c r="F259">
        <v>417.42</v>
      </c>
      <c r="G259">
        <v>24.890877</v>
      </c>
      <c r="H259">
        <v>1.093</v>
      </c>
      <c r="I259">
        <v>3100777381888</v>
      </c>
      <c r="J259" t="s">
        <v>13</v>
      </c>
    </row>
    <row r="260" spans="1:10">
      <c r="A260" s="10">
        <v>46161.909461805553</v>
      </c>
      <c r="B260" s="11">
        <v>46161</v>
      </c>
      <c r="C260" t="s">
        <v>10</v>
      </c>
      <c r="D260" t="s">
        <v>24</v>
      </c>
      <c r="E260" t="s">
        <v>12</v>
      </c>
      <c r="F260">
        <v>476.9</v>
      </c>
      <c r="G260">
        <v>41.397568</v>
      </c>
      <c r="H260">
        <v>2.3660000000000001</v>
      </c>
      <c r="I260">
        <v>160209551360</v>
      </c>
      <c r="J260" t="s">
        <v>25</v>
      </c>
    </row>
    <row r="261" spans="1:10">
      <c r="A261" s="10">
        <v>46161.909465266202</v>
      </c>
      <c r="B261" s="11">
        <v>46161</v>
      </c>
      <c r="C261" t="s">
        <v>10</v>
      </c>
      <c r="D261" t="s">
        <v>26</v>
      </c>
      <c r="E261" t="s">
        <v>12</v>
      </c>
      <c r="F261">
        <v>215.15</v>
      </c>
      <c r="G261">
        <v>537.875</v>
      </c>
      <c r="H261">
        <v>1.2949999999999999</v>
      </c>
      <c r="I261">
        <v>76584837120</v>
      </c>
      <c r="J261" t="s">
        <v>17</v>
      </c>
    </row>
    <row r="262" spans="1:10">
      <c r="A262" s="10">
        <v>46161.909468622682</v>
      </c>
      <c r="B262" s="11">
        <v>46161</v>
      </c>
      <c r="C262" t="s">
        <v>10</v>
      </c>
      <c r="D262" t="s">
        <v>27</v>
      </c>
      <c r="E262" t="s">
        <v>12</v>
      </c>
      <c r="F262">
        <v>244.26</v>
      </c>
      <c r="G262">
        <v>163.93288000000001</v>
      </c>
      <c r="H262">
        <v>3.363</v>
      </c>
      <c r="I262">
        <v>41868099584</v>
      </c>
      <c r="J262" t="s">
        <v>22</v>
      </c>
    </row>
    <row r="263" spans="1:10">
      <c r="A263" s="10">
        <v>46161.909472141197</v>
      </c>
      <c r="B263" s="11">
        <v>46161</v>
      </c>
      <c r="C263" t="s">
        <v>10</v>
      </c>
      <c r="D263" t="s">
        <v>28</v>
      </c>
      <c r="E263" t="s">
        <v>12</v>
      </c>
      <c r="F263">
        <v>1383.29</v>
      </c>
      <c r="G263">
        <v>47.162975000000003</v>
      </c>
      <c r="I263">
        <v>204851085312</v>
      </c>
      <c r="J263" t="s">
        <v>29</v>
      </c>
    </row>
    <row r="264" spans="1:10">
      <c r="A264" s="10">
        <v>46161.909475497683</v>
      </c>
      <c r="B264" s="11">
        <v>46161</v>
      </c>
      <c r="C264" t="s">
        <v>10</v>
      </c>
      <c r="D264" t="s">
        <v>30</v>
      </c>
      <c r="E264" t="s">
        <v>12</v>
      </c>
      <c r="F264">
        <v>91.81</v>
      </c>
      <c r="G264">
        <v>18.252483000000002</v>
      </c>
      <c r="H264">
        <v>0.79700000000000004</v>
      </c>
      <c r="I264">
        <v>159670026240</v>
      </c>
      <c r="J264" t="s">
        <v>31</v>
      </c>
    </row>
    <row r="265" spans="1:10">
      <c r="A265" s="10">
        <v>46161.909479004629</v>
      </c>
      <c r="B265" s="11">
        <v>46161</v>
      </c>
      <c r="C265" t="s">
        <v>10</v>
      </c>
      <c r="D265" t="s">
        <v>32</v>
      </c>
      <c r="E265" t="s">
        <v>33</v>
      </c>
      <c r="F265">
        <v>908</v>
      </c>
      <c r="G265">
        <v>24.54054</v>
      </c>
      <c r="H265">
        <v>0.30399999999999999</v>
      </c>
      <c r="I265">
        <v>8206142464</v>
      </c>
      <c r="J265" t="s">
        <v>17</v>
      </c>
    </row>
    <row r="266" spans="1:10">
      <c r="A266" s="10">
        <v>46161.909482847223</v>
      </c>
      <c r="B266" s="11">
        <v>46161</v>
      </c>
      <c r="C266" t="s">
        <v>10</v>
      </c>
      <c r="D266" t="s">
        <v>34</v>
      </c>
      <c r="E266" t="s">
        <v>12</v>
      </c>
      <c r="F266">
        <v>222.33</v>
      </c>
      <c r="G266">
        <v>19.692647999999998</v>
      </c>
      <c r="H266">
        <v>0.58099999999999996</v>
      </c>
      <c r="I266">
        <v>208964698112</v>
      </c>
      <c r="J266" t="s">
        <v>15</v>
      </c>
    </row>
    <row r="267" spans="1:10">
      <c r="A267" s="10">
        <v>46161.909486689823</v>
      </c>
      <c r="B267" s="11">
        <v>46161</v>
      </c>
      <c r="C267" t="s">
        <v>10</v>
      </c>
      <c r="D267" t="s">
        <v>35</v>
      </c>
      <c r="E267" t="s">
        <v>12</v>
      </c>
      <c r="F267">
        <v>298.97000000000003</v>
      </c>
      <c r="G267">
        <v>36.238790000000002</v>
      </c>
      <c r="H267">
        <v>1.0649999999999999</v>
      </c>
      <c r="I267">
        <v>4391078723584</v>
      </c>
      <c r="J267" t="s">
        <v>36</v>
      </c>
    </row>
    <row r="268" spans="1:10">
      <c r="A268" s="10">
        <v>46161.9094916088</v>
      </c>
      <c r="B268" s="11">
        <v>46161</v>
      </c>
      <c r="C268" t="s">
        <v>10</v>
      </c>
      <c r="D268" t="s">
        <v>37</v>
      </c>
      <c r="E268" t="s">
        <v>12</v>
      </c>
      <c r="F268">
        <v>81.92</v>
      </c>
      <c r="G268">
        <v>25.761005000000001</v>
      </c>
      <c r="H268">
        <v>0.35599999999999998</v>
      </c>
      <c r="I268">
        <v>352459358208</v>
      </c>
      <c r="J268" t="s">
        <v>38</v>
      </c>
    </row>
    <row r="269" spans="1:10">
      <c r="A269" s="10">
        <v>46161.909495069442</v>
      </c>
      <c r="B269" s="11">
        <v>46161</v>
      </c>
      <c r="C269" t="s">
        <v>10</v>
      </c>
      <c r="D269" t="s">
        <v>39</v>
      </c>
      <c r="E269" t="s">
        <v>12</v>
      </c>
      <c r="F269">
        <v>76.69</v>
      </c>
      <c r="H269">
        <v>2.1640000000000001</v>
      </c>
      <c r="I269">
        <v>3363737344</v>
      </c>
      <c r="J269" t="s">
        <v>40</v>
      </c>
    </row>
    <row r="270" spans="1:10">
      <c r="A270" s="10">
        <v>46161.909499409718</v>
      </c>
      <c r="B270" s="11">
        <v>46161</v>
      </c>
      <c r="C270" t="s">
        <v>10</v>
      </c>
      <c r="D270" t="s">
        <v>41</v>
      </c>
      <c r="E270" t="s">
        <v>12</v>
      </c>
      <c r="F270">
        <v>602.61</v>
      </c>
      <c r="G270">
        <v>21.91309</v>
      </c>
      <c r="H270">
        <v>1.2430000000000001</v>
      </c>
      <c r="I270">
        <v>1529679183872</v>
      </c>
      <c r="J270" t="s">
        <v>42</v>
      </c>
    </row>
    <row r="271" spans="1:10">
      <c r="A271" s="10">
        <v>46161.90950292824</v>
      </c>
      <c r="B271" s="11">
        <v>46161</v>
      </c>
      <c r="C271" t="s">
        <v>10</v>
      </c>
      <c r="D271" t="s">
        <v>43</v>
      </c>
      <c r="E271" t="s">
        <v>12</v>
      </c>
      <c r="F271">
        <v>8.4499999999999993</v>
      </c>
      <c r="H271">
        <v>2.7629999999999999</v>
      </c>
      <c r="I271">
        <v>3656903424</v>
      </c>
      <c r="J271" t="s">
        <v>17</v>
      </c>
    </row>
    <row r="272" spans="1:10">
      <c r="A272" s="10">
        <v>46161.909507118064</v>
      </c>
      <c r="B272" s="11">
        <v>46161</v>
      </c>
      <c r="C272" t="s">
        <v>10</v>
      </c>
      <c r="D272" t="s">
        <v>44</v>
      </c>
      <c r="E272" t="s">
        <v>12</v>
      </c>
      <c r="F272">
        <v>181.46</v>
      </c>
      <c r="G272">
        <v>32.636691999999996</v>
      </c>
      <c r="H272">
        <v>1.544</v>
      </c>
      <c r="I272">
        <v>521887350784</v>
      </c>
      <c r="J272" t="s">
        <v>13</v>
      </c>
    </row>
    <row r="273" spans="1:10">
      <c r="A273" s="10">
        <v>46161.90951070602</v>
      </c>
      <c r="B273" s="11">
        <v>46161</v>
      </c>
      <c r="C273" t="s">
        <v>10</v>
      </c>
      <c r="D273" t="s">
        <v>45</v>
      </c>
      <c r="E273" t="s">
        <v>12</v>
      </c>
      <c r="F273">
        <v>384.9</v>
      </c>
      <c r="G273">
        <v>29.404125000000001</v>
      </c>
      <c r="H273">
        <v>1.2669999999999999</v>
      </c>
      <c r="I273">
        <v>4663234002944</v>
      </c>
      <c r="J273" t="s">
        <v>42</v>
      </c>
    </row>
    <row r="274" spans="1:10">
      <c r="A274" s="10">
        <v>46161.909514386571</v>
      </c>
      <c r="B274" s="11">
        <v>46161</v>
      </c>
      <c r="C274" t="s">
        <v>10</v>
      </c>
      <c r="D274" t="s">
        <v>46</v>
      </c>
      <c r="E274" t="s">
        <v>12</v>
      </c>
      <c r="F274">
        <v>259.33999999999997</v>
      </c>
      <c r="G274">
        <v>30.984468</v>
      </c>
      <c r="H274">
        <v>1.468</v>
      </c>
      <c r="I274">
        <v>2789748768768</v>
      </c>
      <c r="J274" t="s">
        <v>47</v>
      </c>
    </row>
    <row r="275" spans="1:10">
      <c r="A275" s="10">
        <v>46161.909517893517</v>
      </c>
      <c r="B275" s="11">
        <v>46161</v>
      </c>
      <c r="C275" t="s">
        <v>10</v>
      </c>
      <c r="D275" t="s">
        <v>48</v>
      </c>
      <c r="E275" t="s">
        <v>12</v>
      </c>
      <c r="F275">
        <v>176.27</v>
      </c>
      <c r="G275">
        <v>57.416943000000003</v>
      </c>
      <c r="H275">
        <v>2.2509999999999999</v>
      </c>
      <c r="I275">
        <v>154333757440</v>
      </c>
      <c r="J275" t="s">
        <v>22</v>
      </c>
    </row>
    <row r="276" spans="1:10">
      <c r="A276" s="10">
        <v>46161.90952228009</v>
      </c>
      <c r="B276" s="11">
        <v>46161</v>
      </c>
      <c r="C276" t="s">
        <v>10</v>
      </c>
      <c r="D276" t="s">
        <v>49</v>
      </c>
      <c r="E276" t="s">
        <v>12</v>
      </c>
      <c r="F276">
        <v>5.53</v>
      </c>
      <c r="H276">
        <v>2.2309999999999999</v>
      </c>
      <c r="I276">
        <v>1206388608</v>
      </c>
      <c r="J276" t="s">
        <v>50</v>
      </c>
    </row>
    <row r="277" spans="1:10">
      <c r="A277" s="10">
        <v>46161.909526435193</v>
      </c>
      <c r="B277" s="11">
        <v>46161</v>
      </c>
      <c r="C277" t="s">
        <v>10</v>
      </c>
      <c r="D277" t="s">
        <v>51</v>
      </c>
      <c r="E277" t="s">
        <v>12</v>
      </c>
      <c r="F277">
        <v>392.61</v>
      </c>
      <c r="G277">
        <v>33.729377999999997</v>
      </c>
      <c r="H277">
        <v>1.264</v>
      </c>
      <c r="I277">
        <v>2036232486912</v>
      </c>
      <c r="J277" t="s">
        <v>22</v>
      </c>
    </row>
    <row r="278" spans="1:10">
      <c r="A278" s="10">
        <v>46161.909530081008</v>
      </c>
      <c r="B278" s="11">
        <v>46161</v>
      </c>
      <c r="C278" t="s">
        <v>10</v>
      </c>
      <c r="D278" t="s">
        <v>52</v>
      </c>
      <c r="E278" t="s">
        <v>12</v>
      </c>
      <c r="F278">
        <v>45.53</v>
      </c>
      <c r="I278">
        <v>8175583744</v>
      </c>
      <c r="J278" t="s">
        <v>53</v>
      </c>
    </row>
    <row r="279" spans="1:10">
      <c r="A279" s="10">
        <v>46161.909533495367</v>
      </c>
      <c r="B279" s="11">
        <v>46161</v>
      </c>
      <c r="C279" t="s">
        <v>10</v>
      </c>
      <c r="D279" t="s">
        <v>54</v>
      </c>
      <c r="E279" t="s">
        <v>12</v>
      </c>
      <c r="F279">
        <v>411.07</v>
      </c>
      <c r="G279">
        <v>80.130610000000004</v>
      </c>
      <c r="H279">
        <v>1.44</v>
      </c>
      <c r="I279">
        <v>1946280132608</v>
      </c>
      <c r="J279" t="s">
        <v>22</v>
      </c>
    </row>
    <row r="280" spans="1:10">
      <c r="A280" s="10">
        <v>46161.909537025473</v>
      </c>
      <c r="B280" s="11">
        <v>46161</v>
      </c>
      <c r="C280" t="s">
        <v>10</v>
      </c>
      <c r="D280" t="s">
        <v>55</v>
      </c>
      <c r="E280" t="s">
        <v>12</v>
      </c>
      <c r="F280">
        <v>34.25</v>
      </c>
      <c r="G280">
        <v>14.636753000000001</v>
      </c>
      <c r="H280">
        <v>3.3039999999999998</v>
      </c>
      <c r="I280">
        <v>1685257600</v>
      </c>
      <c r="J280" t="s">
        <v>22</v>
      </c>
    </row>
    <row r="281" spans="1:10">
      <c r="A281" s="10">
        <v>46161.909540497683</v>
      </c>
      <c r="B281" s="11">
        <v>46161</v>
      </c>
      <c r="C281" t="s">
        <v>10</v>
      </c>
      <c r="D281" t="s">
        <v>56</v>
      </c>
      <c r="E281" t="s">
        <v>12</v>
      </c>
      <c r="F281">
        <v>8.83</v>
      </c>
      <c r="H281">
        <v>1.9870000000000001</v>
      </c>
      <c r="I281">
        <v>1282921472</v>
      </c>
      <c r="J281" t="s">
        <v>13</v>
      </c>
    </row>
    <row r="282" spans="1:10">
      <c r="A282" s="10">
        <v>46161.90954390046</v>
      </c>
      <c r="B282" s="11">
        <v>46161</v>
      </c>
      <c r="C282" t="s">
        <v>10</v>
      </c>
      <c r="D282" t="s">
        <v>57</v>
      </c>
      <c r="E282" t="s">
        <v>12</v>
      </c>
      <c r="F282">
        <v>141.58000000000001</v>
      </c>
      <c r="G282">
        <v>48.652920000000002</v>
      </c>
      <c r="H282">
        <v>1.673</v>
      </c>
      <c r="I282">
        <v>178273206272</v>
      </c>
      <c r="J282" t="s">
        <v>29</v>
      </c>
    </row>
    <row r="283" spans="1:10">
      <c r="A283" s="10">
        <v>46161.909547361109</v>
      </c>
      <c r="B283" s="11">
        <v>46161</v>
      </c>
      <c r="C283" t="s">
        <v>10</v>
      </c>
      <c r="D283" t="s">
        <v>58</v>
      </c>
      <c r="E283" t="s">
        <v>12</v>
      </c>
      <c r="F283">
        <v>45.77</v>
      </c>
      <c r="G283">
        <v>19.559830000000002</v>
      </c>
      <c r="H283">
        <v>1.5069999999999999</v>
      </c>
      <c r="I283">
        <v>2698891776</v>
      </c>
      <c r="J283" t="s">
        <v>40</v>
      </c>
    </row>
    <row r="284" spans="1:10">
      <c r="A284" s="10">
        <v>46161.909550810182</v>
      </c>
      <c r="B284" s="11">
        <v>46161</v>
      </c>
      <c r="C284" t="s">
        <v>10</v>
      </c>
      <c r="D284" t="s">
        <v>59</v>
      </c>
      <c r="E284" t="s">
        <v>12</v>
      </c>
      <c r="F284">
        <v>220.61</v>
      </c>
      <c r="G284">
        <v>45.114519999999999</v>
      </c>
      <c r="H284">
        <v>2.2440000000000002</v>
      </c>
      <c r="I284">
        <v>5343290064896</v>
      </c>
      <c r="J284" t="s">
        <v>22</v>
      </c>
    </row>
    <row r="285" spans="1:10">
      <c r="A285" s="10">
        <v>46161.909554305559</v>
      </c>
      <c r="B285" s="11">
        <v>46161</v>
      </c>
      <c r="C285" t="s">
        <v>10</v>
      </c>
      <c r="D285" t="s">
        <v>60</v>
      </c>
      <c r="E285" t="s">
        <v>12</v>
      </c>
      <c r="F285">
        <v>74.16</v>
      </c>
      <c r="G285">
        <v>36.000003999999997</v>
      </c>
      <c r="H285">
        <v>2.294</v>
      </c>
      <c r="I285">
        <v>66781462528</v>
      </c>
      <c r="J285" t="s">
        <v>31</v>
      </c>
    </row>
    <row r="286" spans="1:10">
      <c r="A286" s="10">
        <v>46161.909557916668</v>
      </c>
      <c r="B286" s="11">
        <v>46161</v>
      </c>
      <c r="C286" t="s">
        <v>10</v>
      </c>
      <c r="D286" t="s">
        <v>61</v>
      </c>
      <c r="E286" t="s">
        <v>12</v>
      </c>
      <c r="F286">
        <v>13.88</v>
      </c>
      <c r="I286">
        <v>871516992</v>
      </c>
      <c r="J286" t="s">
        <v>62</v>
      </c>
    </row>
    <row r="287" spans="1:10">
      <c r="A287" s="10">
        <v>46161.909561342603</v>
      </c>
      <c r="B287" s="11">
        <v>46161</v>
      </c>
      <c r="C287" t="s">
        <v>10</v>
      </c>
      <c r="D287" t="s">
        <v>63</v>
      </c>
      <c r="E287" t="s">
        <v>12</v>
      </c>
      <c r="F287">
        <v>414.05</v>
      </c>
      <c r="G287">
        <v>138.47826000000001</v>
      </c>
      <c r="H287">
        <v>2.399</v>
      </c>
      <c r="I287">
        <v>675150168064</v>
      </c>
      <c r="J287" t="s">
        <v>22</v>
      </c>
    </row>
    <row r="288" spans="1:10">
      <c r="A288" s="10">
        <v>46161.909564953698</v>
      </c>
      <c r="B288" s="11">
        <v>46161</v>
      </c>
      <c r="C288" t="s">
        <v>10</v>
      </c>
      <c r="D288" t="s">
        <v>64</v>
      </c>
      <c r="E288" t="s">
        <v>12</v>
      </c>
      <c r="F288">
        <v>404.11</v>
      </c>
      <c r="G288">
        <v>364.06304999999998</v>
      </c>
      <c r="H288">
        <v>1.7929999999999999</v>
      </c>
      <c r="I288">
        <v>1517725417472</v>
      </c>
      <c r="J288" t="s">
        <v>65</v>
      </c>
    </row>
    <row r="289" spans="1:10">
      <c r="A289" s="10">
        <v>46161.909569004631</v>
      </c>
      <c r="B289" s="11">
        <v>46161</v>
      </c>
      <c r="C289" t="s">
        <v>10</v>
      </c>
      <c r="D289" t="s">
        <v>66</v>
      </c>
      <c r="E289" t="s">
        <v>12</v>
      </c>
      <c r="F289">
        <v>1459.44</v>
      </c>
      <c r="G289">
        <v>48.583218000000002</v>
      </c>
      <c r="H289">
        <v>1.373</v>
      </c>
      <c r="I289">
        <v>562493915136</v>
      </c>
      <c r="J289" t="s">
        <v>40</v>
      </c>
    </row>
    <row r="290" spans="1:10">
      <c r="A290" s="10">
        <v>46161.909572476849</v>
      </c>
      <c r="B290" s="11">
        <v>46161</v>
      </c>
      <c r="C290" t="s">
        <v>10</v>
      </c>
      <c r="D290" t="s">
        <v>67</v>
      </c>
      <c r="E290" t="s">
        <v>12</v>
      </c>
      <c r="F290">
        <v>698.74</v>
      </c>
      <c r="G290">
        <v>32.959429999999998</v>
      </c>
      <c r="H290">
        <v>1.919</v>
      </c>
      <c r="I290">
        <v>787992870912</v>
      </c>
      <c r="J290" t="s">
        <v>22</v>
      </c>
    </row>
    <row r="291" spans="1:10">
      <c r="A291" s="10">
        <v>46161.909576053236</v>
      </c>
      <c r="B291" s="11">
        <v>46161</v>
      </c>
      <c r="C291" t="s">
        <v>10</v>
      </c>
      <c r="D291" t="s">
        <v>68</v>
      </c>
      <c r="E291" t="s">
        <v>12</v>
      </c>
      <c r="F291">
        <v>3.84</v>
      </c>
      <c r="H291">
        <v>3.0510000000000002</v>
      </c>
      <c r="I291">
        <v>1839165824</v>
      </c>
      <c r="J291" t="s">
        <v>15</v>
      </c>
    </row>
    <row r="292" spans="1:10">
      <c r="A292" s="10">
        <v>46161.909579710649</v>
      </c>
      <c r="B292" s="11">
        <v>46161</v>
      </c>
      <c r="C292" t="s">
        <v>10</v>
      </c>
      <c r="D292" t="s">
        <v>69</v>
      </c>
      <c r="E292" t="s">
        <v>12</v>
      </c>
      <c r="F292">
        <v>168.99</v>
      </c>
      <c r="G292">
        <v>93.364649999999997</v>
      </c>
      <c r="H292">
        <v>3.1760000000000002</v>
      </c>
      <c r="I292">
        <v>31170195456</v>
      </c>
      <c r="J292" t="s">
        <v>22</v>
      </c>
    </row>
    <row r="293" spans="1:10">
      <c r="A293" s="10">
        <v>46161.909583136578</v>
      </c>
      <c r="B293" s="11">
        <v>46161</v>
      </c>
      <c r="C293" t="s">
        <v>10</v>
      </c>
      <c r="D293" t="s">
        <v>70</v>
      </c>
      <c r="E293" t="s">
        <v>12</v>
      </c>
      <c r="F293">
        <v>99.81</v>
      </c>
      <c r="I293">
        <v>54453379072</v>
      </c>
      <c r="J293" t="s">
        <v>13</v>
      </c>
    </row>
    <row r="294" spans="1:10">
      <c r="A294" s="10">
        <v>46161.909586655092</v>
      </c>
      <c r="B294" s="11">
        <v>46161</v>
      </c>
      <c r="C294" t="s">
        <v>10</v>
      </c>
      <c r="D294" t="s">
        <v>71</v>
      </c>
      <c r="E294" t="s">
        <v>12</v>
      </c>
      <c r="F294">
        <v>110.8</v>
      </c>
      <c r="H294">
        <v>2.19</v>
      </c>
      <c r="I294">
        <v>556880822272</v>
      </c>
      <c r="J294" t="s">
        <v>22</v>
      </c>
    </row>
    <row r="295" spans="1:10">
      <c r="A295" s="10">
        <v>46161.909590138886</v>
      </c>
      <c r="B295" s="11">
        <v>46161</v>
      </c>
      <c r="C295" t="s">
        <v>10</v>
      </c>
      <c r="D295" t="s">
        <v>72</v>
      </c>
      <c r="E295" t="s">
        <v>12</v>
      </c>
      <c r="F295">
        <v>30.56</v>
      </c>
      <c r="G295">
        <v>16.084211</v>
      </c>
      <c r="H295">
        <v>1.6839999999999999</v>
      </c>
      <c r="I295">
        <v>18379347968</v>
      </c>
      <c r="J295" t="s">
        <v>29</v>
      </c>
    </row>
    <row r="296" spans="1:10">
      <c r="A296" s="10">
        <v>46161.90959354167</v>
      </c>
      <c r="B296" s="11">
        <v>46161</v>
      </c>
      <c r="C296" t="s">
        <v>10</v>
      </c>
      <c r="D296" t="s">
        <v>73</v>
      </c>
      <c r="E296" t="s">
        <v>12</v>
      </c>
      <c r="F296">
        <v>171.33</v>
      </c>
      <c r="H296">
        <v>3.7589999999999999</v>
      </c>
      <c r="I296">
        <v>13747993600</v>
      </c>
      <c r="J296" t="s">
        <v>74</v>
      </c>
    </row>
    <row r="297" spans="1:10">
      <c r="A297" s="10">
        <v>46161.909597071761</v>
      </c>
      <c r="B297" s="11">
        <v>46161</v>
      </c>
      <c r="C297" t="s">
        <v>10</v>
      </c>
      <c r="D297" t="s">
        <v>75</v>
      </c>
      <c r="E297" t="s">
        <v>12</v>
      </c>
      <c r="F297">
        <v>81.135000000000005</v>
      </c>
      <c r="H297">
        <v>3.2709999999999999</v>
      </c>
      <c r="I297">
        <v>2551959808</v>
      </c>
      <c r="J297" t="s">
        <v>40</v>
      </c>
    </row>
    <row r="298" spans="1:10">
      <c r="A298" s="10">
        <v>46161.909601388892</v>
      </c>
      <c r="B298" s="11">
        <v>46161</v>
      </c>
      <c r="C298" t="s">
        <v>10</v>
      </c>
      <c r="D298" t="s">
        <v>76</v>
      </c>
      <c r="E298" t="s">
        <v>12</v>
      </c>
      <c r="F298">
        <v>11.59</v>
      </c>
      <c r="I298">
        <v>1785782912</v>
      </c>
      <c r="J298" t="s">
        <v>77</v>
      </c>
    </row>
    <row r="299" spans="1:10">
      <c r="A299" s="10">
        <v>46161.909605104163</v>
      </c>
      <c r="B299" s="11">
        <v>46161</v>
      </c>
      <c r="C299" t="s">
        <v>10</v>
      </c>
      <c r="D299" t="s">
        <v>78</v>
      </c>
      <c r="E299" t="s">
        <v>12</v>
      </c>
      <c r="F299">
        <v>223.15</v>
      </c>
      <c r="G299">
        <v>259.47674999999998</v>
      </c>
      <c r="H299">
        <v>3.4060000000000001</v>
      </c>
      <c r="I299">
        <v>237431275520</v>
      </c>
      <c r="J299" t="s">
        <v>22</v>
      </c>
    </row>
    <row r="300" spans="1:10">
      <c r="A300" s="10">
        <v>46161.909608668982</v>
      </c>
      <c r="B300" s="11">
        <v>46161</v>
      </c>
      <c r="C300" t="s">
        <v>10</v>
      </c>
      <c r="D300" t="s">
        <v>79</v>
      </c>
      <c r="E300" t="s">
        <v>12</v>
      </c>
      <c r="F300">
        <v>48.44</v>
      </c>
      <c r="G300">
        <v>124.20513</v>
      </c>
      <c r="H300">
        <v>3.052</v>
      </c>
      <c r="I300">
        <v>18081196032</v>
      </c>
      <c r="J300" t="s">
        <v>29</v>
      </c>
    </row>
    <row r="301" spans="1:10">
      <c r="A301" s="10">
        <v>46161.909612291667</v>
      </c>
      <c r="B301" s="11">
        <v>46161</v>
      </c>
      <c r="C301" t="s">
        <v>10</v>
      </c>
      <c r="D301" t="s">
        <v>80</v>
      </c>
      <c r="E301" t="s">
        <v>12</v>
      </c>
      <c r="F301">
        <v>13.07</v>
      </c>
      <c r="H301">
        <v>0.54300000000000004</v>
      </c>
      <c r="I301">
        <v>1995935104</v>
      </c>
      <c r="J301" t="s">
        <v>22</v>
      </c>
    </row>
    <row r="302" spans="1:10">
      <c r="A302" s="10">
        <v>46161.911885729169</v>
      </c>
      <c r="B302" s="11">
        <v>46161</v>
      </c>
      <c r="C302" t="s">
        <v>10</v>
      </c>
      <c r="D302" t="s">
        <v>11</v>
      </c>
      <c r="E302" t="s">
        <v>12</v>
      </c>
      <c r="F302">
        <v>10.55</v>
      </c>
      <c r="G302">
        <v>20.288464000000001</v>
      </c>
      <c r="H302">
        <v>0.90900000000000003</v>
      </c>
      <c r="I302">
        <v>5490677760</v>
      </c>
      <c r="J302" t="s">
        <v>13</v>
      </c>
    </row>
    <row r="303" spans="1:10">
      <c r="A303" s="10">
        <v>46161.911889212963</v>
      </c>
      <c r="B303" s="11">
        <v>46161</v>
      </c>
      <c r="C303" t="s">
        <v>10</v>
      </c>
      <c r="D303" t="s">
        <v>14</v>
      </c>
      <c r="E303" t="s">
        <v>12</v>
      </c>
      <c r="F303">
        <v>88.19</v>
      </c>
      <c r="G303">
        <v>78.741069999999993</v>
      </c>
      <c r="H303">
        <v>2.403</v>
      </c>
      <c r="I303">
        <v>2879876096</v>
      </c>
      <c r="J303" t="s">
        <v>15</v>
      </c>
    </row>
    <row r="304" spans="1:10">
      <c r="A304" s="10">
        <v>46161.911892546297</v>
      </c>
      <c r="B304" s="11">
        <v>46161</v>
      </c>
      <c r="C304" t="s">
        <v>10</v>
      </c>
      <c r="D304" t="s">
        <v>16</v>
      </c>
      <c r="E304" t="s">
        <v>12</v>
      </c>
      <c r="F304">
        <v>101.83</v>
      </c>
      <c r="G304">
        <v>60.613100000000003</v>
      </c>
      <c r="H304">
        <v>0.81899999999999995</v>
      </c>
      <c r="I304">
        <v>105018097664</v>
      </c>
      <c r="J304" t="s">
        <v>17</v>
      </c>
    </row>
    <row r="305" spans="1:10">
      <c r="A305" s="10">
        <v>46161.91189599537</v>
      </c>
      <c r="B305" s="11">
        <v>46161</v>
      </c>
      <c r="C305" t="s">
        <v>10</v>
      </c>
      <c r="D305" t="s">
        <v>18</v>
      </c>
      <c r="E305" t="s">
        <v>12</v>
      </c>
      <c r="F305">
        <v>22.52</v>
      </c>
      <c r="G305">
        <v>34.646155999999998</v>
      </c>
      <c r="H305">
        <v>1.325</v>
      </c>
      <c r="I305">
        <v>1724220928</v>
      </c>
      <c r="J305" t="s">
        <v>13</v>
      </c>
    </row>
    <row r="306" spans="1:10">
      <c r="A306" s="10">
        <v>46161.911901724539</v>
      </c>
      <c r="B306" s="11">
        <v>46161</v>
      </c>
      <c r="C306" t="s">
        <v>10</v>
      </c>
      <c r="D306" t="s">
        <v>19</v>
      </c>
      <c r="E306" t="s">
        <v>12</v>
      </c>
      <c r="F306">
        <v>254.99</v>
      </c>
      <c r="G306">
        <v>14.868221999999999</v>
      </c>
      <c r="H306">
        <v>1.417</v>
      </c>
      <c r="I306">
        <v>103066959872</v>
      </c>
      <c r="J306" t="s">
        <v>17</v>
      </c>
    </row>
    <row r="307" spans="1:10">
      <c r="A307" s="10">
        <v>46161.911905960653</v>
      </c>
      <c r="B307" s="11">
        <v>46161</v>
      </c>
      <c r="C307" t="s">
        <v>10</v>
      </c>
      <c r="D307" t="s">
        <v>20</v>
      </c>
      <c r="E307" t="s">
        <v>12</v>
      </c>
      <c r="F307">
        <v>100.09</v>
      </c>
      <c r="G307">
        <v>17.969479</v>
      </c>
      <c r="H307">
        <v>0.57899999999999996</v>
      </c>
      <c r="I307">
        <v>3524870144</v>
      </c>
      <c r="J307" t="s">
        <v>13</v>
      </c>
    </row>
    <row r="308" spans="1:10">
      <c r="A308" s="10">
        <v>46161.911909421287</v>
      </c>
      <c r="B308" s="11">
        <v>46161</v>
      </c>
      <c r="C308" t="s">
        <v>10</v>
      </c>
      <c r="D308" t="s">
        <v>21</v>
      </c>
      <c r="E308" t="s">
        <v>12</v>
      </c>
      <c r="F308">
        <v>70.349999999999994</v>
      </c>
      <c r="G308">
        <v>29.312498000000001</v>
      </c>
      <c r="H308">
        <v>1.476</v>
      </c>
      <c r="I308">
        <v>10581059584</v>
      </c>
      <c r="J308" t="s">
        <v>22</v>
      </c>
    </row>
    <row r="309" spans="1:10">
      <c r="A309" s="10">
        <v>46161.9119130787</v>
      </c>
      <c r="B309" s="11">
        <v>46161</v>
      </c>
      <c r="C309" t="s">
        <v>10</v>
      </c>
      <c r="D309" t="s">
        <v>23</v>
      </c>
      <c r="E309" t="s">
        <v>12</v>
      </c>
      <c r="F309">
        <v>417.42</v>
      </c>
      <c r="G309">
        <v>24.890877</v>
      </c>
      <c r="H309">
        <v>1.093</v>
      </c>
      <c r="I309">
        <v>3100777381888</v>
      </c>
      <c r="J309" t="s">
        <v>13</v>
      </c>
    </row>
    <row r="310" spans="1:10">
      <c r="A310" s="10">
        <v>46161.911916759258</v>
      </c>
      <c r="B310" s="11">
        <v>46161</v>
      </c>
      <c r="C310" t="s">
        <v>10</v>
      </c>
      <c r="D310" t="s">
        <v>24</v>
      </c>
      <c r="E310" t="s">
        <v>12</v>
      </c>
      <c r="F310">
        <v>476.9</v>
      </c>
      <c r="G310">
        <v>41.397568</v>
      </c>
      <c r="H310">
        <v>2.3660000000000001</v>
      </c>
      <c r="I310">
        <v>160209551360</v>
      </c>
      <c r="J310" t="s">
        <v>25</v>
      </c>
    </row>
    <row r="311" spans="1:10">
      <c r="A311" s="10">
        <v>46161.911922476851</v>
      </c>
      <c r="B311" s="11">
        <v>46161</v>
      </c>
      <c r="C311" t="s">
        <v>10</v>
      </c>
      <c r="D311" t="s">
        <v>26</v>
      </c>
      <c r="E311" t="s">
        <v>12</v>
      </c>
      <c r="F311">
        <v>215.15</v>
      </c>
      <c r="G311">
        <v>537.875</v>
      </c>
      <c r="H311">
        <v>1.2949999999999999</v>
      </c>
      <c r="I311">
        <v>76584837120</v>
      </c>
      <c r="J311" t="s">
        <v>17</v>
      </c>
    </row>
    <row r="312" spans="1:10">
      <c r="A312" s="10">
        <v>46161.911926203713</v>
      </c>
      <c r="B312" s="11">
        <v>46161</v>
      </c>
      <c r="C312" t="s">
        <v>10</v>
      </c>
      <c r="D312" t="s">
        <v>27</v>
      </c>
      <c r="E312" t="s">
        <v>12</v>
      </c>
      <c r="F312">
        <v>244.26</v>
      </c>
      <c r="G312">
        <v>163.93288000000001</v>
      </c>
      <c r="H312">
        <v>3.363</v>
      </c>
      <c r="I312">
        <v>41868099584</v>
      </c>
      <c r="J312" t="s">
        <v>22</v>
      </c>
    </row>
    <row r="313" spans="1:10">
      <c r="A313" s="10">
        <v>46161.911929745373</v>
      </c>
      <c r="B313" s="11">
        <v>46161</v>
      </c>
      <c r="C313" t="s">
        <v>10</v>
      </c>
      <c r="D313" t="s">
        <v>28</v>
      </c>
      <c r="E313" t="s">
        <v>12</v>
      </c>
      <c r="F313">
        <v>1383.29</v>
      </c>
      <c r="G313">
        <v>47.162975000000003</v>
      </c>
      <c r="I313">
        <v>204851085312</v>
      </c>
      <c r="J313" t="s">
        <v>29</v>
      </c>
    </row>
    <row r="314" spans="1:10">
      <c r="A314" s="10">
        <v>46161.911933541669</v>
      </c>
      <c r="B314" s="11">
        <v>46161</v>
      </c>
      <c r="C314" t="s">
        <v>10</v>
      </c>
      <c r="D314" t="s">
        <v>30</v>
      </c>
      <c r="E314" t="s">
        <v>12</v>
      </c>
      <c r="F314">
        <v>91.81</v>
      </c>
      <c r="G314">
        <v>18.252483000000002</v>
      </c>
      <c r="H314">
        <v>0.79700000000000004</v>
      </c>
      <c r="I314">
        <v>159670026240</v>
      </c>
      <c r="J314" t="s">
        <v>31</v>
      </c>
    </row>
    <row r="315" spans="1:10">
      <c r="A315" s="10">
        <v>46161.91193707176</v>
      </c>
      <c r="B315" s="11">
        <v>46161</v>
      </c>
      <c r="C315" t="s">
        <v>10</v>
      </c>
      <c r="D315" t="s">
        <v>32</v>
      </c>
      <c r="E315" t="s">
        <v>33</v>
      </c>
      <c r="F315">
        <v>908</v>
      </c>
      <c r="G315">
        <v>24.54054</v>
      </c>
      <c r="H315">
        <v>0.30399999999999999</v>
      </c>
      <c r="I315">
        <v>8206142464</v>
      </c>
      <c r="J315" t="s">
        <v>17</v>
      </c>
    </row>
    <row r="316" spans="1:10">
      <c r="A316" s="10">
        <v>46161.911940543992</v>
      </c>
      <c r="B316" s="11">
        <v>46161</v>
      </c>
      <c r="C316" t="s">
        <v>10</v>
      </c>
      <c r="D316" t="s">
        <v>34</v>
      </c>
      <c r="E316" t="s">
        <v>12</v>
      </c>
      <c r="F316">
        <v>222.33</v>
      </c>
      <c r="G316">
        <v>19.692647999999998</v>
      </c>
      <c r="H316">
        <v>0.58099999999999996</v>
      </c>
      <c r="I316">
        <v>208964698112</v>
      </c>
      <c r="J316" t="s">
        <v>15</v>
      </c>
    </row>
    <row r="317" spans="1:10">
      <c r="A317" s="10">
        <v>46161.911944050917</v>
      </c>
      <c r="B317" s="11">
        <v>46161</v>
      </c>
      <c r="C317" t="s">
        <v>10</v>
      </c>
      <c r="D317" t="s">
        <v>35</v>
      </c>
      <c r="E317" t="s">
        <v>12</v>
      </c>
      <c r="F317">
        <v>298.97000000000003</v>
      </c>
      <c r="G317">
        <v>36.238790000000002</v>
      </c>
      <c r="H317">
        <v>1.0649999999999999</v>
      </c>
      <c r="I317">
        <v>4391078723584</v>
      </c>
      <c r="J317" t="s">
        <v>36</v>
      </c>
    </row>
    <row r="318" spans="1:10">
      <c r="A318" s="10">
        <v>46161.911947615743</v>
      </c>
      <c r="B318" s="11">
        <v>46161</v>
      </c>
      <c r="C318" t="s">
        <v>10</v>
      </c>
      <c r="D318" t="s">
        <v>37</v>
      </c>
      <c r="E318" t="s">
        <v>12</v>
      </c>
      <c r="F318">
        <v>81.92</v>
      </c>
      <c r="G318">
        <v>25.761005000000001</v>
      </c>
      <c r="H318">
        <v>0.35599999999999998</v>
      </c>
      <c r="I318">
        <v>352459358208</v>
      </c>
      <c r="J318" t="s">
        <v>38</v>
      </c>
    </row>
    <row r="319" spans="1:10">
      <c r="A319" s="10">
        <v>46161.911951388887</v>
      </c>
      <c r="B319" s="11">
        <v>46161</v>
      </c>
      <c r="C319" t="s">
        <v>10</v>
      </c>
      <c r="D319" t="s">
        <v>39</v>
      </c>
      <c r="E319" t="s">
        <v>12</v>
      </c>
      <c r="F319">
        <v>76.69</v>
      </c>
      <c r="H319">
        <v>2.1640000000000001</v>
      </c>
      <c r="I319">
        <v>3363737344</v>
      </c>
      <c r="J319" t="s">
        <v>40</v>
      </c>
    </row>
    <row r="320" spans="1:10">
      <c r="A320" s="10">
        <v>46161.911954884257</v>
      </c>
      <c r="B320" s="11">
        <v>46161</v>
      </c>
      <c r="C320" t="s">
        <v>10</v>
      </c>
      <c r="D320" t="s">
        <v>41</v>
      </c>
      <c r="E320" t="s">
        <v>12</v>
      </c>
      <c r="F320">
        <v>602.61</v>
      </c>
      <c r="G320">
        <v>21.91309</v>
      </c>
      <c r="H320">
        <v>1.2430000000000001</v>
      </c>
      <c r="I320">
        <v>1529679183872</v>
      </c>
      <c r="J320" t="s">
        <v>42</v>
      </c>
    </row>
    <row r="321" spans="1:10">
      <c r="A321" s="10">
        <v>46161.911958344906</v>
      </c>
      <c r="B321" s="11">
        <v>46161</v>
      </c>
      <c r="C321" t="s">
        <v>10</v>
      </c>
      <c r="D321" t="s">
        <v>43</v>
      </c>
      <c r="E321" t="s">
        <v>12</v>
      </c>
      <c r="F321">
        <v>8.4499999999999993</v>
      </c>
      <c r="H321">
        <v>2.7629999999999999</v>
      </c>
      <c r="I321">
        <v>3656903424</v>
      </c>
      <c r="J321" t="s">
        <v>17</v>
      </c>
    </row>
    <row r="322" spans="1:10">
      <c r="A322" s="10">
        <v>46161.911961840276</v>
      </c>
      <c r="B322" s="11">
        <v>46161</v>
      </c>
      <c r="C322" t="s">
        <v>10</v>
      </c>
      <c r="D322" t="s">
        <v>44</v>
      </c>
      <c r="E322" t="s">
        <v>12</v>
      </c>
      <c r="F322">
        <v>181.46</v>
      </c>
      <c r="G322">
        <v>32.636691999999996</v>
      </c>
      <c r="H322">
        <v>1.544</v>
      </c>
      <c r="I322">
        <v>521887350784</v>
      </c>
      <c r="J322" t="s">
        <v>13</v>
      </c>
    </row>
    <row r="323" spans="1:10">
      <c r="A323" s="10">
        <v>46161.911965335647</v>
      </c>
      <c r="B323" s="11">
        <v>46161</v>
      </c>
      <c r="C323" t="s">
        <v>10</v>
      </c>
      <c r="D323" t="s">
        <v>45</v>
      </c>
      <c r="E323" t="s">
        <v>12</v>
      </c>
      <c r="F323">
        <v>384.9</v>
      </c>
      <c r="G323">
        <v>29.404125000000001</v>
      </c>
      <c r="H323">
        <v>1.2669999999999999</v>
      </c>
      <c r="I323">
        <v>4663234002944</v>
      </c>
      <c r="J323" t="s">
        <v>42</v>
      </c>
    </row>
    <row r="324" spans="1:10">
      <c r="A324" s="10">
        <v>46161.911968773151</v>
      </c>
      <c r="B324" s="11">
        <v>46161</v>
      </c>
      <c r="C324" t="s">
        <v>10</v>
      </c>
      <c r="D324" t="s">
        <v>46</v>
      </c>
      <c r="E324" t="s">
        <v>12</v>
      </c>
      <c r="F324">
        <v>259.33999999999997</v>
      </c>
      <c r="G324">
        <v>30.984468</v>
      </c>
      <c r="H324">
        <v>1.468</v>
      </c>
      <c r="I324">
        <v>2789748768768</v>
      </c>
      <c r="J324" t="s">
        <v>47</v>
      </c>
    </row>
    <row r="325" spans="1:10">
      <c r="A325" s="10">
        <v>46161.911972187503</v>
      </c>
      <c r="B325" s="11">
        <v>46161</v>
      </c>
      <c r="C325" t="s">
        <v>10</v>
      </c>
      <c r="D325" t="s">
        <v>48</v>
      </c>
      <c r="E325" t="s">
        <v>12</v>
      </c>
      <c r="F325">
        <v>176.27</v>
      </c>
      <c r="G325">
        <v>57.416943000000003</v>
      </c>
      <c r="H325">
        <v>2.2509999999999999</v>
      </c>
      <c r="I325">
        <v>154333757440</v>
      </c>
      <c r="J325" t="s">
        <v>22</v>
      </c>
    </row>
    <row r="326" spans="1:10">
      <c r="A326" s="10">
        <v>46161.911975567127</v>
      </c>
      <c r="B326" s="11">
        <v>46161</v>
      </c>
      <c r="C326" t="s">
        <v>10</v>
      </c>
      <c r="D326" t="s">
        <v>49</v>
      </c>
      <c r="E326" t="s">
        <v>12</v>
      </c>
      <c r="F326">
        <v>5.53</v>
      </c>
      <c r="H326">
        <v>2.2309999999999999</v>
      </c>
      <c r="I326">
        <v>1206388608</v>
      </c>
      <c r="J326" t="s">
        <v>50</v>
      </c>
    </row>
    <row r="327" spans="1:10">
      <c r="A327" s="10">
        <v>46161.911979259261</v>
      </c>
      <c r="B327" s="11">
        <v>46161</v>
      </c>
      <c r="C327" t="s">
        <v>10</v>
      </c>
      <c r="D327" t="s">
        <v>51</v>
      </c>
      <c r="E327" t="s">
        <v>12</v>
      </c>
      <c r="F327">
        <v>392.61</v>
      </c>
      <c r="G327">
        <v>33.729377999999997</v>
      </c>
      <c r="H327">
        <v>1.264</v>
      </c>
      <c r="I327">
        <v>2036232486912</v>
      </c>
      <c r="J327" t="s">
        <v>22</v>
      </c>
    </row>
    <row r="328" spans="1:10">
      <c r="A328" s="10">
        <v>46161.911982696758</v>
      </c>
      <c r="B328" s="11">
        <v>46161</v>
      </c>
      <c r="C328" t="s">
        <v>10</v>
      </c>
      <c r="D328" t="s">
        <v>52</v>
      </c>
      <c r="E328" t="s">
        <v>12</v>
      </c>
      <c r="F328">
        <v>45.53</v>
      </c>
      <c r="I328">
        <v>8175583744</v>
      </c>
      <c r="J328" t="s">
        <v>53</v>
      </c>
    </row>
    <row r="329" spans="1:10">
      <c r="A329" s="10">
        <v>46161.91198665509</v>
      </c>
      <c r="B329" s="11">
        <v>46161</v>
      </c>
      <c r="C329" t="s">
        <v>10</v>
      </c>
      <c r="D329" t="s">
        <v>54</v>
      </c>
      <c r="E329" t="s">
        <v>12</v>
      </c>
      <c r="F329">
        <v>411.07</v>
      </c>
      <c r="G329">
        <v>80.130610000000004</v>
      </c>
      <c r="H329">
        <v>1.44</v>
      </c>
      <c r="I329">
        <v>1946280132608</v>
      </c>
      <c r="J329" t="s">
        <v>22</v>
      </c>
    </row>
    <row r="330" spans="1:10">
      <c r="A330" s="10">
        <v>46161.91199108796</v>
      </c>
      <c r="B330" s="11">
        <v>46161</v>
      </c>
      <c r="C330" t="s">
        <v>10</v>
      </c>
      <c r="D330" t="s">
        <v>55</v>
      </c>
      <c r="E330" t="s">
        <v>12</v>
      </c>
      <c r="F330">
        <v>34.25</v>
      </c>
      <c r="G330">
        <v>14.636753000000001</v>
      </c>
      <c r="H330">
        <v>3.3039999999999998</v>
      </c>
      <c r="I330">
        <v>1685257600</v>
      </c>
      <c r="J330" t="s">
        <v>22</v>
      </c>
    </row>
    <row r="331" spans="1:10">
      <c r="A331" s="10">
        <v>46161.91199537037</v>
      </c>
      <c r="B331" s="11">
        <v>46161</v>
      </c>
      <c r="C331" t="s">
        <v>10</v>
      </c>
      <c r="D331" t="s">
        <v>56</v>
      </c>
      <c r="E331" t="s">
        <v>12</v>
      </c>
      <c r="F331">
        <v>8.83</v>
      </c>
      <c r="H331">
        <v>1.9870000000000001</v>
      </c>
      <c r="I331">
        <v>1282921472</v>
      </c>
      <c r="J331" t="s">
        <v>13</v>
      </c>
    </row>
    <row r="332" spans="1:10">
      <c r="A332" s="10">
        <v>46161.911999317133</v>
      </c>
      <c r="B332" s="11">
        <v>46161</v>
      </c>
      <c r="C332" t="s">
        <v>10</v>
      </c>
      <c r="D332" t="s">
        <v>57</v>
      </c>
      <c r="E332" t="s">
        <v>12</v>
      </c>
      <c r="F332">
        <v>141.58000000000001</v>
      </c>
      <c r="G332">
        <v>48.652920000000002</v>
      </c>
      <c r="H332">
        <v>1.673</v>
      </c>
      <c r="I332">
        <v>178273206272</v>
      </c>
      <c r="J332" t="s">
        <v>29</v>
      </c>
    </row>
    <row r="333" spans="1:10">
      <c r="A333" s="10">
        <v>46161.912002766207</v>
      </c>
      <c r="B333" s="11">
        <v>46161</v>
      </c>
      <c r="C333" t="s">
        <v>10</v>
      </c>
      <c r="D333" t="s">
        <v>58</v>
      </c>
      <c r="E333" t="s">
        <v>12</v>
      </c>
      <c r="F333">
        <v>45.77</v>
      </c>
      <c r="G333">
        <v>19.559830000000002</v>
      </c>
      <c r="H333">
        <v>1.5069999999999999</v>
      </c>
      <c r="I333">
        <v>2698891776</v>
      </c>
      <c r="J333" t="s">
        <v>40</v>
      </c>
    </row>
    <row r="334" spans="1:10">
      <c r="A334" s="10">
        <v>46161.912006539351</v>
      </c>
      <c r="B334" s="11">
        <v>46161</v>
      </c>
      <c r="C334" t="s">
        <v>10</v>
      </c>
      <c r="D334" t="s">
        <v>59</v>
      </c>
      <c r="E334" t="s">
        <v>12</v>
      </c>
      <c r="F334">
        <v>220.61</v>
      </c>
      <c r="G334">
        <v>45.114519999999999</v>
      </c>
      <c r="H334">
        <v>2.2440000000000002</v>
      </c>
      <c r="I334">
        <v>5343290064896</v>
      </c>
      <c r="J334" t="s">
        <v>22</v>
      </c>
    </row>
    <row r="335" spans="1:10">
      <c r="A335" s="10">
        <v>46161.912010069442</v>
      </c>
      <c r="B335" s="11">
        <v>46161</v>
      </c>
      <c r="C335" t="s">
        <v>10</v>
      </c>
      <c r="D335" t="s">
        <v>60</v>
      </c>
      <c r="E335" t="s">
        <v>12</v>
      </c>
      <c r="F335">
        <v>74.16</v>
      </c>
      <c r="G335">
        <v>36.000003999999997</v>
      </c>
      <c r="H335">
        <v>2.294</v>
      </c>
      <c r="I335">
        <v>66781462528</v>
      </c>
      <c r="J335" t="s">
        <v>31</v>
      </c>
    </row>
    <row r="336" spans="1:10">
      <c r="A336" s="10">
        <v>46161.912013912042</v>
      </c>
      <c r="B336" s="11">
        <v>46161</v>
      </c>
      <c r="C336" t="s">
        <v>10</v>
      </c>
      <c r="D336" t="s">
        <v>61</v>
      </c>
      <c r="E336" t="s">
        <v>12</v>
      </c>
      <c r="F336">
        <v>13.88</v>
      </c>
      <c r="I336">
        <v>871516992</v>
      </c>
      <c r="J336" t="s">
        <v>62</v>
      </c>
    </row>
    <row r="337" spans="1:10">
      <c r="A337" s="10">
        <v>46161.912017557872</v>
      </c>
      <c r="B337" s="11">
        <v>46161</v>
      </c>
      <c r="C337" t="s">
        <v>10</v>
      </c>
      <c r="D337" t="s">
        <v>63</v>
      </c>
      <c r="E337" t="s">
        <v>12</v>
      </c>
      <c r="F337">
        <v>414.05</v>
      </c>
      <c r="G337">
        <v>138.47826000000001</v>
      </c>
      <c r="H337">
        <v>2.399</v>
      </c>
      <c r="I337">
        <v>675150168064</v>
      </c>
      <c r="J337" t="s">
        <v>22</v>
      </c>
    </row>
    <row r="338" spans="1:10">
      <c r="A338" s="10">
        <v>46161.912020914351</v>
      </c>
      <c r="B338" s="11">
        <v>46161</v>
      </c>
      <c r="C338" t="s">
        <v>10</v>
      </c>
      <c r="D338" t="s">
        <v>64</v>
      </c>
      <c r="E338" t="s">
        <v>12</v>
      </c>
      <c r="F338">
        <v>404.11</v>
      </c>
      <c r="G338">
        <v>364.06304999999998</v>
      </c>
      <c r="H338">
        <v>1.7929999999999999</v>
      </c>
      <c r="I338">
        <v>1517725417472</v>
      </c>
      <c r="J338" t="s">
        <v>65</v>
      </c>
    </row>
    <row r="339" spans="1:10">
      <c r="A339" s="10">
        <v>46161.912024282406</v>
      </c>
      <c r="B339" s="11">
        <v>46161</v>
      </c>
      <c r="C339" t="s">
        <v>10</v>
      </c>
      <c r="D339" t="s">
        <v>66</v>
      </c>
      <c r="E339" t="s">
        <v>12</v>
      </c>
      <c r="F339">
        <v>1459.44</v>
      </c>
      <c r="G339">
        <v>48.583218000000002</v>
      </c>
      <c r="H339">
        <v>1.373</v>
      </c>
      <c r="I339">
        <v>562493915136</v>
      </c>
      <c r="J339" t="s">
        <v>40</v>
      </c>
    </row>
    <row r="340" spans="1:10">
      <c r="A340" s="10">
        <v>46161.912028055558</v>
      </c>
      <c r="B340" s="11">
        <v>46161</v>
      </c>
      <c r="C340" t="s">
        <v>10</v>
      </c>
      <c r="D340" t="s">
        <v>67</v>
      </c>
      <c r="E340" t="s">
        <v>12</v>
      </c>
      <c r="F340">
        <v>698.74</v>
      </c>
      <c r="G340">
        <v>32.959429999999998</v>
      </c>
      <c r="H340">
        <v>1.919</v>
      </c>
      <c r="I340">
        <v>787992870912</v>
      </c>
      <c r="J340" t="s">
        <v>22</v>
      </c>
    </row>
    <row r="341" spans="1:10">
      <c r="A341" s="10">
        <v>46161.912031701388</v>
      </c>
      <c r="B341" s="11">
        <v>46161</v>
      </c>
      <c r="C341" t="s">
        <v>10</v>
      </c>
      <c r="D341" t="s">
        <v>68</v>
      </c>
      <c r="E341" t="s">
        <v>12</v>
      </c>
      <c r="F341">
        <v>3.84</v>
      </c>
      <c r="H341">
        <v>3.0510000000000002</v>
      </c>
      <c r="I341">
        <v>1839165824</v>
      </c>
      <c r="J341" t="s">
        <v>15</v>
      </c>
    </row>
    <row r="342" spans="1:10">
      <c r="A342" s="10">
        <v>46161.912035127323</v>
      </c>
      <c r="B342" s="11">
        <v>46161</v>
      </c>
      <c r="C342" t="s">
        <v>10</v>
      </c>
      <c r="D342" t="s">
        <v>69</v>
      </c>
      <c r="E342" t="s">
        <v>12</v>
      </c>
      <c r="F342">
        <v>168.99</v>
      </c>
      <c r="G342">
        <v>93.364649999999997</v>
      </c>
      <c r="H342">
        <v>3.1760000000000002</v>
      </c>
      <c r="I342">
        <v>31170195456</v>
      </c>
      <c r="J342" t="s">
        <v>22</v>
      </c>
    </row>
    <row r="343" spans="1:10">
      <c r="A343" s="10">
        <v>46161.912038553237</v>
      </c>
      <c r="B343" s="11">
        <v>46161</v>
      </c>
      <c r="C343" t="s">
        <v>10</v>
      </c>
      <c r="D343" t="s">
        <v>70</v>
      </c>
      <c r="E343" t="s">
        <v>12</v>
      </c>
      <c r="F343">
        <v>99.81</v>
      </c>
      <c r="I343">
        <v>54453379072</v>
      </c>
      <c r="J343" t="s">
        <v>13</v>
      </c>
    </row>
    <row r="344" spans="1:10">
      <c r="A344" s="10">
        <v>46161.912041979172</v>
      </c>
      <c r="B344" s="11">
        <v>46161</v>
      </c>
      <c r="C344" t="s">
        <v>10</v>
      </c>
      <c r="D344" t="s">
        <v>71</v>
      </c>
      <c r="E344" t="s">
        <v>12</v>
      </c>
      <c r="F344">
        <v>110.8</v>
      </c>
      <c r="H344">
        <v>2.19</v>
      </c>
      <c r="I344">
        <v>556880822272</v>
      </c>
      <c r="J344" t="s">
        <v>22</v>
      </c>
    </row>
    <row r="345" spans="1:10">
      <c r="A345" s="10">
        <v>46161.912045636571</v>
      </c>
      <c r="B345" s="11">
        <v>46161</v>
      </c>
      <c r="C345" t="s">
        <v>10</v>
      </c>
      <c r="D345" t="s">
        <v>72</v>
      </c>
      <c r="E345" t="s">
        <v>12</v>
      </c>
      <c r="F345">
        <v>30.56</v>
      </c>
      <c r="G345">
        <v>16.084211</v>
      </c>
      <c r="H345">
        <v>1.6839999999999999</v>
      </c>
      <c r="I345">
        <v>18379347968</v>
      </c>
      <c r="J345" t="s">
        <v>29</v>
      </c>
    </row>
    <row r="346" spans="1:10">
      <c r="A346" s="10">
        <v>46161.912049212973</v>
      </c>
      <c r="B346" s="11">
        <v>46161</v>
      </c>
      <c r="C346" t="s">
        <v>10</v>
      </c>
      <c r="D346" t="s">
        <v>73</v>
      </c>
      <c r="E346" t="s">
        <v>12</v>
      </c>
      <c r="F346">
        <v>171.33</v>
      </c>
      <c r="H346">
        <v>3.7589999999999999</v>
      </c>
      <c r="I346">
        <v>13747993600</v>
      </c>
      <c r="J346" t="s">
        <v>74</v>
      </c>
    </row>
    <row r="347" spans="1:10">
      <c r="A347" s="10">
        <v>46161.91205269676</v>
      </c>
      <c r="B347" s="11">
        <v>46161</v>
      </c>
      <c r="C347" t="s">
        <v>10</v>
      </c>
      <c r="D347" t="s">
        <v>75</v>
      </c>
      <c r="E347" t="s">
        <v>12</v>
      </c>
      <c r="F347">
        <v>81.135000000000005</v>
      </c>
      <c r="H347">
        <v>3.2709999999999999</v>
      </c>
      <c r="I347">
        <v>2551959808</v>
      </c>
      <c r="J347" t="s">
        <v>40</v>
      </c>
    </row>
    <row r="348" spans="1:10">
      <c r="A348" s="10">
        <v>46161.912055995374</v>
      </c>
      <c r="B348" s="11">
        <v>46161</v>
      </c>
      <c r="C348" t="s">
        <v>10</v>
      </c>
      <c r="D348" t="s">
        <v>76</v>
      </c>
      <c r="E348" t="s">
        <v>12</v>
      </c>
      <c r="F348">
        <v>11.59</v>
      </c>
      <c r="I348">
        <v>1785782912</v>
      </c>
      <c r="J348" t="s">
        <v>77</v>
      </c>
    </row>
    <row r="349" spans="1:10">
      <c r="A349" s="10">
        <v>46161.912059548609</v>
      </c>
      <c r="B349" s="11">
        <v>46161</v>
      </c>
      <c r="C349" t="s">
        <v>10</v>
      </c>
      <c r="D349" t="s">
        <v>78</v>
      </c>
      <c r="E349" t="s">
        <v>12</v>
      </c>
      <c r="F349">
        <v>223.15</v>
      </c>
      <c r="G349">
        <v>259.47674999999998</v>
      </c>
      <c r="H349">
        <v>3.4060000000000001</v>
      </c>
      <c r="I349">
        <v>237431275520</v>
      </c>
      <c r="J349" t="s">
        <v>22</v>
      </c>
    </row>
    <row r="350" spans="1:10">
      <c r="A350" s="10">
        <v>46161.912063229167</v>
      </c>
      <c r="B350" s="11">
        <v>46161</v>
      </c>
      <c r="C350" t="s">
        <v>10</v>
      </c>
      <c r="D350" t="s">
        <v>79</v>
      </c>
      <c r="E350" t="s">
        <v>12</v>
      </c>
      <c r="F350">
        <v>48.44</v>
      </c>
      <c r="G350">
        <v>124.20513</v>
      </c>
      <c r="H350">
        <v>3.052</v>
      </c>
      <c r="I350">
        <v>18081196032</v>
      </c>
      <c r="J350" t="s">
        <v>29</v>
      </c>
    </row>
    <row r="351" spans="1:10">
      <c r="A351" s="10">
        <v>46161.912066666657</v>
      </c>
      <c r="B351" s="11">
        <v>46161</v>
      </c>
      <c r="C351" t="s">
        <v>10</v>
      </c>
      <c r="D351" t="s">
        <v>80</v>
      </c>
      <c r="E351" t="s">
        <v>12</v>
      </c>
      <c r="F351">
        <v>13.07</v>
      </c>
      <c r="H351">
        <v>0.54300000000000004</v>
      </c>
      <c r="I351">
        <v>1995935104</v>
      </c>
      <c r="J351" t="s">
        <v>22</v>
      </c>
    </row>
    <row r="352" spans="1:10">
      <c r="A352" s="10">
        <v>46161.915294511753</v>
      </c>
      <c r="B352" s="11">
        <v>46161</v>
      </c>
      <c r="C352" t="s">
        <v>10</v>
      </c>
      <c r="D352" t="s">
        <v>11</v>
      </c>
      <c r="E352" t="s">
        <v>12</v>
      </c>
      <c r="F352">
        <v>10.55</v>
      </c>
      <c r="G352">
        <v>20.288464000000001</v>
      </c>
      <c r="H352">
        <v>0.90900000000000003</v>
      </c>
      <c r="I352">
        <v>5490677760</v>
      </c>
      <c r="J352" t="s">
        <v>13</v>
      </c>
    </row>
    <row r="353" spans="1:10">
      <c r="A353" s="10">
        <v>46161.915298102191</v>
      </c>
      <c r="B353" s="11">
        <v>46161</v>
      </c>
      <c r="C353" t="s">
        <v>10</v>
      </c>
      <c r="D353" t="s">
        <v>14</v>
      </c>
      <c r="E353" t="s">
        <v>12</v>
      </c>
      <c r="F353">
        <v>88.19</v>
      </c>
      <c r="G353">
        <v>78.741069999999993</v>
      </c>
      <c r="H353">
        <v>2.403</v>
      </c>
      <c r="I353">
        <v>2879876096</v>
      </c>
      <c r="J353" t="s">
        <v>15</v>
      </c>
    </row>
    <row r="354" spans="1:10">
      <c r="A354" s="10">
        <v>46161.915301671957</v>
      </c>
      <c r="B354" s="11">
        <v>46161</v>
      </c>
      <c r="C354" t="s">
        <v>10</v>
      </c>
      <c r="D354" t="s">
        <v>16</v>
      </c>
      <c r="E354" t="s">
        <v>12</v>
      </c>
      <c r="F354">
        <v>101.83</v>
      </c>
      <c r="G354">
        <v>60.613100000000003</v>
      </c>
      <c r="H354">
        <v>0.81899999999999995</v>
      </c>
      <c r="I354">
        <v>105018097664</v>
      </c>
      <c r="J354" t="s">
        <v>17</v>
      </c>
    </row>
    <row r="355" spans="1:10">
      <c r="A355" s="10">
        <v>46161.915305125091</v>
      </c>
      <c r="B355" s="11">
        <v>46161</v>
      </c>
      <c r="C355" t="s">
        <v>10</v>
      </c>
      <c r="D355" t="s">
        <v>18</v>
      </c>
      <c r="E355" t="s">
        <v>12</v>
      </c>
      <c r="F355">
        <v>22.52</v>
      </c>
      <c r="G355">
        <v>34.646155999999998</v>
      </c>
      <c r="H355">
        <v>1.325</v>
      </c>
      <c r="I355">
        <v>1724220928</v>
      </c>
      <c r="J355" t="s">
        <v>13</v>
      </c>
    </row>
    <row r="356" spans="1:10">
      <c r="A356" s="10">
        <v>46161.915309131851</v>
      </c>
      <c r="B356" s="11">
        <v>46161</v>
      </c>
      <c r="C356" t="s">
        <v>10</v>
      </c>
      <c r="D356" t="s">
        <v>19</v>
      </c>
      <c r="E356" t="s">
        <v>12</v>
      </c>
      <c r="F356">
        <v>254.99</v>
      </c>
      <c r="G356">
        <v>14.868221999999999</v>
      </c>
      <c r="H356">
        <v>1.417</v>
      </c>
      <c r="I356">
        <v>103066959872</v>
      </c>
      <c r="J356" t="s">
        <v>17</v>
      </c>
    </row>
    <row r="357" spans="1:10">
      <c r="A357" s="10">
        <v>46161.91531453302</v>
      </c>
      <c r="B357" s="11">
        <v>46161</v>
      </c>
      <c r="C357" t="s">
        <v>10</v>
      </c>
      <c r="D357" t="s">
        <v>20</v>
      </c>
      <c r="E357" t="s">
        <v>12</v>
      </c>
      <c r="F357">
        <v>100.09</v>
      </c>
      <c r="G357">
        <v>17.969479</v>
      </c>
      <c r="H357">
        <v>0.57899999999999996</v>
      </c>
      <c r="I357">
        <v>3524870144</v>
      </c>
      <c r="J357" t="s">
        <v>13</v>
      </c>
    </row>
    <row r="358" spans="1:10">
      <c r="A358" s="10">
        <v>46161.915317986794</v>
      </c>
      <c r="B358" s="11">
        <v>46161</v>
      </c>
      <c r="C358" t="s">
        <v>10</v>
      </c>
      <c r="D358" t="s">
        <v>21</v>
      </c>
      <c r="E358" t="s">
        <v>12</v>
      </c>
      <c r="F358">
        <v>70.349999999999994</v>
      </c>
      <c r="G358">
        <v>29.312498000000001</v>
      </c>
      <c r="H358">
        <v>1.476</v>
      </c>
      <c r="I358">
        <v>10581059584</v>
      </c>
      <c r="J358" t="s">
        <v>22</v>
      </c>
    </row>
    <row r="359" spans="1:10">
      <c r="A359" s="10">
        <v>46161.915321900713</v>
      </c>
      <c r="B359" s="11">
        <v>46161</v>
      </c>
      <c r="C359" t="s">
        <v>10</v>
      </c>
      <c r="D359" t="s">
        <v>23</v>
      </c>
      <c r="E359" t="s">
        <v>12</v>
      </c>
      <c r="F359">
        <v>417.42</v>
      </c>
      <c r="G359">
        <v>24.890877</v>
      </c>
      <c r="H359">
        <v>1.093</v>
      </c>
      <c r="I359">
        <v>3100777381888</v>
      </c>
      <c r="J359" t="s">
        <v>13</v>
      </c>
    </row>
    <row r="360" spans="1:10">
      <c r="A360" s="10">
        <v>46161.915325263668</v>
      </c>
      <c r="B360" s="11">
        <v>46161</v>
      </c>
      <c r="C360" t="s">
        <v>10</v>
      </c>
      <c r="D360" t="s">
        <v>24</v>
      </c>
      <c r="E360" t="s">
        <v>12</v>
      </c>
      <c r="F360">
        <v>476.9</v>
      </c>
      <c r="G360">
        <v>41.397568</v>
      </c>
      <c r="H360">
        <v>2.3660000000000001</v>
      </c>
      <c r="I360">
        <v>160209551360</v>
      </c>
      <c r="J360" t="s">
        <v>25</v>
      </c>
    </row>
    <row r="361" spans="1:10">
      <c r="A361" s="10">
        <v>46161.915328900483</v>
      </c>
      <c r="B361" s="11">
        <v>46161</v>
      </c>
      <c r="C361" t="s">
        <v>10</v>
      </c>
      <c r="D361" t="s">
        <v>26</v>
      </c>
      <c r="E361" t="s">
        <v>12</v>
      </c>
      <c r="F361">
        <v>215.15</v>
      </c>
      <c r="G361">
        <v>537.875</v>
      </c>
      <c r="H361">
        <v>1.2949999999999999</v>
      </c>
      <c r="I361">
        <v>76584837120</v>
      </c>
      <c r="J361" t="s">
        <v>17</v>
      </c>
    </row>
    <row r="362" spans="1:10">
      <c r="A362" s="10">
        <v>46161.915332499033</v>
      </c>
      <c r="B362" s="11">
        <v>46161</v>
      </c>
      <c r="C362" t="s">
        <v>10</v>
      </c>
      <c r="D362" t="s">
        <v>27</v>
      </c>
      <c r="E362" t="s">
        <v>12</v>
      </c>
      <c r="F362">
        <v>244.26</v>
      </c>
      <c r="G362">
        <v>163.93288000000001</v>
      </c>
      <c r="H362">
        <v>3.363</v>
      </c>
      <c r="I362">
        <v>41868099584</v>
      </c>
      <c r="J362" t="s">
        <v>22</v>
      </c>
    </row>
    <row r="363" spans="1:10">
      <c r="A363" s="10">
        <v>46161.915335916703</v>
      </c>
      <c r="B363" s="11">
        <v>46161</v>
      </c>
      <c r="C363" t="s">
        <v>10</v>
      </c>
      <c r="D363" t="s">
        <v>28</v>
      </c>
      <c r="E363" t="s">
        <v>12</v>
      </c>
      <c r="F363">
        <v>1383.29</v>
      </c>
      <c r="G363">
        <v>47.162975000000003</v>
      </c>
      <c r="I363">
        <v>204851085312</v>
      </c>
      <c r="J363" t="s">
        <v>29</v>
      </c>
    </row>
    <row r="364" spans="1:10">
      <c r="A364" s="10">
        <v>46161.915339573301</v>
      </c>
      <c r="B364" s="11">
        <v>46161</v>
      </c>
      <c r="C364" t="s">
        <v>10</v>
      </c>
      <c r="D364" t="s">
        <v>30</v>
      </c>
      <c r="E364" t="s">
        <v>12</v>
      </c>
      <c r="F364">
        <v>91.81</v>
      </c>
      <c r="G364">
        <v>18.252483000000002</v>
      </c>
      <c r="H364">
        <v>0.79700000000000004</v>
      </c>
      <c r="I364">
        <v>159670026240</v>
      </c>
      <c r="J364" t="s">
        <v>31</v>
      </c>
    </row>
    <row r="365" spans="1:10">
      <c r="A365" s="10">
        <v>46161.915343005581</v>
      </c>
      <c r="B365" s="11">
        <v>46161</v>
      </c>
      <c r="C365" t="s">
        <v>10</v>
      </c>
      <c r="D365" t="s">
        <v>32</v>
      </c>
      <c r="E365" t="s">
        <v>33</v>
      </c>
      <c r="F365">
        <v>908</v>
      </c>
      <c r="G365">
        <v>24.54054</v>
      </c>
      <c r="H365">
        <v>0.30399999999999999</v>
      </c>
      <c r="I365">
        <v>8206142464</v>
      </c>
      <c r="J365" t="s">
        <v>17</v>
      </c>
    </row>
    <row r="366" spans="1:10">
      <c r="A366" s="10">
        <v>46161.915346449423</v>
      </c>
      <c r="B366" s="11">
        <v>46161</v>
      </c>
      <c r="C366" t="s">
        <v>10</v>
      </c>
      <c r="D366" t="s">
        <v>34</v>
      </c>
      <c r="E366" t="s">
        <v>12</v>
      </c>
      <c r="F366">
        <v>222.33</v>
      </c>
      <c r="G366">
        <v>19.692647999999998</v>
      </c>
      <c r="H366">
        <v>0.58099999999999996</v>
      </c>
      <c r="I366">
        <v>208964698112</v>
      </c>
      <c r="J366" t="s">
        <v>15</v>
      </c>
    </row>
    <row r="367" spans="1:10">
      <c r="A367" s="10">
        <v>46161.91534982375</v>
      </c>
      <c r="B367" s="11">
        <v>46161</v>
      </c>
      <c r="C367" t="s">
        <v>10</v>
      </c>
      <c r="D367" t="s">
        <v>35</v>
      </c>
      <c r="E367" t="s">
        <v>12</v>
      </c>
      <c r="F367">
        <v>298.97000000000003</v>
      </c>
      <c r="G367">
        <v>36.238790000000002</v>
      </c>
      <c r="H367">
        <v>1.0649999999999999</v>
      </c>
      <c r="I367">
        <v>4391078723584</v>
      </c>
      <c r="J367" t="s">
        <v>36</v>
      </c>
    </row>
    <row r="368" spans="1:10">
      <c r="A368" s="10">
        <v>46161.915353455443</v>
      </c>
      <c r="B368" s="11">
        <v>46161</v>
      </c>
      <c r="C368" t="s">
        <v>10</v>
      </c>
      <c r="D368" t="s">
        <v>37</v>
      </c>
      <c r="E368" t="s">
        <v>12</v>
      </c>
      <c r="F368">
        <v>81.92</v>
      </c>
      <c r="G368">
        <v>25.761005000000001</v>
      </c>
      <c r="H368">
        <v>0.35599999999999998</v>
      </c>
      <c r="I368">
        <v>352459358208</v>
      </c>
      <c r="J368" t="s">
        <v>38</v>
      </c>
    </row>
    <row r="369" spans="1:10">
      <c r="A369" s="10">
        <v>46161.915356975529</v>
      </c>
      <c r="B369" s="11">
        <v>46161</v>
      </c>
      <c r="C369" t="s">
        <v>10</v>
      </c>
      <c r="D369" t="s">
        <v>39</v>
      </c>
      <c r="E369" t="s">
        <v>12</v>
      </c>
      <c r="F369">
        <v>76.69</v>
      </c>
      <c r="H369">
        <v>2.1640000000000001</v>
      </c>
      <c r="I369">
        <v>3363737344</v>
      </c>
      <c r="J369" t="s">
        <v>40</v>
      </c>
    </row>
    <row r="370" spans="1:10">
      <c r="A370" s="10">
        <v>46161.915360959028</v>
      </c>
      <c r="B370" s="11">
        <v>46161</v>
      </c>
      <c r="C370" t="s">
        <v>10</v>
      </c>
      <c r="D370" t="s">
        <v>41</v>
      </c>
      <c r="E370" t="s">
        <v>12</v>
      </c>
      <c r="F370">
        <v>602.61</v>
      </c>
      <c r="G370">
        <v>21.91309</v>
      </c>
      <c r="H370">
        <v>1.2430000000000001</v>
      </c>
      <c r="I370">
        <v>1529679183872</v>
      </c>
      <c r="J370" t="s">
        <v>42</v>
      </c>
    </row>
    <row r="371" spans="1:10">
      <c r="A371" s="10">
        <v>46161.915364795939</v>
      </c>
      <c r="B371" s="11">
        <v>46161</v>
      </c>
      <c r="C371" t="s">
        <v>10</v>
      </c>
      <c r="D371" t="s">
        <v>43</v>
      </c>
      <c r="E371" t="s">
        <v>12</v>
      </c>
      <c r="F371">
        <v>8.4499999999999993</v>
      </c>
      <c r="H371">
        <v>2.7629999999999999</v>
      </c>
      <c r="I371">
        <v>3656903424</v>
      </c>
      <c r="J371" t="s">
        <v>17</v>
      </c>
    </row>
    <row r="372" spans="1:10">
      <c r="A372" s="10">
        <v>46161.915368211899</v>
      </c>
      <c r="B372" s="11">
        <v>46161</v>
      </c>
      <c r="C372" t="s">
        <v>10</v>
      </c>
      <c r="D372" t="s">
        <v>44</v>
      </c>
      <c r="E372" t="s">
        <v>12</v>
      </c>
      <c r="F372">
        <v>181.46</v>
      </c>
      <c r="G372">
        <v>32.636691999999996</v>
      </c>
      <c r="H372">
        <v>1.544</v>
      </c>
      <c r="I372">
        <v>521887350784</v>
      </c>
      <c r="J372" t="s">
        <v>13</v>
      </c>
    </row>
    <row r="373" spans="1:10">
      <c r="A373" s="10">
        <v>46161.915374459088</v>
      </c>
      <c r="B373" s="11">
        <v>46161</v>
      </c>
      <c r="C373" t="s">
        <v>10</v>
      </c>
      <c r="D373" t="s">
        <v>45</v>
      </c>
      <c r="E373" t="s">
        <v>12</v>
      </c>
      <c r="F373">
        <v>384.9</v>
      </c>
      <c r="G373">
        <v>29.404125000000001</v>
      </c>
      <c r="H373">
        <v>1.2669999999999999</v>
      </c>
      <c r="I373">
        <v>4663234002944</v>
      </c>
      <c r="J373" t="s">
        <v>42</v>
      </c>
    </row>
    <row r="374" spans="1:10">
      <c r="A374" s="10">
        <v>46161.915379587437</v>
      </c>
      <c r="B374" s="11">
        <v>46161</v>
      </c>
      <c r="C374" t="s">
        <v>10</v>
      </c>
      <c r="D374" t="s">
        <v>46</v>
      </c>
      <c r="E374" t="s">
        <v>12</v>
      </c>
      <c r="F374">
        <v>259.33999999999997</v>
      </c>
      <c r="G374">
        <v>30.984468</v>
      </c>
      <c r="H374">
        <v>1.468</v>
      </c>
      <c r="I374">
        <v>2789748768768</v>
      </c>
      <c r="J374" t="s">
        <v>47</v>
      </c>
    </row>
    <row r="375" spans="1:10">
      <c r="A375" s="10">
        <v>46161.915385171364</v>
      </c>
      <c r="B375" s="11">
        <v>46161</v>
      </c>
      <c r="C375" t="s">
        <v>10</v>
      </c>
      <c r="D375" t="s">
        <v>48</v>
      </c>
      <c r="E375" t="s">
        <v>12</v>
      </c>
      <c r="F375">
        <v>176.27</v>
      </c>
      <c r="G375">
        <v>57.416943000000003</v>
      </c>
      <c r="H375">
        <v>2.2509999999999999</v>
      </c>
      <c r="I375">
        <v>154333757440</v>
      </c>
      <c r="J375" t="s">
        <v>22</v>
      </c>
    </row>
    <row r="376" spans="1:10">
      <c r="A376" s="10">
        <v>46161.915388729642</v>
      </c>
      <c r="B376" s="11">
        <v>46161</v>
      </c>
      <c r="C376" t="s">
        <v>10</v>
      </c>
      <c r="D376" t="s">
        <v>49</v>
      </c>
      <c r="E376" t="s">
        <v>12</v>
      </c>
      <c r="F376">
        <v>5.53</v>
      </c>
      <c r="H376">
        <v>2.2309999999999999</v>
      </c>
      <c r="I376">
        <v>1206388608</v>
      </c>
      <c r="J376" t="s">
        <v>50</v>
      </c>
    </row>
    <row r="377" spans="1:10">
      <c r="A377" s="10">
        <v>46161.915393945157</v>
      </c>
      <c r="B377" s="11">
        <v>46161</v>
      </c>
      <c r="C377" t="s">
        <v>10</v>
      </c>
      <c r="D377" t="s">
        <v>51</v>
      </c>
      <c r="E377" t="s">
        <v>12</v>
      </c>
      <c r="F377">
        <v>392.61</v>
      </c>
      <c r="G377">
        <v>33.729377999999997</v>
      </c>
      <c r="H377">
        <v>1.264</v>
      </c>
      <c r="I377">
        <v>2036232486912</v>
      </c>
      <c r="J377" t="s">
        <v>22</v>
      </c>
    </row>
    <row r="378" spans="1:10">
      <c r="A378" s="10">
        <v>46161.915399398124</v>
      </c>
      <c r="B378" s="11">
        <v>46161</v>
      </c>
      <c r="C378" t="s">
        <v>10</v>
      </c>
      <c r="D378" t="s">
        <v>52</v>
      </c>
      <c r="E378" t="s">
        <v>12</v>
      </c>
      <c r="F378">
        <v>45.53</v>
      </c>
      <c r="I378">
        <v>8175583744</v>
      </c>
      <c r="J378" t="s">
        <v>53</v>
      </c>
    </row>
    <row r="379" spans="1:10">
      <c r="A379" s="10">
        <v>46161.915404643718</v>
      </c>
      <c r="B379" s="11">
        <v>46161</v>
      </c>
      <c r="C379" t="s">
        <v>10</v>
      </c>
      <c r="D379" t="s">
        <v>54</v>
      </c>
      <c r="E379" t="s">
        <v>12</v>
      </c>
      <c r="F379">
        <v>411.07</v>
      </c>
      <c r="G379">
        <v>80.130610000000004</v>
      </c>
      <c r="H379">
        <v>1.44</v>
      </c>
      <c r="I379">
        <v>1946280132608</v>
      </c>
      <c r="J379" t="s">
        <v>22</v>
      </c>
    </row>
    <row r="380" spans="1:10">
      <c r="A380" s="10">
        <v>46161.915410055299</v>
      </c>
      <c r="B380" s="11">
        <v>46161</v>
      </c>
      <c r="C380" t="s">
        <v>10</v>
      </c>
      <c r="D380" t="s">
        <v>55</v>
      </c>
      <c r="E380" t="s">
        <v>12</v>
      </c>
      <c r="F380">
        <v>34.25</v>
      </c>
      <c r="G380">
        <v>14.636753000000001</v>
      </c>
      <c r="H380">
        <v>3.3039999999999998</v>
      </c>
      <c r="I380">
        <v>1685257600</v>
      </c>
      <c r="J380" t="s">
        <v>22</v>
      </c>
    </row>
    <row r="381" spans="1:10">
      <c r="A381" s="10">
        <v>46161.91541527793</v>
      </c>
      <c r="B381" s="11">
        <v>46161</v>
      </c>
      <c r="C381" t="s">
        <v>10</v>
      </c>
      <c r="D381" t="s">
        <v>56</v>
      </c>
      <c r="E381" t="s">
        <v>12</v>
      </c>
      <c r="F381">
        <v>8.83</v>
      </c>
      <c r="H381">
        <v>1.9870000000000001</v>
      </c>
      <c r="I381">
        <v>1282921472</v>
      </c>
      <c r="J381" t="s">
        <v>13</v>
      </c>
    </row>
    <row r="382" spans="1:10">
      <c r="A382" s="10">
        <v>46161.915420725258</v>
      </c>
      <c r="B382" s="11">
        <v>46161</v>
      </c>
      <c r="C382" t="s">
        <v>10</v>
      </c>
      <c r="D382" t="s">
        <v>57</v>
      </c>
      <c r="E382" t="s">
        <v>12</v>
      </c>
      <c r="F382">
        <v>141.58000000000001</v>
      </c>
      <c r="G382">
        <v>48.652920000000002</v>
      </c>
      <c r="H382">
        <v>1.673</v>
      </c>
      <c r="I382">
        <v>178273206272</v>
      </c>
      <c r="J382" t="s">
        <v>29</v>
      </c>
    </row>
    <row r="383" spans="1:10">
      <c r="A383" s="10">
        <v>46161.915424422194</v>
      </c>
      <c r="B383" s="11">
        <v>46161</v>
      </c>
      <c r="C383" t="s">
        <v>10</v>
      </c>
      <c r="D383" t="s">
        <v>58</v>
      </c>
      <c r="E383" t="s">
        <v>12</v>
      </c>
      <c r="F383">
        <v>45.77</v>
      </c>
      <c r="G383">
        <v>19.559830000000002</v>
      </c>
      <c r="H383">
        <v>1.5069999999999999</v>
      </c>
      <c r="I383">
        <v>2698891776</v>
      </c>
      <c r="J383" t="s">
        <v>40</v>
      </c>
    </row>
    <row r="384" spans="1:10">
      <c r="A384" s="10">
        <v>46161.915428091503</v>
      </c>
      <c r="B384" s="11">
        <v>46161</v>
      </c>
      <c r="C384" t="s">
        <v>10</v>
      </c>
      <c r="D384" t="s">
        <v>59</v>
      </c>
      <c r="E384" t="s">
        <v>12</v>
      </c>
      <c r="F384">
        <v>220.61</v>
      </c>
      <c r="G384">
        <v>45.114519999999999</v>
      </c>
      <c r="H384">
        <v>2.2440000000000002</v>
      </c>
      <c r="I384">
        <v>5343290064896</v>
      </c>
      <c r="J384" t="s">
        <v>22</v>
      </c>
    </row>
    <row r="385" spans="1:10">
      <c r="A385" s="10">
        <v>46161.915431778332</v>
      </c>
      <c r="B385" s="11">
        <v>46161</v>
      </c>
      <c r="C385" t="s">
        <v>10</v>
      </c>
      <c r="D385" t="s">
        <v>60</v>
      </c>
      <c r="E385" t="s">
        <v>12</v>
      </c>
      <c r="F385">
        <v>74.16</v>
      </c>
      <c r="G385">
        <v>36.000003999999997</v>
      </c>
      <c r="H385">
        <v>2.294</v>
      </c>
      <c r="I385">
        <v>66781462528</v>
      </c>
      <c r="J385" t="s">
        <v>31</v>
      </c>
    </row>
    <row r="386" spans="1:10">
      <c r="A386" s="10">
        <v>46161.915435569499</v>
      </c>
      <c r="B386" s="11">
        <v>46161</v>
      </c>
      <c r="C386" t="s">
        <v>10</v>
      </c>
      <c r="D386" t="s">
        <v>61</v>
      </c>
      <c r="E386" t="s">
        <v>12</v>
      </c>
      <c r="F386">
        <v>13.88</v>
      </c>
      <c r="I386">
        <v>871516992</v>
      </c>
      <c r="J386" t="s">
        <v>62</v>
      </c>
    </row>
    <row r="387" spans="1:10">
      <c r="A387" s="10">
        <v>46161.915439214899</v>
      </c>
      <c r="B387" s="11">
        <v>46161</v>
      </c>
      <c r="C387" t="s">
        <v>10</v>
      </c>
      <c r="D387" t="s">
        <v>63</v>
      </c>
      <c r="E387" t="s">
        <v>12</v>
      </c>
      <c r="F387">
        <v>414.05</v>
      </c>
      <c r="G387">
        <v>138.47826000000001</v>
      </c>
      <c r="H387">
        <v>2.399</v>
      </c>
      <c r="I387">
        <v>675150168064</v>
      </c>
      <c r="J387" t="s">
        <v>22</v>
      </c>
    </row>
    <row r="388" spans="1:10">
      <c r="A388" s="10">
        <v>46161.915442681762</v>
      </c>
      <c r="B388" s="11">
        <v>46161</v>
      </c>
      <c r="C388" t="s">
        <v>10</v>
      </c>
      <c r="D388" t="s">
        <v>64</v>
      </c>
      <c r="E388" t="s">
        <v>12</v>
      </c>
      <c r="F388">
        <v>404.11</v>
      </c>
      <c r="G388">
        <v>364.06304999999998</v>
      </c>
      <c r="H388">
        <v>1.7929999999999999</v>
      </c>
      <c r="I388">
        <v>1517725417472</v>
      </c>
      <c r="J388" t="s">
        <v>65</v>
      </c>
    </row>
    <row r="389" spans="1:10">
      <c r="A389" s="10">
        <v>46161.91544657528</v>
      </c>
      <c r="B389" s="11">
        <v>46161</v>
      </c>
      <c r="C389" t="s">
        <v>10</v>
      </c>
      <c r="D389" t="s">
        <v>66</v>
      </c>
      <c r="E389" t="s">
        <v>12</v>
      </c>
      <c r="F389">
        <v>1459.44</v>
      </c>
      <c r="G389">
        <v>48.583218000000002</v>
      </c>
      <c r="H389">
        <v>1.373</v>
      </c>
      <c r="I389">
        <v>562493915136</v>
      </c>
      <c r="J389" t="s">
        <v>40</v>
      </c>
    </row>
    <row r="390" spans="1:10">
      <c r="A390" s="10">
        <v>46161.915449982618</v>
      </c>
      <c r="B390" s="11">
        <v>46161</v>
      </c>
      <c r="C390" t="s">
        <v>10</v>
      </c>
      <c r="D390" t="s">
        <v>67</v>
      </c>
      <c r="E390" t="s">
        <v>12</v>
      </c>
      <c r="F390">
        <v>698.74</v>
      </c>
      <c r="G390">
        <v>32.959429999999998</v>
      </c>
      <c r="H390">
        <v>1.919</v>
      </c>
      <c r="I390">
        <v>787992870912</v>
      </c>
      <c r="J390" t="s">
        <v>22</v>
      </c>
    </row>
    <row r="391" spans="1:10">
      <c r="A391" s="10">
        <v>46161.915453324422</v>
      </c>
      <c r="B391" s="11">
        <v>46161</v>
      </c>
      <c r="C391" t="s">
        <v>10</v>
      </c>
      <c r="D391" t="s">
        <v>68</v>
      </c>
      <c r="E391" t="s">
        <v>12</v>
      </c>
      <c r="F391">
        <v>3.84</v>
      </c>
      <c r="H391">
        <v>3.0510000000000002</v>
      </c>
      <c r="I391">
        <v>1839165824</v>
      </c>
      <c r="J391" t="s">
        <v>15</v>
      </c>
    </row>
    <row r="392" spans="1:10">
      <c r="A392" s="10">
        <v>46161.91545708559</v>
      </c>
      <c r="B392" s="11">
        <v>46161</v>
      </c>
      <c r="C392" t="s">
        <v>10</v>
      </c>
      <c r="D392" t="s">
        <v>69</v>
      </c>
      <c r="E392" t="s">
        <v>12</v>
      </c>
      <c r="F392">
        <v>168.99</v>
      </c>
      <c r="G392">
        <v>93.364649999999997</v>
      </c>
      <c r="H392">
        <v>3.1760000000000002</v>
      </c>
      <c r="I392">
        <v>31170195456</v>
      </c>
      <c r="J392" t="s">
        <v>22</v>
      </c>
    </row>
    <row r="393" spans="1:10">
      <c r="A393" s="10">
        <v>46161.915460461947</v>
      </c>
      <c r="B393" s="11">
        <v>46161</v>
      </c>
      <c r="C393" t="s">
        <v>10</v>
      </c>
      <c r="D393" t="s">
        <v>70</v>
      </c>
      <c r="E393" t="s">
        <v>12</v>
      </c>
      <c r="F393">
        <v>99.81</v>
      </c>
      <c r="I393">
        <v>54453379072</v>
      </c>
      <c r="J393" t="s">
        <v>13</v>
      </c>
    </row>
    <row r="394" spans="1:10">
      <c r="A394" s="10">
        <v>46161.915463921352</v>
      </c>
      <c r="B394" s="11">
        <v>46161</v>
      </c>
      <c r="C394" t="s">
        <v>10</v>
      </c>
      <c r="D394" t="s">
        <v>71</v>
      </c>
      <c r="E394" t="s">
        <v>12</v>
      </c>
      <c r="F394">
        <v>110.8</v>
      </c>
      <c r="H394">
        <v>2.19</v>
      </c>
      <c r="I394">
        <v>556880822272</v>
      </c>
      <c r="J394" t="s">
        <v>22</v>
      </c>
    </row>
    <row r="395" spans="1:10">
      <c r="A395" s="10">
        <v>46161.915467416977</v>
      </c>
      <c r="B395" s="11">
        <v>46161</v>
      </c>
      <c r="C395" t="s">
        <v>10</v>
      </c>
      <c r="D395" t="s">
        <v>72</v>
      </c>
      <c r="E395" t="s">
        <v>12</v>
      </c>
      <c r="F395">
        <v>30.56</v>
      </c>
      <c r="G395">
        <v>16.084211</v>
      </c>
      <c r="H395">
        <v>1.6839999999999999</v>
      </c>
      <c r="I395">
        <v>18379347968</v>
      </c>
      <c r="J395" t="s">
        <v>29</v>
      </c>
    </row>
    <row r="396" spans="1:10">
      <c r="A396" s="10">
        <v>46161.915470968139</v>
      </c>
      <c r="B396" s="11">
        <v>46161</v>
      </c>
      <c r="C396" t="s">
        <v>10</v>
      </c>
      <c r="D396" t="s">
        <v>73</v>
      </c>
      <c r="E396" t="s">
        <v>12</v>
      </c>
      <c r="F396">
        <v>171.33</v>
      </c>
      <c r="H396">
        <v>3.7589999999999999</v>
      </c>
      <c r="I396">
        <v>13747993600</v>
      </c>
      <c r="J396" t="s">
        <v>74</v>
      </c>
    </row>
    <row r="397" spans="1:10">
      <c r="A397" s="10">
        <v>46161.915476503636</v>
      </c>
      <c r="B397" s="11">
        <v>46161</v>
      </c>
      <c r="C397" t="s">
        <v>10</v>
      </c>
      <c r="D397" t="s">
        <v>75</v>
      </c>
      <c r="E397" t="s">
        <v>12</v>
      </c>
      <c r="F397">
        <v>81.135000000000005</v>
      </c>
      <c r="H397">
        <v>3.2709999999999999</v>
      </c>
      <c r="I397">
        <v>2551959808</v>
      </c>
      <c r="J397" t="s">
        <v>40</v>
      </c>
    </row>
    <row r="398" spans="1:10">
      <c r="A398" s="10">
        <v>46161.91548028875</v>
      </c>
      <c r="B398" s="11">
        <v>46161</v>
      </c>
      <c r="C398" t="s">
        <v>10</v>
      </c>
      <c r="D398" t="s">
        <v>76</v>
      </c>
      <c r="E398" t="s">
        <v>12</v>
      </c>
      <c r="F398">
        <v>11.59</v>
      </c>
      <c r="I398">
        <v>1785782912</v>
      </c>
      <c r="J398" t="s">
        <v>77</v>
      </c>
    </row>
    <row r="399" spans="1:10">
      <c r="A399" s="10">
        <v>46161.915483825876</v>
      </c>
      <c r="B399" s="11">
        <v>46161</v>
      </c>
      <c r="C399" t="s">
        <v>10</v>
      </c>
      <c r="D399" t="s">
        <v>78</v>
      </c>
      <c r="E399" t="s">
        <v>12</v>
      </c>
      <c r="F399">
        <v>223.15</v>
      </c>
      <c r="G399">
        <v>259.47674999999998</v>
      </c>
      <c r="H399">
        <v>3.4060000000000001</v>
      </c>
      <c r="I399">
        <v>237431275520</v>
      </c>
      <c r="J399" t="s">
        <v>22</v>
      </c>
    </row>
    <row r="400" spans="1:10">
      <c r="A400" s="10">
        <v>46161.915487233236</v>
      </c>
      <c r="B400" s="11">
        <v>46161</v>
      </c>
      <c r="C400" t="s">
        <v>10</v>
      </c>
      <c r="D400" t="s">
        <v>79</v>
      </c>
      <c r="E400" t="s">
        <v>12</v>
      </c>
      <c r="F400">
        <v>48.44</v>
      </c>
      <c r="G400">
        <v>124.20513</v>
      </c>
      <c r="H400">
        <v>3.052</v>
      </c>
      <c r="I400">
        <v>18081196032</v>
      </c>
      <c r="J400" t="s">
        <v>29</v>
      </c>
    </row>
    <row r="401" spans="1:10">
      <c r="A401" s="10">
        <v>46161.915491146137</v>
      </c>
      <c r="B401" s="11">
        <v>46161</v>
      </c>
      <c r="C401" t="s">
        <v>10</v>
      </c>
      <c r="D401" t="s">
        <v>80</v>
      </c>
      <c r="E401" t="s">
        <v>12</v>
      </c>
      <c r="F401">
        <v>13.07</v>
      </c>
      <c r="H401">
        <v>0.54300000000000004</v>
      </c>
      <c r="I401">
        <v>1995935104</v>
      </c>
      <c r="J401" t="s">
        <v>22</v>
      </c>
    </row>
    <row r="402" spans="1:10">
      <c r="A402" t="s">
        <v>81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1"/>
  <sheetViews>
    <sheetView workbookViewId="0">
      <selection sqref="A1:C11"/>
    </sheetView>
  </sheetViews>
  <sheetFormatPr defaultRowHeight="14.25"/>
  <cols>
    <col min="1" max="1" width="14.1328125" bestFit="1" customWidth="1"/>
    <col min="2" max="2" width="34.1328125" bestFit="1" customWidth="1"/>
    <col min="3" max="3" width="11.1328125" bestFit="1" customWidth="1"/>
  </cols>
  <sheetData>
    <row r="1" spans="1:3">
      <c r="A1" t="s">
        <v>123</v>
      </c>
      <c r="B1" t="s">
        <v>124</v>
      </c>
      <c r="C1" t="s">
        <v>125</v>
      </c>
    </row>
    <row r="2" spans="1:3">
      <c r="A2" t="s">
        <v>82</v>
      </c>
      <c r="B2" t="s">
        <v>126</v>
      </c>
      <c r="C2" s="1">
        <v>46161</v>
      </c>
    </row>
    <row r="3" spans="1:3">
      <c r="A3" t="s">
        <v>83</v>
      </c>
      <c r="B3" t="s">
        <v>127</v>
      </c>
      <c r="C3" t="s">
        <v>92</v>
      </c>
    </row>
    <row r="4" spans="1:3">
      <c r="A4" t="s">
        <v>3</v>
      </c>
      <c r="B4" t="s">
        <v>128</v>
      </c>
      <c r="C4" t="s">
        <v>35</v>
      </c>
    </row>
    <row r="5" spans="1:3">
      <c r="A5" t="s">
        <v>84</v>
      </c>
      <c r="B5" t="s">
        <v>129</v>
      </c>
      <c r="C5" t="s">
        <v>90</v>
      </c>
    </row>
    <row r="6" spans="1:3">
      <c r="A6" t="s">
        <v>85</v>
      </c>
      <c r="B6" t="s">
        <v>130</v>
      </c>
      <c r="C6">
        <v>10</v>
      </c>
    </row>
    <row r="7" spans="1:3">
      <c r="A7" t="s">
        <v>4</v>
      </c>
      <c r="B7" t="s">
        <v>131</v>
      </c>
      <c r="C7" t="s">
        <v>12</v>
      </c>
    </row>
    <row r="8" spans="1:3">
      <c r="A8" t="s">
        <v>86</v>
      </c>
      <c r="B8" t="s">
        <v>132</v>
      </c>
      <c r="C8">
        <v>200</v>
      </c>
    </row>
    <row r="9" spans="1:3">
      <c r="A9" t="s">
        <v>87</v>
      </c>
      <c r="B9" t="s">
        <v>133</v>
      </c>
      <c r="C9">
        <v>1</v>
      </c>
    </row>
    <row r="10" spans="1:3">
      <c r="A10" t="s">
        <v>88</v>
      </c>
      <c r="B10" t="s">
        <v>134</v>
      </c>
      <c r="C10">
        <v>0.79</v>
      </c>
    </row>
    <row r="11" spans="1:3">
      <c r="A11" t="s">
        <v>89</v>
      </c>
      <c r="B11" t="s">
        <v>135</v>
      </c>
      <c r="C11" t="s">
        <v>136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5F01-6AC6-4FB8-9BA9-DE7C42FEDA09}">
  <dimension ref="A1:B486"/>
  <sheetViews>
    <sheetView topLeftCell="A55" workbookViewId="0">
      <selection activeCell="B495" sqref="B495"/>
    </sheetView>
  </sheetViews>
  <sheetFormatPr defaultRowHeight="14.25"/>
  <cols>
    <col min="1" max="1" width="9.1328125" customWidth="1"/>
  </cols>
  <sheetData>
    <row r="1" spans="1:1">
      <c r="A1" s="12" t="s">
        <v>158</v>
      </c>
    </row>
    <row r="3" spans="1:1">
      <c r="A3" t="s">
        <v>159</v>
      </c>
    </row>
    <row r="5" spans="1:1">
      <c r="A5" t="s">
        <v>160</v>
      </c>
    </row>
    <row r="6" spans="1:1">
      <c r="A6" t="s">
        <v>161</v>
      </c>
    </row>
    <row r="8" spans="1:1">
      <c r="A8" t="s">
        <v>162</v>
      </c>
    </row>
    <row r="10" spans="1:1">
      <c r="A10" t="s">
        <v>163</v>
      </c>
    </row>
    <row r="11" spans="1:1">
      <c r="A11" t="s">
        <v>164</v>
      </c>
    </row>
    <row r="12" spans="1:1">
      <c r="A12" t="s">
        <v>165</v>
      </c>
    </row>
    <row r="13" spans="1:1">
      <c r="A13" t="s">
        <v>166</v>
      </c>
    </row>
    <row r="14" spans="1:1">
      <c r="A14" t="s">
        <v>167</v>
      </c>
    </row>
    <row r="16" spans="1:1">
      <c r="A16" t="s">
        <v>168</v>
      </c>
    </row>
    <row r="20" spans="1:2">
      <c r="A20" t="s">
        <v>169</v>
      </c>
    </row>
    <row r="22" spans="1:2">
      <c r="A22" t="s">
        <v>170</v>
      </c>
    </row>
    <row r="24" spans="1:2">
      <c r="A24" t="s">
        <v>171</v>
      </c>
      <c r="B24" t="s">
        <v>172</v>
      </c>
    </row>
    <row r="25" spans="1:2">
      <c r="A25" t="s">
        <v>173</v>
      </c>
      <c r="B25" t="s">
        <v>174</v>
      </c>
    </row>
    <row r="26" spans="1:2">
      <c r="A26" t="s">
        <v>22</v>
      </c>
      <c r="B26" t="s">
        <v>175</v>
      </c>
    </row>
    <row r="27" spans="1:2">
      <c r="A27" t="s">
        <v>176</v>
      </c>
      <c r="B27" t="s">
        <v>177</v>
      </c>
    </row>
    <row r="28" spans="1:2">
      <c r="A28" t="s">
        <v>178</v>
      </c>
      <c r="B28" t="s">
        <v>179</v>
      </c>
    </row>
    <row r="29" spans="1:2">
      <c r="A29" t="s">
        <v>180</v>
      </c>
      <c r="B29" t="s">
        <v>181</v>
      </c>
    </row>
    <row r="30" spans="1:2">
      <c r="A30" t="s">
        <v>182</v>
      </c>
      <c r="B30" t="s">
        <v>183</v>
      </c>
    </row>
    <row r="31" spans="1:2">
      <c r="A31" t="s">
        <v>184</v>
      </c>
      <c r="B31" t="s">
        <v>185</v>
      </c>
    </row>
    <row r="32" spans="1:2">
      <c r="A32" t="s">
        <v>186</v>
      </c>
      <c r="B32" t="s">
        <v>187</v>
      </c>
    </row>
    <row r="33" spans="1:2">
      <c r="A33" t="s">
        <v>188</v>
      </c>
      <c r="B33" t="s">
        <v>189</v>
      </c>
    </row>
    <row r="34" spans="1:2">
      <c r="A34" t="s">
        <v>190</v>
      </c>
      <c r="B34" t="s">
        <v>191</v>
      </c>
    </row>
    <row r="36" spans="1:2">
      <c r="A36" t="s">
        <v>192</v>
      </c>
    </row>
    <row r="38" spans="1:2">
      <c r="A38" t="s">
        <v>193</v>
      </c>
    </row>
    <row r="39" spans="1:2">
      <c r="A39" t="s">
        <v>194</v>
      </c>
    </row>
    <row r="41" spans="1:2">
      <c r="A41" t="s">
        <v>195</v>
      </c>
    </row>
    <row r="45" spans="1:2">
      <c r="A45" t="s">
        <v>196</v>
      </c>
    </row>
    <row r="49" spans="1:2">
      <c r="A49" t="s">
        <v>197</v>
      </c>
    </row>
    <row r="51" spans="1:2">
      <c r="A51" t="s">
        <v>198</v>
      </c>
      <c r="B51" t="s">
        <v>199</v>
      </c>
    </row>
    <row r="52" spans="1:2">
      <c r="A52" t="s">
        <v>59</v>
      </c>
      <c r="B52" t="s">
        <v>200</v>
      </c>
    </row>
    <row r="53" spans="1:2">
      <c r="A53" t="s">
        <v>63</v>
      </c>
      <c r="B53" t="s">
        <v>63</v>
      </c>
    </row>
    <row r="54" spans="1:2">
      <c r="A54" t="s">
        <v>54</v>
      </c>
      <c r="B54" t="s">
        <v>201</v>
      </c>
    </row>
    <row r="55" spans="1:2">
      <c r="A55" t="s">
        <v>51</v>
      </c>
      <c r="B55" t="s">
        <v>202</v>
      </c>
    </row>
    <row r="56" spans="1:2">
      <c r="A56" t="s">
        <v>67</v>
      </c>
      <c r="B56" t="s">
        <v>203</v>
      </c>
    </row>
    <row r="57" spans="1:2">
      <c r="A57" t="s">
        <v>78</v>
      </c>
      <c r="B57" t="s">
        <v>204</v>
      </c>
    </row>
    <row r="59" spans="1:2">
      <c r="A59" t="s">
        <v>205</v>
      </c>
    </row>
    <row r="61" spans="1:2">
      <c r="A61" t="s">
        <v>206</v>
      </c>
    </row>
    <row r="65" spans="1:2">
      <c r="A65" t="s">
        <v>207</v>
      </c>
    </row>
    <row r="67" spans="1:2">
      <c r="A67" t="s">
        <v>198</v>
      </c>
      <c r="B67" t="s">
        <v>199</v>
      </c>
    </row>
    <row r="68" spans="1:2">
      <c r="A68" t="s">
        <v>208</v>
      </c>
      <c r="B68" t="s">
        <v>209</v>
      </c>
    </row>
    <row r="69" spans="1:2">
      <c r="A69" t="s">
        <v>137</v>
      </c>
      <c r="B69" t="s">
        <v>210</v>
      </c>
    </row>
    <row r="70" spans="1:2">
      <c r="A70" t="s">
        <v>211</v>
      </c>
      <c r="B70" t="s">
        <v>212</v>
      </c>
    </row>
    <row r="71" spans="1:2">
      <c r="A71" t="s">
        <v>138</v>
      </c>
      <c r="B71" t="s">
        <v>213</v>
      </c>
    </row>
    <row r="72" spans="1:2">
      <c r="A72" t="s">
        <v>26</v>
      </c>
      <c r="B72" t="s">
        <v>214</v>
      </c>
    </row>
    <row r="73" spans="1:2">
      <c r="A73" t="s">
        <v>139</v>
      </c>
      <c r="B73" t="s">
        <v>215</v>
      </c>
    </row>
    <row r="75" spans="1:2">
      <c r="A75" t="s">
        <v>216</v>
      </c>
    </row>
    <row r="77" spans="1:2">
      <c r="A77" t="s">
        <v>217</v>
      </c>
    </row>
    <row r="78" spans="1:2">
      <c r="A78" t="s">
        <v>218</v>
      </c>
    </row>
    <row r="82" spans="1:2">
      <c r="A82" t="s">
        <v>219</v>
      </c>
    </row>
    <row r="84" spans="1:2">
      <c r="A84" t="s">
        <v>198</v>
      </c>
      <c r="B84" t="s">
        <v>199</v>
      </c>
    </row>
    <row r="85" spans="1:2">
      <c r="A85" t="s">
        <v>23</v>
      </c>
      <c r="B85" t="s">
        <v>220</v>
      </c>
    </row>
    <row r="86" spans="1:2">
      <c r="A86" t="s">
        <v>221</v>
      </c>
      <c r="B86" t="s">
        <v>222</v>
      </c>
    </row>
    <row r="87" spans="1:2">
      <c r="A87" t="s">
        <v>46</v>
      </c>
      <c r="B87" t="s">
        <v>223</v>
      </c>
    </row>
    <row r="88" spans="1:2">
      <c r="A88" t="s">
        <v>41</v>
      </c>
      <c r="B88" t="s">
        <v>224</v>
      </c>
    </row>
    <row r="90" spans="1:2">
      <c r="A90" t="s">
        <v>225</v>
      </c>
    </row>
    <row r="92" spans="1:2">
      <c r="A92" t="s">
        <v>226</v>
      </c>
    </row>
    <row r="96" spans="1:2">
      <c r="A96" t="s">
        <v>227</v>
      </c>
    </row>
    <row r="98" spans="1:2">
      <c r="A98" t="s">
        <v>198</v>
      </c>
      <c r="B98" t="s">
        <v>199</v>
      </c>
    </row>
    <row r="99" spans="1:2">
      <c r="A99" t="s">
        <v>57</v>
      </c>
      <c r="B99" t="s">
        <v>228</v>
      </c>
    </row>
    <row r="100" spans="1:2">
      <c r="A100" t="s">
        <v>140</v>
      </c>
      <c r="B100" t="s">
        <v>229</v>
      </c>
    </row>
    <row r="101" spans="1:2">
      <c r="A101" t="s">
        <v>48</v>
      </c>
      <c r="B101" t="s">
        <v>230</v>
      </c>
    </row>
    <row r="102" spans="1:2">
      <c r="A102" t="s">
        <v>141</v>
      </c>
      <c r="B102" t="s">
        <v>231</v>
      </c>
    </row>
    <row r="104" spans="1:2">
      <c r="A104" t="s">
        <v>232</v>
      </c>
    </row>
    <row r="106" spans="1:2">
      <c r="A106" t="s">
        <v>233</v>
      </c>
    </row>
    <row r="110" spans="1:2">
      <c r="A110" t="s">
        <v>234</v>
      </c>
    </row>
    <row r="112" spans="1:2">
      <c r="A112" t="s">
        <v>198</v>
      </c>
      <c r="B112" t="s">
        <v>199</v>
      </c>
    </row>
    <row r="113" spans="1:2">
      <c r="A113" t="s">
        <v>142</v>
      </c>
      <c r="B113" t="s">
        <v>235</v>
      </c>
    </row>
    <row r="114" spans="1:2">
      <c r="A114" t="s">
        <v>143</v>
      </c>
      <c r="B114" t="s">
        <v>236</v>
      </c>
    </row>
    <row r="115" spans="1:2">
      <c r="A115" t="s">
        <v>144</v>
      </c>
      <c r="B115" t="s">
        <v>237</v>
      </c>
    </row>
    <row r="116" spans="1:2">
      <c r="A116" t="s">
        <v>145</v>
      </c>
      <c r="B116" t="s">
        <v>238</v>
      </c>
    </row>
    <row r="118" spans="1:2">
      <c r="A118" t="s">
        <v>239</v>
      </c>
    </row>
    <row r="122" spans="1:2">
      <c r="A122" t="s">
        <v>240</v>
      </c>
    </row>
    <row r="124" spans="1:2">
      <c r="A124" t="s">
        <v>198</v>
      </c>
      <c r="B124" t="s">
        <v>199</v>
      </c>
    </row>
    <row r="125" spans="1:2">
      <c r="A125" t="s">
        <v>64</v>
      </c>
      <c r="B125" t="s">
        <v>241</v>
      </c>
    </row>
    <row r="126" spans="1:2">
      <c r="A126" t="s">
        <v>146</v>
      </c>
      <c r="B126" t="s">
        <v>242</v>
      </c>
    </row>
    <row r="127" spans="1:2">
      <c r="A127" t="s">
        <v>147</v>
      </c>
      <c r="B127" t="s">
        <v>243</v>
      </c>
    </row>
    <row r="129" spans="1:2">
      <c r="A129" t="s">
        <v>244</v>
      </c>
    </row>
    <row r="131" spans="1:2">
      <c r="A131" t="s">
        <v>245</v>
      </c>
    </row>
    <row r="135" spans="1:2">
      <c r="A135" t="s">
        <v>246</v>
      </c>
    </row>
    <row r="137" spans="1:2">
      <c r="A137" t="s">
        <v>247</v>
      </c>
    </row>
    <row r="139" spans="1:2">
      <c r="A139" t="s">
        <v>198</v>
      </c>
      <c r="B139" t="s">
        <v>199</v>
      </c>
    </row>
    <row r="140" spans="1:2">
      <c r="A140" t="s">
        <v>148</v>
      </c>
      <c r="B140" t="s">
        <v>248</v>
      </c>
    </row>
    <row r="141" spans="1:2">
      <c r="A141" t="s">
        <v>149</v>
      </c>
      <c r="B141" t="s">
        <v>249</v>
      </c>
    </row>
    <row r="142" spans="1:2">
      <c r="A142" t="s">
        <v>150</v>
      </c>
      <c r="B142" t="s">
        <v>250</v>
      </c>
    </row>
    <row r="143" spans="1:2">
      <c r="A143" t="s">
        <v>151</v>
      </c>
      <c r="B143" t="s">
        <v>251</v>
      </c>
    </row>
    <row r="145" spans="1:2">
      <c r="A145" t="s">
        <v>252</v>
      </c>
    </row>
    <row r="147" spans="1:2">
      <c r="A147" t="s">
        <v>253</v>
      </c>
    </row>
    <row r="151" spans="1:2">
      <c r="A151" t="s">
        <v>254</v>
      </c>
    </row>
    <row r="153" spans="1:2">
      <c r="A153" t="s">
        <v>255</v>
      </c>
    </row>
    <row r="155" spans="1:2">
      <c r="A155" t="s">
        <v>198</v>
      </c>
      <c r="B155" t="s">
        <v>172</v>
      </c>
    </row>
    <row r="156" spans="1:2">
      <c r="A156" t="s">
        <v>152</v>
      </c>
      <c r="B156" t="s">
        <v>256</v>
      </c>
    </row>
    <row r="157" spans="1:2">
      <c r="A157" t="s">
        <v>153</v>
      </c>
      <c r="B157" t="s">
        <v>257</v>
      </c>
    </row>
    <row r="158" spans="1:2">
      <c r="A158" t="s">
        <v>154</v>
      </c>
      <c r="B158" t="s">
        <v>22</v>
      </c>
    </row>
    <row r="159" spans="1:2">
      <c r="A159" t="s">
        <v>155</v>
      </c>
      <c r="B159" t="s">
        <v>258</v>
      </c>
    </row>
    <row r="160" spans="1:2">
      <c r="A160" t="s">
        <v>156</v>
      </c>
      <c r="B160" t="s">
        <v>259</v>
      </c>
    </row>
    <row r="161" spans="1:2">
      <c r="A161" t="s">
        <v>157</v>
      </c>
      <c r="B161" t="s">
        <v>260</v>
      </c>
    </row>
    <row r="163" spans="1:2">
      <c r="A163" t="s">
        <v>261</v>
      </c>
    </row>
    <row r="165" spans="1:2">
      <c r="A165" t="s">
        <v>262</v>
      </c>
    </row>
    <row r="166" spans="1:2">
      <c r="A166" t="s">
        <v>263</v>
      </c>
    </row>
    <row r="167" spans="1:2">
      <c r="A167" t="s">
        <v>264</v>
      </c>
    </row>
    <row r="171" spans="1:2">
      <c r="A171" t="s">
        <v>265</v>
      </c>
    </row>
    <row r="173" spans="1:2">
      <c r="A173" t="s">
        <v>266</v>
      </c>
    </row>
    <row r="174" spans="1:2">
      <c r="A174" t="s">
        <v>267</v>
      </c>
    </row>
    <row r="176" spans="1:2">
      <c r="A176" t="s">
        <v>268</v>
      </c>
    </row>
    <row r="178" spans="1:2">
      <c r="A178" t="s">
        <v>269</v>
      </c>
    </row>
    <row r="180" spans="1:2">
      <c r="A180" t="s">
        <v>270</v>
      </c>
    </row>
    <row r="182" spans="1:2">
      <c r="A182" t="s">
        <v>271</v>
      </c>
    </row>
    <row r="184" spans="1:2">
      <c r="A184" t="s">
        <v>272</v>
      </c>
      <c r="B184" t="s">
        <v>273</v>
      </c>
    </row>
    <row r="185" spans="1:2">
      <c r="A185" t="s">
        <v>274</v>
      </c>
      <c r="B185" t="s">
        <v>275</v>
      </c>
    </row>
    <row r="186" spans="1:2">
      <c r="A186" t="s">
        <v>276</v>
      </c>
      <c r="B186" t="s">
        <v>277</v>
      </c>
    </row>
    <row r="187" spans="1:2">
      <c r="A187" t="s">
        <v>278</v>
      </c>
      <c r="B187" t="s">
        <v>279</v>
      </c>
    </row>
    <row r="188" spans="1:2">
      <c r="A188" t="s">
        <v>280</v>
      </c>
      <c r="B188" t="s">
        <v>281</v>
      </c>
    </row>
    <row r="189" spans="1:2">
      <c r="A189" t="s">
        <v>282</v>
      </c>
      <c r="B189" t="s">
        <v>283</v>
      </c>
    </row>
    <row r="191" spans="1:2">
      <c r="A191" t="s">
        <v>284</v>
      </c>
    </row>
    <row r="192" spans="1:2">
      <c r="A192" t="s">
        <v>285</v>
      </c>
    </row>
    <row r="196" spans="1:2">
      <c r="A196" t="s">
        <v>286</v>
      </c>
    </row>
    <row r="198" spans="1:2">
      <c r="A198" t="s">
        <v>287</v>
      </c>
    </row>
    <row r="200" spans="1:2">
      <c r="A200" t="s">
        <v>288</v>
      </c>
    </row>
    <row r="201" spans="1:2">
      <c r="A201" t="s">
        <v>289</v>
      </c>
    </row>
    <row r="202" spans="1:2">
      <c r="A202" t="s">
        <v>290</v>
      </c>
    </row>
    <row r="204" spans="1:2">
      <c r="A204" t="s">
        <v>291</v>
      </c>
    </row>
    <row r="206" spans="1:2">
      <c r="A206" t="s">
        <v>292</v>
      </c>
      <c r="B206" t="s">
        <v>293</v>
      </c>
    </row>
    <row r="207" spans="1:2">
      <c r="A207" t="s">
        <v>294</v>
      </c>
      <c r="B207" t="s">
        <v>22</v>
      </c>
    </row>
    <row r="208" spans="1:2">
      <c r="A208" t="s">
        <v>295</v>
      </c>
      <c r="B208" t="s">
        <v>296</v>
      </c>
    </row>
    <row r="209" spans="1:2">
      <c r="A209" t="s">
        <v>297</v>
      </c>
      <c r="B209" t="s">
        <v>176</v>
      </c>
    </row>
    <row r="210" spans="1:2">
      <c r="A210" t="s">
        <v>298</v>
      </c>
      <c r="B210" t="s">
        <v>299</v>
      </c>
    </row>
    <row r="211" spans="1:2">
      <c r="A211" t="s">
        <v>300</v>
      </c>
      <c r="B211" t="s">
        <v>301</v>
      </c>
    </row>
    <row r="213" spans="1:2">
      <c r="A213" s="31" t="s">
        <v>462</v>
      </c>
    </row>
    <row r="214" spans="1:2" ht="31.9">
      <c r="A214" s="23" t="s">
        <v>463</v>
      </c>
    </row>
    <row r="216" spans="1:2">
      <c r="A216" t="s">
        <v>464</v>
      </c>
    </row>
    <row r="217" spans="1:2">
      <c r="A217" s="22"/>
    </row>
    <row r="218" spans="1:2">
      <c r="A218" s="24" t="s">
        <v>465</v>
      </c>
    </row>
    <row r="220" spans="1:2">
      <c r="A220" t="s">
        <v>466</v>
      </c>
    </row>
    <row r="221" spans="1:2">
      <c r="A221" s="22"/>
    </row>
    <row r="222" spans="1:2">
      <c r="A222" s="24" t="s">
        <v>467</v>
      </c>
    </row>
    <row r="226" spans="1:1" ht="31.9">
      <c r="A226" s="23" t="s">
        <v>468</v>
      </c>
    </row>
    <row r="228" spans="1:1">
      <c r="A228" t="s">
        <v>469</v>
      </c>
    </row>
    <row r="229" spans="1:1">
      <c r="A229" s="29"/>
    </row>
    <row r="230" spans="1:1">
      <c r="A230" s="29" t="s">
        <v>470</v>
      </c>
    </row>
    <row r="231" spans="1:1">
      <c r="A231" s="29" t="s">
        <v>471</v>
      </c>
    </row>
    <row r="232" spans="1:1">
      <c r="A232" s="29" t="s">
        <v>472</v>
      </c>
    </row>
    <row r="234" spans="1:1">
      <c r="A234" t="s">
        <v>473</v>
      </c>
    </row>
    <row r="235" spans="1:1">
      <c r="A235" s="29"/>
    </row>
    <row r="236" spans="1:1">
      <c r="A236" s="29" t="s">
        <v>474</v>
      </c>
    </row>
    <row r="237" spans="1:1">
      <c r="A237" s="29" t="s">
        <v>475</v>
      </c>
    </row>
    <row r="238" spans="1:1">
      <c r="A238" s="29" t="s">
        <v>476</v>
      </c>
    </row>
    <row r="239" spans="1:1">
      <c r="A239" s="29" t="s">
        <v>477</v>
      </c>
    </row>
    <row r="240" spans="1:1">
      <c r="A240" s="29" t="s">
        <v>478</v>
      </c>
    </row>
    <row r="242" spans="1:1">
      <c r="A242" t="s">
        <v>479</v>
      </c>
    </row>
    <row r="243" spans="1:1">
      <c r="A243" s="29"/>
    </row>
    <row r="244" spans="1:1">
      <c r="A244" s="29" t="s">
        <v>480</v>
      </c>
    </row>
    <row r="245" spans="1:1">
      <c r="A245" s="29" t="s">
        <v>481</v>
      </c>
    </row>
    <row r="246" spans="1:1">
      <c r="A246" s="29" t="s">
        <v>482</v>
      </c>
    </row>
    <row r="247" spans="1:1">
      <c r="A247" s="29" t="s">
        <v>483</v>
      </c>
    </row>
    <row r="251" spans="1:1" ht="31.9">
      <c r="A251" s="23" t="s">
        <v>484</v>
      </c>
    </row>
    <row r="253" spans="1:1">
      <c r="A253" t="s">
        <v>485</v>
      </c>
    </row>
    <row r="254" spans="1:1">
      <c r="A254" s="29"/>
    </row>
    <row r="255" spans="1:1">
      <c r="A255" s="29" t="s">
        <v>486</v>
      </c>
    </row>
    <row r="256" spans="1:1">
      <c r="A256" s="29" t="s">
        <v>487</v>
      </c>
    </row>
    <row r="257" spans="1:1">
      <c r="A257" s="29" t="s">
        <v>488</v>
      </c>
    </row>
    <row r="259" spans="1:1">
      <c r="A259" t="s">
        <v>473</v>
      </c>
    </row>
    <row r="260" spans="1:1">
      <c r="A260" s="29"/>
    </row>
    <row r="261" spans="1:1">
      <c r="A261" s="29" t="s">
        <v>489</v>
      </c>
    </row>
    <row r="262" spans="1:1">
      <c r="A262" s="29" t="s">
        <v>490</v>
      </c>
    </row>
    <row r="263" spans="1:1">
      <c r="A263" s="29" t="s">
        <v>491</v>
      </c>
    </row>
    <row r="264" spans="1:1">
      <c r="A264" s="29" t="s">
        <v>492</v>
      </c>
    </row>
    <row r="265" spans="1:1">
      <c r="A265" s="29" t="s">
        <v>493</v>
      </c>
    </row>
    <row r="267" spans="1:1">
      <c r="A267" t="s">
        <v>479</v>
      </c>
    </row>
    <row r="268" spans="1:1">
      <c r="A268" s="29"/>
    </row>
    <row r="269" spans="1:1">
      <c r="A269" s="29" t="s">
        <v>494</v>
      </c>
    </row>
    <row r="270" spans="1:1">
      <c r="A270" s="29" t="s">
        <v>495</v>
      </c>
    </row>
    <row r="271" spans="1:1">
      <c r="A271" s="29" t="s">
        <v>496</v>
      </c>
    </row>
    <row r="272" spans="1:1">
      <c r="A272" s="29" t="s">
        <v>497</v>
      </c>
    </row>
    <row r="276" spans="1:1" ht="31.9">
      <c r="A276" s="23" t="s">
        <v>498</v>
      </c>
    </row>
    <row r="278" spans="1:1">
      <c r="A278" t="s">
        <v>499</v>
      </c>
    </row>
    <row r="279" spans="1:1">
      <c r="A279" s="22"/>
    </row>
    <row r="280" spans="1:1">
      <c r="A280" s="24" t="s">
        <v>500</v>
      </c>
    </row>
    <row r="281" spans="1:1">
      <c r="A281" s="24" t="s">
        <v>501</v>
      </c>
    </row>
    <row r="282" spans="1:1">
      <c r="A282" s="24" t="s">
        <v>502</v>
      </c>
    </row>
    <row r="284" spans="1:1">
      <c r="A284" t="s">
        <v>503</v>
      </c>
    </row>
    <row r="285" spans="1:1">
      <c r="A285" s="22"/>
    </row>
    <row r="286" spans="1:1">
      <c r="A286" s="24" t="s">
        <v>500</v>
      </c>
    </row>
    <row r="287" spans="1:1">
      <c r="A287" s="24" t="s">
        <v>504</v>
      </c>
    </row>
    <row r="288" spans="1:1">
      <c r="A288" s="24" t="s">
        <v>502</v>
      </c>
    </row>
    <row r="292" spans="1:1" ht="31.9">
      <c r="A292" s="23" t="s">
        <v>505</v>
      </c>
    </row>
    <row r="294" spans="1:1">
      <c r="A294" t="s">
        <v>506</v>
      </c>
    </row>
    <row r="295" spans="1:1">
      <c r="A295" s="22"/>
    </row>
    <row r="296" spans="1:1">
      <c r="A296" s="24" t="s">
        <v>507</v>
      </c>
    </row>
    <row r="298" spans="1:1">
      <c r="A298" t="s">
        <v>271</v>
      </c>
    </row>
    <row r="300" spans="1:1" ht="23.25">
      <c r="A300" s="28" t="s">
        <v>468</v>
      </c>
    </row>
    <row r="301" spans="1:1">
      <c r="A301" s="22"/>
    </row>
    <row r="302" spans="1:1">
      <c r="A302" s="24" t="s">
        <v>508</v>
      </c>
    </row>
    <row r="304" spans="1:1">
      <c r="A304" t="s">
        <v>466</v>
      </c>
    </row>
    <row r="305" spans="1:1">
      <c r="A305" s="29"/>
    </row>
    <row r="306" spans="1:1">
      <c r="A306" s="29" t="s">
        <v>509</v>
      </c>
    </row>
    <row r="307" spans="1:1">
      <c r="A307" s="29" t="s">
        <v>510</v>
      </c>
    </row>
    <row r="311" spans="1:1" ht="23.25">
      <c r="A311" s="28" t="s">
        <v>484</v>
      </c>
    </row>
    <row r="312" spans="1:1">
      <c r="A312" s="22"/>
    </row>
    <row r="313" spans="1:1">
      <c r="A313" s="24" t="s">
        <v>511</v>
      </c>
    </row>
    <row r="315" spans="1:1">
      <c r="A315" t="s">
        <v>466</v>
      </c>
    </row>
    <row r="316" spans="1:1">
      <c r="A316" s="29"/>
    </row>
    <row r="317" spans="1:1">
      <c r="A317" s="29" t="s">
        <v>512</v>
      </c>
    </row>
    <row r="318" spans="1:1">
      <c r="A318" s="29" t="s">
        <v>513</v>
      </c>
    </row>
    <row r="320" spans="1:1">
      <c r="A320" t="s">
        <v>514</v>
      </c>
    </row>
    <row r="321" spans="1:1">
      <c r="A321" s="29"/>
    </row>
    <row r="322" spans="1:1">
      <c r="A322" s="29" t="s">
        <v>515</v>
      </c>
    </row>
    <row r="326" spans="1:1" ht="31.9">
      <c r="A326" s="23" t="s">
        <v>516</v>
      </c>
    </row>
    <row r="328" spans="1:1">
      <c r="A328" t="s">
        <v>517</v>
      </c>
    </row>
    <row r="330" spans="1:1">
      <c r="A330" t="s">
        <v>518</v>
      </c>
    </row>
    <row r="331" spans="1:1">
      <c r="A331" s="22"/>
    </row>
    <row r="332" spans="1:1">
      <c r="A332" s="24" t="s">
        <v>519</v>
      </c>
    </row>
    <row r="334" spans="1:1">
      <c r="A334" t="s">
        <v>520</v>
      </c>
    </row>
    <row r="335" spans="1:1">
      <c r="A335" s="22"/>
    </row>
    <row r="336" spans="1:1">
      <c r="A336" s="24" t="s">
        <v>521</v>
      </c>
    </row>
    <row r="340" spans="1:1" ht="31.9">
      <c r="A340" s="23" t="s">
        <v>522</v>
      </c>
    </row>
    <row r="342" spans="1:1">
      <c r="A342" t="s">
        <v>523</v>
      </c>
    </row>
    <row r="343" spans="1:1">
      <c r="A343" s="29"/>
    </row>
    <row r="344" spans="1:1">
      <c r="A344" s="29" t="s">
        <v>119</v>
      </c>
    </row>
    <row r="345" spans="1:1">
      <c r="A345" s="29" t="s">
        <v>524</v>
      </c>
    </row>
    <row r="346" spans="1:1">
      <c r="A346" s="29" t="s">
        <v>525</v>
      </c>
    </row>
    <row r="347" spans="1:1">
      <c r="A347" s="29" t="s">
        <v>526</v>
      </c>
    </row>
    <row r="348" spans="1:1">
      <c r="A348" s="29" t="s">
        <v>527</v>
      </c>
    </row>
    <row r="349" spans="1:1">
      <c r="A349" s="29" t="s">
        <v>528</v>
      </c>
    </row>
    <row r="353" spans="1:1" ht="31.9">
      <c r="A353" s="23" t="s">
        <v>125</v>
      </c>
    </row>
    <row r="355" spans="1:1" ht="23.25">
      <c r="A355" s="28" t="s">
        <v>442</v>
      </c>
    </row>
    <row r="357" spans="1:1">
      <c r="A357" t="s">
        <v>529</v>
      </c>
    </row>
    <row r="358" spans="1:1">
      <c r="A358" s="29"/>
    </row>
    <row r="359" spans="1:1">
      <c r="A359" s="29" t="s">
        <v>530</v>
      </c>
    </row>
    <row r="360" spans="1:1">
      <c r="A360" s="29" t="s">
        <v>481</v>
      </c>
    </row>
    <row r="361" spans="1:1">
      <c r="A361" s="29" t="s">
        <v>531</v>
      </c>
    </row>
    <row r="363" spans="1:1">
      <c r="A363" t="s">
        <v>532</v>
      </c>
    </row>
    <row r="364" spans="1:1">
      <c r="A364" s="22"/>
    </row>
    <row r="365" spans="1:1">
      <c r="A365" s="24" t="s">
        <v>533</v>
      </c>
    </row>
    <row r="367" spans="1:1">
      <c r="A367" t="s">
        <v>534</v>
      </c>
    </row>
    <row r="368" spans="1:1">
      <c r="A368" s="29"/>
    </row>
    <row r="369" spans="1:1">
      <c r="A369" s="29" t="s">
        <v>535</v>
      </c>
    </row>
    <row r="373" spans="1:1" ht="31.9">
      <c r="A373" s="23" t="s">
        <v>536</v>
      </c>
    </row>
    <row r="375" spans="1:1">
      <c r="A375" t="s">
        <v>537</v>
      </c>
    </row>
    <row r="376" spans="1:1">
      <c r="A376" s="22"/>
    </row>
    <row r="377" spans="1:1">
      <c r="A377" s="24" t="s">
        <v>538</v>
      </c>
    </row>
    <row r="379" spans="1:1">
      <c r="A379" t="s">
        <v>159</v>
      </c>
    </row>
    <row r="380" spans="1:1">
      <c r="A380" s="29"/>
    </row>
    <row r="381" spans="1:1">
      <c r="A381" s="29" t="s">
        <v>539</v>
      </c>
    </row>
    <row r="382" spans="1:1">
      <c r="A382" s="29" t="s">
        <v>540</v>
      </c>
    </row>
    <row r="383" spans="1:1">
      <c r="A383" s="29" t="s">
        <v>541</v>
      </c>
    </row>
    <row r="385" spans="1:1">
      <c r="A385" t="s">
        <v>542</v>
      </c>
    </row>
    <row r="386" spans="1:1">
      <c r="A386" s="22"/>
    </row>
    <row r="387" spans="1:1">
      <c r="A387" s="24" t="s">
        <v>543</v>
      </c>
    </row>
    <row r="389" spans="1:1">
      <c r="A389" t="s">
        <v>544</v>
      </c>
    </row>
    <row r="391" spans="1:1">
      <c r="A391" t="s">
        <v>545</v>
      </c>
    </row>
    <row r="395" spans="1:1" ht="31.9">
      <c r="A395" s="23" t="s">
        <v>546</v>
      </c>
    </row>
    <row r="397" spans="1:1">
      <c r="A397" t="s">
        <v>547</v>
      </c>
    </row>
    <row r="398" spans="1:1">
      <c r="A398" s="22"/>
    </row>
    <row r="399" spans="1:1">
      <c r="A399" s="24" t="s">
        <v>548</v>
      </c>
    </row>
    <row r="401" spans="1:1">
      <c r="A401" t="s">
        <v>549</v>
      </c>
    </row>
    <row r="402" spans="1:1">
      <c r="A402" s="29"/>
    </row>
    <row r="403" spans="1:1">
      <c r="A403" s="29" t="s">
        <v>550</v>
      </c>
    </row>
    <row r="404" spans="1:1">
      <c r="A404" s="29" t="s">
        <v>551</v>
      </c>
    </row>
    <row r="405" spans="1:1">
      <c r="A405" s="29" t="s">
        <v>552</v>
      </c>
    </row>
    <row r="407" spans="1:1">
      <c r="A407" t="s">
        <v>553</v>
      </c>
    </row>
    <row r="409" spans="1:1" ht="23.25">
      <c r="A409" s="28" t="s">
        <v>554</v>
      </c>
    </row>
    <row r="411" spans="1:1">
      <c r="A411" t="s">
        <v>555</v>
      </c>
    </row>
    <row r="412" spans="1:1">
      <c r="A412" s="22"/>
    </row>
    <row r="413" spans="1:1">
      <c r="A413" s="24" t="s">
        <v>556</v>
      </c>
    </row>
    <row r="415" spans="1:1">
      <c r="A415" t="s">
        <v>557</v>
      </c>
    </row>
    <row r="416" spans="1:1">
      <c r="A416" s="22"/>
    </row>
    <row r="417" spans="1:1">
      <c r="A417" s="24" t="s">
        <v>558</v>
      </c>
    </row>
    <row r="419" spans="1:1">
      <c r="A419" t="s">
        <v>559</v>
      </c>
    </row>
    <row r="421" spans="1:1">
      <c r="A421" t="s">
        <v>560</v>
      </c>
    </row>
    <row r="425" spans="1:1" ht="31.9">
      <c r="A425" s="23" t="s">
        <v>561</v>
      </c>
    </row>
    <row r="427" spans="1:1">
      <c r="A427" t="s">
        <v>562</v>
      </c>
    </row>
    <row r="429" spans="1:1" ht="31.9">
      <c r="A429" s="23" t="s">
        <v>563</v>
      </c>
    </row>
    <row r="430" spans="1:1">
      <c r="A430" s="22"/>
    </row>
    <row r="431" spans="1:1">
      <c r="A431" s="24" t="s">
        <v>564</v>
      </c>
    </row>
    <row r="433" spans="1:1">
      <c r="A433" t="s">
        <v>565</v>
      </c>
    </row>
    <row r="435" spans="1:1" ht="31.9">
      <c r="A435" s="23" t="s">
        <v>566</v>
      </c>
    </row>
    <row r="436" spans="1:1">
      <c r="A436" s="22"/>
    </row>
    <row r="437" spans="1:1">
      <c r="A437" s="24" t="s">
        <v>567</v>
      </c>
    </row>
    <row r="439" spans="1:1">
      <c r="A439" t="s">
        <v>568</v>
      </c>
    </row>
    <row r="443" spans="1:1" ht="31.9">
      <c r="A443" s="23" t="s">
        <v>125</v>
      </c>
    </row>
    <row r="445" spans="1:1" ht="23.25">
      <c r="A445" s="28" t="s">
        <v>569</v>
      </c>
    </row>
    <row r="447" spans="1:1">
      <c r="A447" t="s">
        <v>570</v>
      </c>
    </row>
    <row r="448" spans="1:1">
      <c r="A448" s="29"/>
    </row>
    <row r="449" spans="1:1">
      <c r="A449" s="29" t="s">
        <v>571</v>
      </c>
    </row>
    <row r="450" spans="1:1">
      <c r="A450" s="29" t="s">
        <v>572</v>
      </c>
    </row>
    <row r="451" spans="1:1">
      <c r="A451" s="29" t="s">
        <v>573</v>
      </c>
    </row>
    <row r="452" spans="1:1">
      <c r="A452" s="29" t="s">
        <v>574</v>
      </c>
    </row>
    <row r="454" spans="1:1">
      <c r="A454" t="s">
        <v>575</v>
      </c>
    </row>
    <row r="455" spans="1:1">
      <c r="A455" s="29"/>
    </row>
    <row r="456" spans="1:1">
      <c r="A456" s="29" t="s">
        <v>576</v>
      </c>
    </row>
    <row r="460" spans="1:1" ht="31.9">
      <c r="A460" s="23" t="s">
        <v>577</v>
      </c>
    </row>
    <row r="461" spans="1:1">
      <c r="A461" s="22"/>
    </row>
    <row r="462" spans="1:1">
      <c r="A462" s="24" t="s">
        <v>578</v>
      </c>
    </row>
    <row r="463" spans="1:1">
      <c r="A463" s="24" t="s">
        <v>579</v>
      </c>
    </row>
    <row r="464" spans="1:1">
      <c r="A464" s="24" t="s">
        <v>580</v>
      </c>
    </row>
    <row r="465" spans="1:1">
      <c r="A465" s="24" t="s">
        <v>579</v>
      </c>
    </row>
    <row r="466" spans="1:1">
      <c r="A466" s="24" t="s">
        <v>581</v>
      </c>
    </row>
    <row r="467" spans="1:1">
      <c r="A467" s="24" t="s">
        <v>579</v>
      </c>
    </row>
    <row r="468" spans="1:1">
      <c r="A468" s="24" t="s">
        <v>582</v>
      </c>
    </row>
    <row r="472" spans="1:1" ht="31.9">
      <c r="A472" s="23" t="s">
        <v>583</v>
      </c>
    </row>
    <row r="473" spans="1:1">
      <c r="A473" s="22"/>
    </row>
    <row r="474" spans="1:1">
      <c r="A474" s="24" t="s">
        <v>578</v>
      </c>
    </row>
    <row r="475" spans="1:1">
      <c r="A475" s="24" t="s">
        <v>579</v>
      </c>
    </row>
    <row r="476" spans="1:1">
      <c r="A476" s="24" t="s">
        <v>584</v>
      </c>
    </row>
    <row r="477" spans="1:1">
      <c r="A477" s="24" t="s">
        <v>579</v>
      </c>
    </row>
    <row r="478" spans="1:1">
      <c r="A478" s="24" t="s">
        <v>585</v>
      </c>
    </row>
    <row r="479" spans="1:1">
      <c r="A479" s="24" t="s">
        <v>579</v>
      </c>
    </row>
    <row r="480" spans="1:1">
      <c r="A480" s="24" t="s">
        <v>586</v>
      </c>
    </row>
    <row r="481" spans="1:1">
      <c r="A481" s="24" t="s">
        <v>579</v>
      </c>
    </row>
    <row r="482" spans="1:1">
      <c r="A482" s="24" t="s">
        <v>587</v>
      </c>
    </row>
    <row r="484" spans="1:1">
      <c r="A484" t="s">
        <v>588</v>
      </c>
    </row>
    <row r="485" spans="1:1">
      <c r="A485" s="29"/>
    </row>
    <row r="486" spans="1:1">
      <c r="A486" s="29" t="s">
        <v>589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B789E-96C1-4A68-AB4A-B5AB39D199D7}">
  <dimension ref="A1:D199"/>
  <sheetViews>
    <sheetView workbookViewId="0">
      <selection activeCell="G7" sqref="G7"/>
    </sheetView>
  </sheetViews>
  <sheetFormatPr defaultRowHeight="14.25"/>
  <sheetData>
    <row r="1" spans="1:3" ht="31.9">
      <c r="A1" s="23" t="s">
        <v>323</v>
      </c>
    </row>
    <row r="5" spans="1:3" ht="31.9">
      <c r="A5" s="23" t="s">
        <v>324</v>
      </c>
    </row>
    <row r="7" spans="1:3">
      <c r="A7" t="s">
        <v>325</v>
      </c>
    </row>
    <row r="8" spans="1:3">
      <c r="A8" s="22"/>
    </row>
    <row r="9" spans="1:3">
      <c r="A9" s="24" t="s">
        <v>326</v>
      </c>
    </row>
    <row r="11" spans="1:3">
      <c r="A11" t="s">
        <v>327</v>
      </c>
    </row>
    <row r="13" spans="1:3">
      <c r="A13" s="25" t="s">
        <v>328</v>
      </c>
      <c r="B13" s="25" t="s">
        <v>329</v>
      </c>
      <c r="C13" s="25" t="s">
        <v>330</v>
      </c>
    </row>
    <row r="14" spans="1:3">
      <c r="A14" s="26" t="s">
        <v>331</v>
      </c>
      <c r="B14" s="26" t="s">
        <v>198</v>
      </c>
      <c r="C14" s="26" t="s">
        <v>332</v>
      </c>
    </row>
    <row r="16" spans="1:3">
      <c r="A16" t="s">
        <v>271</v>
      </c>
    </row>
    <row r="18" spans="1:3">
      <c r="A18" s="25" t="s">
        <v>331</v>
      </c>
      <c r="B18" s="25" t="s">
        <v>198</v>
      </c>
      <c r="C18" s="25" t="s">
        <v>332</v>
      </c>
    </row>
    <row r="19" spans="1:3">
      <c r="A19" s="27">
        <v>46143</v>
      </c>
      <c r="B19" s="26" t="s">
        <v>80</v>
      </c>
      <c r="C19" s="26">
        <v>5.22</v>
      </c>
    </row>
    <row r="20" spans="1:3">
      <c r="A20" s="27">
        <v>46144</v>
      </c>
      <c r="B20" s="26" t="s">
        <v>80</v>
      </c>
      <c r="C20" s="26">
        <v>5.31</v>
      </c>
    </row>
    <row r="23" spans="1:3" ht="23.25">
      <c r="A23" s="28" t="s">
        <v>333</v>
      </c>
    </row>
    <row r="25" spans="1:3">
      <c r="A25" t="s">
        <v>334</v>
      </c>
    </row>
    <row r="26" spans="1:3">
      <c r="A26" s="29"/>
    </row>
    <row r="27" spans="1:3">
      <c r="A27" s="29" t="s">
        <v>335</v>
      </c>
    </row>
    <row r="28" spans="1:3">
      <c r="A28" s="29" t="s">
        <v>336</v>
      </c>
    </row>
    <row r="29" spans="1:3">
      <c r="A29" s="29" t="s">
        <v>337</v>
      </c>
    </row>
    <row r="33" spans="1:4" ht="31.9">
      <c r="A33" s="23" t="s">
        <v>338</v>
      </c>
    </row>
    <row r="35" spans="1:4">
      <c r="A35" t="s">
        <v>339</v>
      </c>
    </row>
    <row r="37" spans="1:4" ht="28.5">
      <c r="A37" s="25" t="s">
        <v>198</v>
      </c>
      <c r="B37" s="25" t="s">
        <v>340</v>
      </c>
      <c r="C37" s="25" t="s">
        <v>341</v>
      </c>
      <c r="D37" s="25" t="s">
        <v>342</v>
      </c>
    </row>
    <row r="39" spans="1:4">
      <c r="A39" t="s">
        <v>343</v>
      </c>
    </row>
    <row r="40" spans="1:4">
      <c r="A40" s="29"/>
    </row>
    <row r="41" spans="1:4">
      <c r="A41" s="29" t="s">
        <v>344</v>
      </c>
    </row>
    <row r="42" spans="1:4">
      <c r="A42" s="29" t="s">
        <v>345</v>
      </c>
    </row>
    <row r="46" spans="1:4" ht="31.9">
      <c r="A46" s="23" t="s">
        <v>346</v>
      </c>
    </row>
    <row r="48" spans="1:4">
      <c r="A48" t="s">
        <v>347</v>
      </c>
    </row>
    <row r="50" spans="1:1">
      <c r="A50" t="s">
        <v>348</v>
      </c>
    </row>
    <row r="52" spans="1:1">
      <c r="A52" t="s">
        <v>349</v>
      </c>
    </row>
    <row r="54" spans="1:1">
      <c r="A54" t="s">
        <v>350</v>
      </c>
    </row>
    <row r="56" spans="1:1">
      <c r="A56" t="s">
        <v>351</v>
      </c>
    </row>
    <row r="60" spans="1:1" ht="23.25">
      <c r="A60" s="28" t="s">
        <v>352</v>
      </c>
    </row>
    <row r="62" spans="1:1">
      <c r="A62" t="s">
        <v>353</v>
      </c>
    </row>
    <row r="63" spans="1:1">
      <c r="A63" s="22"/>
    </row>
    <row r="64" spans="1:1">
      <c r="A64" s="24" t="s">
        <v>354</v>
      </c>
    </row>
    <row r="66" spans="1:1">
      <c r="A66" t="s">
        <v>355</v>
      </c>
    </row>
    <row r="67" spans="1:1">
      <c r="A67" s="22"/>
    </row>
    <row r="68" spans="1:1">
      <c r="A68" s="24" t="e">
        <f>AVERAGE(C2:C11)</f>
        <v>#DIV/0!</v>
      </c>
    </row>
    <row r="72" spans="1:1" ht="23.25">
      <c r="A72" s="28" t="s">
        <v>333</v>
      </c>
    </row>
    <row r="74" spans="1:1">
      <c r="A74" t="s">
        <v>356</v>
      </c>
    </row>
    <row r="75" spans="1:1">
      <c r="A75" s="29"/>
    </row>
    <row r="76" spans="1:1">
      <c r="A76" s="29" t="s">
        <v>357</v>
      </c>
    </row>
    <row r="77" spans="1:1">
      <c r="A77" s="29" t="s">
        <v>358</v>
      </c>
    </row>
    <row r="78" spans="1:1">
      <c r="A78" s="29" t="s">
        <v>359</v>
      </c>
    </row>
    <row r="80" spans="1:1">
      <c r="A80" t="s">
        <v>360</v>
      </c>
    </row>
    <row r="84" spans="1:2" ht="31.9">
      <c r="A84" s="23" t="s">
        <v>361</v>
      </c>
    </row>
    <row r="86" spans="1:2">
      <c r="A86" t="s">
        <v>362</v>
      </c>
    </row>
    <row r="88" spans="1:2">
      <c r="A88" t="s">
        <v>327</v>
      </c>
    </row>
    <row r="90" spans="1:2">
      <c r="A90" t="s">
        <v>363</v>
      </c>
    </row>
    <row r="94" spans="1:2" ht="23.25">
      <c r="A94" s="28" t="s">
        <v>172</v>
      </c>
    </row>
    <row r="96" spans="1:2">
      <c r="A96" s="25" t="s">
        <v>364</v>
      </c>
      <c r="B96" s="25" t="s">
        <v>124</v>
      </c>
    </row>
    <row r="97" spans="1:2" ht="57">
      <c r="A97" s="26" t="s">
        <v>365</v>
      </c>
      <c r="B97" s="26" t="s">
        <v>366</v>
      </c>
    </row>
    <row r="98" spans="1:2" ht="28.5">
      <c r="A98" s="26" t="s">
        <v>367</v>
      </c>
      <c r="B98" s="26" t="s">
        <v>368</v>
      </c>
    </row>
    <row r="99" spans="1:2" ht="28.5">
      <c r="A99" s="26" t="s">
        <v>369</v>
      </c>
      <c r="B99" s="26" t="s">
        <v>370</v>
      </c>
    </row>
    <row r="100" spans="1:2" ht="28.5">
      <c r="A100" s="26" t="s">
        <v>371</v>
      </c>
      <c r="B100" s="26" t="s">
        <v>372</v>
      </c>
    </row>
    <row r="103" spans="1:2" ht="31.9">
      <c r="A103" s="23" t="s">
        <v>373</v>
      </c>
    </row>
    <row r="105" spans="1:2">
      <c r="A105" t="s">
        <v>271</v>
      </c>
    </row>
    <row r="106" spans="1:2">
      <c r="A106" s="22"/>
    </row>
    <row r="107" spans="1:2">
      <c r="A107" s="24" t="e" cm="1">
        <f t="array" ref="A107">IF(CurrentPrice&gt;MA50,"Bullish","Bearish")</f>
        <v>#NAME?</v>
      </c>
    </row>
    <row r="109" spans="1:2">
      <c r="A109" t="s">
        <v>374</v>
      </c>
    </row>
    <row r="113" spans="1:1" ht="31.9">
      <c r="A113" s="23" t="s">
        <v>375</v>
      </c>
    </row>
    <row r="115" spans="1:1">
      <c r="A115" t="s">
        <v>376</v>
      </c>
    </row>
    <row r="117" spans="1:1">
      <c r="A117" t="s">
        <v>377</v>
      </c>
    </row>
    <row r="121" spans="1:1" ht="23.25">
      <c r="A121" s="28" t="s">
        <v>98</v>
      </c>
    </row>
    <row r="122" spans="1:1">
      <c r="A122" s="22"/>
    </row>
    <row r="123" spans="1:1">
      <c r="A123" s="24">
        <f>C3-C2</f>
        <v>0</v>
      </c>
    </row>
    <row r="127" spans="1:1" ht="23.25">
      <c r="A127" s="28" t="s">
        <v>378</v>
      </c>
    </row>
    <row r="128" spans="1:1">
      <c r="A128" s="22"/>
    </row>
    <row r="129" spans="1:1">
      <c r="A129" s="24">
        <f>MAX(D3,0)</f>
        <v>0</v>
      </c>
    </row>
    <row r="133" spans="1:1" ht="23.25">
      <c r="A133" s="28" t="s">
        <v>379</v>
      </c>
    </row>
    <row r="134" spans="1:1">
      <c r="A134" s="22"/>
    </row>
    <row r="135" spans="1:1">
      <c r="A135" s="24">
        <f>ABS(MIN(D3,0))</f>
        <v>0</v>
      </c>
    </row>
    <row r="139" spans="1:1" ht="31.9">
      <c r="A139" s="23" t="s">
        <v>380</v>
      </c>
    </row>
    <row r="141" spans="1:1">
      <c r="A141" t="s">
        <v>381</v>
      </c>
    </row>
    <row r="143" spans="1:1">
      <c r="A143" t="s">
        <v>382</v>
      </c>
    </row>
    <row r="147" spans="1:1" ht="23.25">
      <c r="A147" s="28" t="s">
        <v>383</v>
      </c>
    </row>
    <row r="149" spans="1:1" ht="17.649999999999999">
      <c r="A149" s="30" t="s">
        <v>384</v>
      </c>
    </row>
    <row r="150" spans="1:1">
      <c r="A150" s="22"/>
    </row>
    <row r="151" spans="1:1">
      <c r="A151" s="24" t="e">
        <f>AVERAGE(E2:E15)</f>
        <v>#DIV/0!</v>
      </c>
    </row>
    <row r="153" spans="1:1" ht="17.649999999999999">
      <c r="A153" s="30" t="s">
        <v>385</v>
      </c>
    </row>
    <row r="154" spans="1:1">
      <c r="A154" s="22"/>
    </row>
    <row r="155" spans="1:1">
      <c r="A155" s="24" t="e">
        <f>AVERAGE(F2:F15)</f>
        <v>#DIV/0!</v>
      </c>
    </row>
    <row r="157" spans="1:1" ht="17.649999999999999">
      <c r="A157" s="30" t="s">
        <v>386</v>
      </c>
    </row>
    <row r="158" spans="1:1">
      <c r="A158" s="22"/>
    </row>
    <row r="159" spans="1:1">
      <c r="A159" s="24" t="e" cm="1">
        <f t="array" ref="A159">AvgGain/AvgLoss</f>
        <v>#NAME?</v>
      </c>
    </row>
    <row r="161" spans="1:1" ht="17.649999999999999">
      <c r="A161" s="30" t="s">
        <v>119</v>
      </c>
    </row>
    <row r="162" spans="1:1">
      <c r="A162" s="22"/>
    </row>
    <row r="163" spans="1:1">
      <c r="A163" s="24" t="e" cm="1">
        <f t="array" ref="A163">100-(100/(1+RS))</f>
        <v>#NAME?</v>
      </c>
    </row>
    <row r="167" spans="1:1" ht="31.9">
      <c r="A167" s="23" t="s">
        <v>387</v>
      </c>
    </row>
    <row r="168" spans="1:1">
      <c r="A168" s="22"/>
    </row>
    <row r="169" spans="1:1">
      <c r="A169" s="24" t="e" cm="1">
        <f t="array" ref="A169">IF(RSI&lt;30,"Oversold",IF(RSI&gt;70,"Overbought","Neutral"))</f>
        <v>#NAME?</v>
      </c>
    </row>
    <row r="173" spans="1:1" ht="31.9">
      <c r="A173" s="23" t="s">
        <v>388</v>
      </c>
    </row>
    <row r="175" spans="1:1">
      <c r="A175" t="s">
        <v>381</v>
      </c>
    </row>
    <row r="177" spans="1:1">
      <c r="A177" t="s">
        <v>389</v>
      </c>
    </row>
    <row r="179" spans="1:1">
      <c r="A179" t="s">
        <v>390</v>
      </c>
    </row>
    <row r="183" spans="1:1" ht="23.25">
      <c r="A183" s="28" t="s">
        <v>383</v>
      </c>
    </row>
    <row r="185" spans="1:1" ht="17.649999999999999">
      <c r="A185" s="30" t="s">
        <v>391</v>
      </c>
    </row>
    <row r="186" spans="1:1">
      <c r="A186" s="22"/>
    </row>
    <row r="187" spans="1:1">
      <c r="A187" s="24" t="e">
        <f>AVERAGE(last20)</f>
        <v>#NAME?</v>
      </c>
    </row>
    <row r="189" spans="1:1" ht="17.649999999999999">
      <c r="A189" s="30" t="s">
        <v>392</v>
      </c>
    </row>
    <row r="190" spans="1:1">
      <c r="A190" s="22"/>
    </row>
    <row r="191" spans="1:1">
      <c r="A191" s="24" t="e">
        <f>_xlfn.STDEV.P(last20)</f>
        <v>#NAME?</v>
      </c>
    </row>
    <row r="193" spans="1:1" ht="17.649999999999999">
      <c r="A193" s="30" t="s">
        <v>393</v>
      </c>
    </row>
    <row r="194" spans="1:1">
      <c r="A194" s="22"/>
    </row>
    <row r="195" spans="1:1">
      <c r="A195" s="24" t="e" cm="1">
        <f t="array" ref="A195">MA20+(2*StdDev)</f>
        <v>#NAME?</v>
      </c>
    </row>
    <row r="197" spans="1:1" ht="17.649999999999999">
      <c r="A197" s="30" t="s">
        <v>394</v>
      </c>
    </row>
    <row r="198" spans="1:1">
      <c r="A198" s="22"/>
    </row>
    <row r="199" spans="1:1">
      <c r="A199" s="24" t="e" cm="1">
        <f t="array" ref="A199">MA20-(2*StdDev)</f>
        <v>#NAME?</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D66AE-11E1-41AC-875F-1DBE679B5DE3}">
  <dimension ref="A1:B46"/>
  <sheetViews>
    <sheetView topLeftCell="A31" workbookViewId="0">
      <selection activeCell="A39" sqref="A39:B46"/>
    </sheetView>
  </sheetViews>
  <sheetFormatPr defaultRowHeight="14.25"/>
  <sheetData>
    <row r="1" spans="1:2">
      <c r="A1" t="s">
        <v>396</v>
      </c>
    </row>
    <row r="3" spans="1:2">
      <c r="A3" t="s">
        <v>397</v>
      </c>
    </row>
    <row r="7" spans="1:2">
      <c r="A7" t="s">
        <v>398</v>
      </c>
    </row>
    <row r="9" spans="1:2">
      <c r="A9" t="s">
        <v>399</v>
      </c>
    </row>
    <row r="11" spans="1:2">
      <c r="A11" t="s">
        <v>400</v>
      </c>
      <c r="B11" t="s">
        <v>125</v>
      </c>
    </row>
    <row r="12" spans="1:2">
      <c r="A12" t="s">
        <v>401</v>
      </c>
      <c r="B12" t="s">
        <v>402</v>
      </c>
    </row>
    <row r="13" spans="1:2">
      <c r="A13" t="s">
        <v>403</v>
      </c>
      <c r="B13" t="s">
        <v>404</v>
      </c>
    </row>
    <row r="14" spans="1:2">
      <c r="A14" t="s">
        <v>405</v>
      </c>
      <c r="B14" t="s">
        <v>406</v>
      </c>
    </row>
    <row r="15" spans="1:2">
      <c r="A15" t="s">
        <v>407</v>
      </c>
      <c r="B15" t="s">
        <v>408</v>
      </c>
    </row>
    <row r="16" spans="1:2">
      <c r="A16" t="s">
        <v>409</v>
      </c>
      <c r="B16" t="s">
        <v>410</v>
      </c>
    </row>
    <row r="18" spans="1:2">
      <c r="A18" t="s">
        <v>334</v>
      </c>
    </row>
    <row r="20" spans="1:2">
      <c r="A20" t="s">
        <v>411</v>
      </c>
    </row>
    <row r="22" spans="1:2">
      <c r="A22" t="s">
        <v>400</v>
      </c>
      <c r="B22" t="s">
        <v>412</v>
      </c>
    </row>
    <row r="23" spans="1:2">
      <c r="A23" t="s">
        <v>413</v>
      </c>
      <c r="B23" t="s">
        <v>414</v>
      </c>
    </row>
    <row r="24" spans="1:2">
      <c r="A24" t="s">
        <v>415</v>
      </c>
      <c r="B24" t="s">
        <v>416</v>
      </c>
    </row>
    <row r="25" spans="1:2">
      <c r="A25" t="s">
        <v>417</v>
      </c>
      <c r="B25" t="s">
        <v>418</v>
      </c>
    </row>
    <row r="26" spans="1:2">
      <c r="A26" t="s">
        <v>419</v>
      </c>
      <c r="B26" t="s">
        <v>420</v>
      </c>
    </row>
    <row r="28" spans="1:2">
      <c r="A28" t="s">
        <v>432</v>
      </c>
    </row>
    <row r="29" spans="1:2">
      <c r="A29" t="s">
        <v>421</v>
      </c>
    </row>
    <row r="31" spans="1:2">
      <c r="A31" t="s">
        <v>422</v>
      </c>
      <c r="B31" t="s">
        <v>423</v>
      </c>
    </row>
    <row r="32" spans="1:2">
      <c r="A32" t="s">
        <v>424</v>
      </c>
      <c r="B32" t="s">
        <v>425</v>
      </c>
    </row>
    <row r="33" spans="1:2">
      <c r="A33" t="s">
        <v>426</v>
      </c>
      <c r="B33" t="s">
        <v>427</v>
      </c>
    </row>
    <row r="34" spans="1:2">
      <c r="A34" t="s">
        <v>428</v>
      </c>
      <c r="B34" t="s">
        <v>427</v>
      </c>
    </row>
    <row r="35" spans="1:2">
      <c r="A35" t="s">
        <v>429</v>
      </c>
      <c r="B35" t="s">
        <v>430</v>
      </c>
    </row>
    <row r="37" spans="1:2">
      <c r="A37" t="s">
        <v>431</v>
      </c>
    </row>
    <row r="39" spans="1:2">
      <c r="A39" t="s">
        <v>433</v>
      </c>
      <c r="B39" t="s">
        <v>412</v>
      </c>
    </row>
    <row r="40" spans="1:2">
      <c r="A40" t="s">
        <v>434</v>
      </c>
      <c r="B40" t="s">
        <v>435</v>
      </c>
    </row>
    <row r="41" spans="1:2">
      <c r="A41" t="s">
        <v>436</v>
      </c>
      <c r="B41" t="s">
        <v>437</v>
      </c>
    </row>
    <row r="42" spans="1:2">
      <c r="A42" t="s">
        <v>438</v>
      </c>
      <c r="B42" t="s">
        <v>439</v>
      </c>
    </row>
    <row r="43" spans="1:2">
      <c r="A43" t="s">
        <v>152</v>
      </c>
      <c r="B43" t="s">
        <v>440</v>
      </c>
    </row>
    <row r="44" spans="1:2">
      <c r="A44" t="s">
        <v>153</v>
      </c>
      <c r="B44" t="s">
        <v>441</v>
      </c>
    </row>
    <row r="45" spans="1:2">
      <c r="A45" t="s">
        <v>442</v>
      </c>
      <c r="B45" t="s">
        <v>443</v>
      </c>
    </row>
    <row r="46" spans="1:2">
      <c r="A46" t="s">
        <v>444</v>
      </c>
      <c r="B46" t="s">
        <v>445</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CONTRIBUTIONS</vt:lpstr>
      <vt:lpstr>CASH_FLOW</vt:lpstr>
      <vt:lpstr>INPUT_TRANSACTIONS</vt:lpstr>
      <vt:lpstr>PORTFOLIO_HISTORY</vt:lpstr>
      <vt:lpstr>watchlist</vt:lpstr>
      <vt:lpstr>holdings</vt:lpstr>
      <vt:lpstr>Config</vt:lpstr>
      <vt:lpstr>market_data</vt:lpstr>
      <vt:lpstr>dd</vt:lpstr>
      <vt:lpstr>Notes</vt:lpstr>
      <vt:lpstr>metrics</vt:lpstr>
      <vt:lpstr>decision_engineering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Husain Natha</dc:creator>
  <cp:lastModifiedBy>Husain Natha</cp:lastModifiedBy>
  <dcterms:created xsi:type="dcterms:W3CDTF">2026-05-19T15:30:42Z</dcterms:created>
  <dcterms:modified xsi:type="dcterms:W3CDTF">2026-06-05T22:39:59Z</dcterms:modified>
</cp:coreProperties>
</file>